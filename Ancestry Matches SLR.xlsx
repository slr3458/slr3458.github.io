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lr34\Downloads\"/>
    </mc:Choice>
  </mc:AlternateContent>
  <xr:revisionPtr revIDLastSave="0" documentId="8_{40FC59D2-08FB-4D7E-BCB6-A2BDB85C8ECD}" xr6:coauthVersionLast="47" xr6:coauthVersionMax="47" xr10:uidLastSave="{00000000-0000-0000-0000-000000000000}"/>
  <bookViews>
    <workbookView xWindow="-110" yWindow="-110" windowWidth="19420" windowHeight="10300" tabRatio="599" firstSheet="9" activeTab="16" xr2:uid="{00000000-000D-0000-FFFF-FFFF00000000}"/>
  </bookViews>
  <sheets>
    <sheet name="Summary" sheetId="51" r:id="rId1"/>
    <sheet name="Alderman" sheetId="62" r:id="rId2"/>
    <sheet name="Angier" sheetId="33" r:id="rId3"/>
    <sheet name="Argent" sheetId="59" r:id="rId4"/>
    <sheet name="Beavis" sheetId="6" r:id="rId5"/>
    <sheet name="Biddle" sheetId="11" r:id="rId6"/>
    <sheet name="Bing" sheetId="40" r:id="rId7"/>
    <sheet name="Bloomfield" sheetId="39" r:id="rId8"/>
    <sheet name="Boreham" sheetId="14" r:id="rId9"/>
    <sheet name="Brinkley" sheetId="12" r:id="rId10"/>
    <sheet name="Bushell" sheetId="26" r:id="rId11"/>
    <sheet name="Camp" sheetId="24" r:id="rId12"/>
    <sheet name="Collins" sheetId="37" r:id="rId13"/>
    <sheet name="Dadley" sheetId="60" r:id="rId14"/>
    <sheet name="Davis" sheetId="41" r:id="rId15"/>
    <sheet name="Dibel" sheetId="55" r:id="rId16"/>
    <sheet name="Disdale" sheetId="48" r:id="rId17"/>
    <sheet name="Douglas" sheetId="65" r:id="rId18"/>
    <sheet name="Dyason" sheetId="36" r:id="rId19"/>
    <sheet name="Felton" sheetId="49" r:id="rId20"/>
    <sheet name="Field" sheetId="45" r:id="rId21"/>
    <sheet name="Fooks" sheetId="32" r:id="rId22"/>
    <sheet name="Ford" sheetId="18" r:id="rId23"/>
    <sheet name="Freemantle" sheetId="34" r:id="rId24"/>
    <sheet name="Gates" sheetId="23" r:id="rId25"/>
    <sheet name="Hall" sheetId="5" r:id="rId26"/>
    <sheet name="Hook" sheetId="44" r:id="rId27"/>
    <sheet name="Hogben" sheetId="30" r:id="rId28"/>
    <sheet name="Hughes" sheetId="61" r:id="rId29"/>
    <sheet name="Humphrey" sheetId="9" r:id="rId30"/>
    <sheet name="Jezzard" sheetId="2" r:id="rId31"/>
    <sheet name="Jordan" sheetId="52" r:id="rId32"/>
    <sheet name="Lippincott" sheetId="43" r:id="rId33"/>
    <sheet name="Mayes" sheetId="54" r:id="rId34"/>
    <sheet name="Mercer" sheetId="27" r:id="rId35"/>
    <sheet name="Minter" sheetId="35" r:id="rId36"/>
    <sheet name="Nankivell" sheetId="22" r:id="rId37"/>
    <sheet name="Noble" sheetId="15" r:id="rId38"/>
    <sheet name="Otley" sheetId="17" r:id="rId39"/>
    <sheet name="Palmer" sheetId="53" r:id="rId40"/>
    <sheet name="Patrick" sheetId="7" r:id="rId41"/>
    <sheet name="Penny" sheetId="8" r:id="rId42"/>
    <sheet name="Pittock" sheetId="28" r:id="rId43"/>
    <sheet name="Rayner" sheetId="16" r:id="rId44"/>
    <sheet name="Reeve" sheetId="21" r:id="rId45"/>
    <sheet name="Robertson" sheetId="10" r:id="rId46"/>
    <sheet name="Ruddock" sheetId="19" r:id="rId47"/>
    <sheet name="Sams" sheetId="20" r:id="rId48"/>
    <sheet name="Shickle" sheetId="13" r:id="rId49"/>
    <sheet name="Shinn" sheetId="25" r:id="rId50"/>
    <sheet name="Singleton" sheetId="64" r:id="rId51"/>
    <sheet name="Shrewsbury" sheetId="29" r:id="rId52"/>
    <sheet name="Tucker" sheetId="31" r:id="rId53"/>
    <sheet name="Vandepeer" sheetId="38" r:id="rId54"/>
    <sheet name="Wilson" sheetId="4" r:id="rId55"/>
    <sheet name="UnmatchedFreer" sheetId="3" r:id="rId56"/>
    <sheet name="UnmatchedMcCracken" sheetId="47" r:id="rId57"/>
    <sheet name="Unmatched Misc (Robertson)" sheetId="56" r:id="rId58"/>
    <sheet name="Unmatched -" sheetId="58" r:id="rId59"/>
    <sheet name="UnmatchedKingston" sheetId="66" r:id="rId60"/>
    <sheet name="Famous Relatives" sheetId="57" r:id="rId61"/>
  </sheets>
  <definedNames>
    <definedName name="_xlnm._FilterDatabase" localSheetId="5" hidden="1">Biddle!$A$1:$A$259</definedName>
    <definedName name="_xlnm._FilterDatabase" localSheetId="9" hidden="1">Brinkley!$E$1:$E$320</definedName>
    <definedName name="_xlnm._FilterDatabase" localSheetId="10" hidden="1">Bushell!$E$1:$E$189</definedName>
    <definedName name="_xlnm._FilterDatabase" localSheetId="12" hidden="1">Collins!$E$1:$E$80</definedName>
    <definedName name="_xlnm._FilterDatabase" localSheetId="18" hidden="1">Dyason!$E$1:$E$83</definedName>
    <definedName name="_xlnm._FilterDatabase" localSheetId="21" hidden="1">Fooks!$E$1:$E$46</definedName>
    <definedName name="_xlnm._FilterDatabase" localSheetId="22" hidden="1">Ford!$E$1:$E$72</definedName>
    <definedName name="_xlnm._FilterDatabase" localSheetId="23" hidden="1">Freemantle!$E$1:$E$108</definedName>
    <definedName name="_xlnm._FilterDatabase" localSheetId="25" hidden="1">Hall!$E$1:$E$184</definedName>
    <definedName name="_xlnm._FilterDatabase" localSheetId="30" hidden="1">Jezzard!$B$1:$B$190</definedName>
    <definedName name="_xlnm._FilterDatabase" localSheetId="32" hidden="1">Lippincott!$E$1:$E$252</definedName>
    <definedName name="_xlnm._FilterDatabase" localSheetId="34" hidden="1">Mercer!$E$1:$E$108</definedName>
    <definedName name="_xlnm._FilterDatabase" localSheetId="38" hidden="1">Otley!$E$1:$E$125</definedName>
    <definedName name="_xlnm._FilterDatabase" localSheetId="40" hidden="1">Patrick!$E$1:$E$148</definedName>
    <definedName name="_xlnm._FilterDatabase" localSheetId="41" hidden="1">Penny!$E$1:$E$72</definedName>
    <definedName name="_xlnm._FilterDatabase" localSheetId="43" hidden="1">Rayner!$F$1:$F$87</definedName>
    <definedName name="_xlnm._FilterDatabase" localSheetId="46" hidden="1">Ruddock!$A$1:$A$337</definedName>
    <definedName name="_xlnm._FilterDatabase" localSheetId="52" hidden="1">Tucker!$E$1:$E$55</definedName>
    <definedName name="_xlnm._FilterDatabase" localSheetId="55" hidden="1">UnmatchedFreer!$J$1:$J$769</definedName>
    <definedName name="_xlnm._FilterDatabase" localSheetId="56" hidden="1">UnmatchedMcCracken!$E$1:$E$26</definedName>
    <definedName name="_xlnm._FilterDatabase" localSheetId="54" hidden="1">Wilson!$E$1:$E$95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" i="48" l="1" a="1"/>
  <c r="K16" i="48" s="1"/>
  <c r="K3" i="12" l="1" a="1"/>
  <c r="K3" i="12" s="1"/>
  <c r="K8" i="12" a="1"/>
  <c r="K8" i="12" s="1"/>
  <c r="K3" i="5" a="1"/>
  <c r="K3" i="5" s="1"/>
  <c r="K3" i="19" a="1"/>
  <c r="K3" i="19" s="1"/>
  <c r="K9" i="48" a="1"/>
  <c r="K9" i="48" s="1"/>
  <c r="B1" i="37"/>
  <c r="B1" i="24"/>
  <c r="B64" i="51"/>
  <c r="B1" i="66" l="1"/>
  <c r="B1" i="65" l="1"/>
  <c r="B57" i="51"/>
  <c r="B1" i="64"/>
  <c r="B8" i="51"/>
  <c r="B1" i="62"/>
  <c r="B1" i="61"/>
  <c r="B34" i="51" s="1"/>
  <c r="B1" i="60"/>
  <c r="B20" i="51" s="1"/>
  <c r="B1" i="59"/>
  <c r="B10" i="51" s="1"/>
  <c r="B1" i="58"/>
  <c r="C1" i="57"/>
  <c r="B1" i="56"/>
  <c r="B2" i="51"/>
  <c r="B4" i="51"/>
  <c r="B45" i="51"/>
  <c r="B22" i="51"/>
  <c r="B59" i="51"/>
  <c r="B55" i="51"/>
  <c r="B41" i="51"/>
  <c r="B32" i="51"/>
  <c r="B30" i="51"/>
  <c r="B26" i="51"/>
  <c r="B21" i="51"/>
  <c r="B19" i="51"/>
  <c r="B18" i="51"/>
  <c r="B13" i="51"/>
  <c r="B1" i="55"/>
  <c r="B1" i="54"/>
  <c r="B39" i="51" s="1"/>
  <c r="B1" i="53"/>
  <c r="B1" i="52"/>
  <c r="B37" i="51" s="1"/>
  <c r="B1" i="33"/>
  <c r="B9" i="51" s="1"/>
  <c r="B1" i="6"/>
  <c r="B11" i="51" s="1"/>
  <c r="B1" i="49"/>
  <c r="B25" i="51" s="1"/>
  <c r="B1" i="48"/>
  <c r="B23" i="51" s="1"/>
  <c r="B1" i="26"/>
  <c r="B17" i="51" s="1"/>
  <c r="B1" i="47"/>
  <c r="B63" i="51" s="1"/>
  <c r="B1" i="3"/>
  <c r="B62" i="51" s="1"/>
  <c r="B1" i="4"/>
  <c r="B60" i="51" s="1"/>
  <c r="B1" i="38"/>
  <c r="B1" i="31"/>
  <c r="B58" i="51" s="1"/>
  <c r="B1" i="29"/>
  <c r="B56" i="51" s="1"/>
  <c r="B1" i="25"/>
  <c r="B1" i="13"/>
  <c r="B54" i="51" s="1"/>
  <c r="B1" i="20"/>
  <c r="B53" i="51" s="1"/>
  <c r="B1" i="19"/>
  <c r="B52" i="51" s="1"/>
  <c r="B1" i="10"/>
  <c r="B51" i="51" s="1"/>
  <c r="B1" i="21"/>
  <c r="B50" i="51" s="1"/>
  <c r="B1" i="16"/>
  <c r="B49" i="51" s="1"/>
  <c r="B1" i="28"/>
  <c r="B48" i="51" s="1"/>
  <c r="B1" i="8"/>
  <c r="B47" i="51" s="1"/>
  <c r="B1" i="7"/>
  <c r="B46" i="51" s="1"/>
  <c r="B1" i="17"/>
  <c r="B44" i="51" s="1"/>
  <c r="B1" i="15"/>
  <c r="B43" i="51" s="1"/>
  <c r="B1" i="22"/>
  <c r="B42" i="51"/>
  <c r="B1" i="35"/>
  <c r="B1" i="27"/>
  <c r="B40" i="51" s="1"/>
  <c r="B1" i="43"/>
  <c r="B38" i="51" s="1"/>
  <c r="B1" i="2"/>
  <c r="B36" i="51" s="1"/>
  <c r="B1" i="9"/>
  <c r="B35" i="51" s="1"/>
  <c r="B1" i="30"/>
  <c r="B33" i="51" s="1"/>
  <c r="B1" i="44"/>
  <c r="B1" i="5"/>
  <c r="B1" i="23"/>
  <c r="B1" i="34"/>
  <c r="B29" i="51" s="1"/>
  <c r="B1" i="18"/>
  <c r="B28" i="51" s="1"/>
  <c r="B1" i="32"/>
  <c r="B27" i="51" s="1"/>
  <c r="B1" i="45"/>
  <c r="B1" i="36"/>
  <c r="B24" i="51" s="1"/>
  <c r="B1" i="41"/>
  <c r="B1" i="12"/>
  <c r="B16" i="51" s="1"/>
  <c r="B1" i="14"/>
  <c r="B15" i="51" s="1"/>
  <c r="B1" i="39"/>
  <c r="B14" i="51" s="1"/>
  <c r="B1" i="11"/>
  <c r="B12" i="51" s="1"/>
  <c r="B1" i="40"/>
  <c r="B65" i="51" l="1"/>
  <c r="B7" i="51"/>
  <c r="B31" i="51"/>
  <c r="C10" i="51" s="1"/>
  <c r="C57" i="51" l="1"/>
  <c r="C8" i="51"/>
  <c r="C34" i="51"/>
  <c r="C20" i="51"/>
  <c r="C59" i="51"/>
  <c r="C13" i="51"/>
  <c r="C33" i="51"/>
  <c r="C12" i="51"/>
  <c r="C40" i="51"/>
  <c r="C37" i="51"/>
  <c r="C32" i="51"/>
  <c r="C9" i="51"/>
  <c r="C29" i="51"/>
  <c r="C14" i="51"/>
  <c r="C47" i="51"/>
  <c r="C16" i="51"/>
  <c r="C52" i="51"/>
  <c r="C45" i="51"/>
  <c r="C51" i="51"/>
  <c r="C49" i="51"/>
  <c r="C55" i="51"/>
  <c r="C26" i="51"/>
  <c r="C15" i="51"/>
  <c r="C23" i="51"/>
  <c r="C36" i="51"/>
  <c r="C31" i="51"/>
  <c r="C41" i="51"/>
  <c r="C27" i="51"/>
  <c r="C22" i="51"/>
  <c r="C24" i="51"/>
  <c r="C17" i="51"/>
  <c r="C43" i="51"/>
  <c r="C53" i="51"/>
  <c r="C19" i="51"/>
  <c r="C58" i="51"/>
  <c r="C48" i="51"/>
  <c r="C46" i="51"/>
  <c r="C18" i="51"/>
  <c r="C38" i="51"/>
  <c r="C42" i="51"/>
  <c r="C56" i="51"/>
  <c r="C28" i="51"/>
  <c r="C44" i="51"/>
  <c r="C54" i="51"/>
  <c r="C35" i="51"/>
  <c r="C11" i="51"/>
  <c r="C60" i="51"/>
  <c r="C25" i="51"/>
  <c r="C50" i="51"/>
  <c r="C30" i="51"/>
  <c r="C21" i="51"/>
  <c r="C39" i="5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<sst xmlns="http://schemas.openxmlformats.org/spreadsheetml/2006/main" count="17889" uniqueCount="4452">
  <si>
    <t>Name</t>
  </si>
  <si>
    <t>Moira Monteith</t>
  </si>
  <si>
    <t>Source</t>
  </si>
  <si>
    <t>Ancestry</t>
  </si>
  <si>
    <t>Predicted Relationship</t>
  </si>
  <si>
    <t>Actual Relationship</t>
  </si>
  <si>
    <t>3rd-4th Cousin</t>
  </si>
  <si>
    <t>Shared DNA</t>
  </si>
  <si>
    <t>108cM</t>
  </si>
  <si>
    <t>James Bevers</t>
  </si>
  <si>
    <t>Common Male Ancestor</t>
  </si>
  <si>
    <t>Common Female Ancestor</t>
  </si>
  <si>
    <t>Mary Ann Bevers</t>
  </si>
  <si>
    <t>Walter Bevers</t>
  </si>
  <si>
    <t>Matched Ancestry</t>
  </si>
  <si>
    <t>My Ancestry</t>
  </si>
  <si>
    <t>Elsie Wilson</t>
  </si>
  <si>
    <t>Gordon Walter Robertson</t>
  </si>
  <si>
    <t>Simon Leigh Robertson</t>
  </si>
  <si>
    <t>Kate Bevers</t>
  </si>
  <si>
    <t>Betty Last</t>
  </si>
  <si>
    <t>Moira C Feeney</t>
  </si>
  <si>
    <t>3rd Cousin</t>
  </si>
  <si>
    <t>Relationship to Ancestor</t>
  </si>
  <si>
    <t>Samuel Kemp</t>
  </si>
  <si>
    <t>4th-6th Cousin</t>
  </si>
  <si>
    <t>28cM</t>
  </si>
  <si>
    <t>Ellen Bevers</t>
  </si>
  <si>
    <t>Patty Nellie Brough</t>
  </si>
  <si>
    <t>Robert Kemp</t>
  </si>
  <si>
    <t>3rd Cousin 1xremoved</t>
  </si>
  <si>
    <t>dkspittle1</t>
  </si>
  <si>
    <t>24cM</t>
  </si>
  <si>
    <t>Joseph Boreham</t>
  </si>
  <si>
    <t>Hannah Rayner</t>
  </si>
  <si>
    <t>Hannah Agnes Boreham</t>
  </si>
  <si>
    <t>Clifford William Wilson</t>
  </si>
  <si>
    <t>William Rayner Boreham</t>
  </si>
  <si>
    <t>William T Boreham</t>
  </si>
  <si>
    <t>Amy Jean Boreham</t>
  </si>
  <si>
    <t>Gillian Agnes Edgard</t>
  </si>
  <si>
    <t>4th Cousin</t>
  </si>
  <si>
    <t>Janet Fife</t>
  </si>
  <si>
    <t>5th-8th Cousin</t>
  </si>
  <si>
    <t>6cM</t>
  </si>
  <si>
    <t>George Camp</t>
  </si>
  <si>
    <t>Mary Ann Eldred</t>
  </si>
  <si>
    <t>Joan Edith Wilkinson</t>
  </si>
  <si>
    <t>William Wilkinson</t>
  </si>
  <si>
    <t>Emma Havis</t>
  </si>
  <si>
    <t>David Havers</t>
  </si>
  <si>
    <t>Sophia Turner</t>
  </si>
  <si>
    <t>Mary D Camp</t>
  </si>
  <si>
    <t>Susanna Camp</t>
  </si>
  <si>
    <t>5G Grandparents</t>
  </si>
  <si>
    <t>6th Cousin</t>
  </si>
  <si>
    <t>Mary Sams</t>
  </si>
  <si>
    <t>Sarah Sams</t>
  </si>
  <si>
    <t>William Nicholls</t>
  </si>
  <si>
    <t>Julia Annie Nicholls</t>
  </si>
  <si>
    <t>Idarene Lilian Oates</t>
  </si>
  <si>
    <t>Dorothy Joan Baty</t>
  </si>
  <si>
    <t>Athena Otley</t>
  </si>
  <si>
    <t>William Wilson</t>
  </si>
  <si>
    <t>5th Cousin 1xremoved</t>
  </si>
  <si>
    <t>8cM</t>
  </si>
  <si>
    <t>Sarah Bowers</t>
  </si>
  <si>
    <t>3G Grandparaents</t>
  </si>
  <si>
    <t>Athena Hall</t>
  </si>
  <si>
    <t>Carolyn Heather Deaman</t>
  </si>
  <si>
    <t>Elias Nankivell</t>
  </si>
  <si>
    <t>Mary Trueman</t>
  </si>
  <si>
    <t>9cM</t>
  </si>
  <si>
    <t>3G Grandparents</t>
  </si>
  <si>
    <t>2G Grandparents</t>
  </si>
  <si>
    <t>Ken Joyner</t>
  </si>
  <si>
    <t>Richard Nankivell</t>
  </si>
  <si>
    <t>John Nankivell</t>
  </si>
  <si>
    <t>William Nankivell</t>
  </si>
  <si>
    <t>Selina Jane Nankivell</t>
  </si>
  <si>
    <t>Emily Jane Joyner</t>
  </si>
  <si>
    <t>Henry Joyner</t>
  </si>
  <si>
    <t>Percy Pearce</t>
  </si>
  <si>
    <t>John Pearce</t>
  </si>
  <si>
    <t>Mary Jones</t>
  </si>
  <si>
    <t>Ann Netherton</t>
  </si>
  <si>
    <t>Jenifer Jane Freethy</t>
  </si>
  <si>
    <t>Blanche Nankivell</t>
  </si>
  <si>
    <t>Benjamin Nankivell</t>
  </si>
  <si>
    <t>7cM</t>
  </si>
  <si>
    <t>Robert Nankivell</t>
  </si>
  <si>
    <t>7G Grandparents</t>
  </si>
  <si>
    <t>Anthony Pearce</t>
  </si>
  <si>
    <t>titch01</t>
  </si>
  <si>
    <t>7th cousin 1xremoved</t>
  </si>
  <si>
    <t>Debra Carter</t>
  </si>
  <si>
    <t>154cM</t>
  </si>
  <si>
    <t>Frederick William Hall</t>
  </si>
  <si>
    <t>Charlotte Lydia Brinkley</t>
  </si>
  <si>
    <t>1G Grandparents</t>
  </si>
  <si>
    <t>Maud Bessie Hall</t>
  </si>
  <si>
    <t>Florence Ida Hall</t>
  </si>
  <si>
    <t>Barbara D Butters</t>
  </si>
  <si>
    <t>Debra Julie Carter</t>
  </si>
  <si>
    <t>June Margery Hall</t>
  </si>
  <si>
    <t>2nd Cousin</t>
  </si>
  <si>
    <t>llagasse140</t>
  </si>
  <si>
    <t>110cM</t>
  </si>
  <si>
    <t>Olive Loffler</t>
  </si>
  <si>
    <t>Nellie Hall</t>
  </si>
  <si>
    <t>Stanley Autun Tattershall</t>
  </si>
  <si>
    <t>William Simeon Patrick</t>
  </si>
  <si>
    <t>Emma Biddle</t>
  </si>
  <si>
    <t>59cM</t>
  </si>
  <si>
    <t>Half 2nd Cousin</t>
  </si>
  <si>
    <t>Knighton_Win</t>
  </si>
  <si>
    <t>Emily Elizabeth Patrick</t>
  </si>
  <si>
    <t>Walter William Robertson</t>
  </si>
  <si>
    <t>Alan Bottell</t>
  </si>
  <si>
    <t>42cM</t>
  </si>
  <si>
    <t>John Biddle</t>
  </si>
  <si>
    <t>Ann Dadley</t>
  </si>
  <si>
    <t>George Biddle</t>
  </si>
  <si>
    <t>Thomas Biddle</t>
  </si>
  <si>
    <t>Ruth Biddle</t>
  </si>
  <si>
    <t>James Berry</t>
  </si>
  <si>
    <t>Charlotte Emily Berry</t>
  </si>
  <si>
    <t>George Herbert Bottle</t>
  </si>
  <si>
    <t>William John Bottle</t>
  </si>
  <si>
    <t>Alan Bottle</t>
  </si>
  <si>
    <t>4G Grandparents</t>
  </si>
  <si>
    <t>kevanfrost</t>
  </si>
  <si>
    <t>25cM</t>
  </si>
  <si>
    <t>William Brinkley</t>
  </si>
  <si>
    <t>Elizabeth Ruddock</t>
  </si>
  <si>
    <t>Mary Brinkley</t>
  </si>
  <si>
    <t>John Balls</t>
  </si>
  <si>
    <t>Ada Jane Balls</t>
  </si>
  <si>
    <t>Thomas William Frost</t>
  </si>
  <si>
    <t>Male Frost</t>
  </si>
  <si>
    <t>Kevan N Frost</t>
  </si>
  <si>
    <t>Samuel Brinkley</t>
  </si>
  <si>
    <t>Samuel Alfred Brinkley</t>
  </si>
  <si>
    <t xml:space="preserve">5th Cousin </t>
  </si>
  <si>
    <t>WILSONPERU</t>
  </si>
  <si>
    <t>23cM</t>
  </si>
  <si>
    <t>Thomas Ruddock</t>
  </si>
  <si>
    <t>Elizabeth Reeve</t>
  </si>
  <si>
    <t>Peru Marriott</t>
  </si>
  <si>
    <t>Clark Morris Marriott</t>
  </si>
  <si>
    <t>Herbert Elvin Marriott</t>
  </si>
  <si>
    <t>Morris Elvin Marriott</t>
  </si>
  <si>
    <t>Martin Marriott</t>
  </si>
  <si>
    <t>Ann Nunn</t>
  </si>
  <si>
    <t>Mary Ruddock</t>
  </si>
  <si>
    <t>June Hill</t>
  </si>
  <si>
    <t>21cM</t>
  </si>
  <si>
    <t>Elijah Patrick</t>
  </si>
  <si>
    <t>Mary Ann Catherine Patrick</t>
  </si>
  <si>
    <t>4th Cousin 1xremoved</t>
  </si>
  <si>
    <t>cwi001</t>
  </si>
  <si>
    <t>18cM</t>
  </si>
  <si>
    <t>George Penny</t>
  </si>
  <si>
    <t>Elizabeth Hughes</t>
  </si>
  <si>
    <t>Frederick William Penny</t>
  </si>
  <si>
    <t>Emily Penny</t>
  </si>
  <si>
    <t>Doris May Smith</t>
  </si>
  <si>
    <t>Maria Hughes Penny</t>
  </si>
  <si>
    <t>Cindy Doreen Davis</t>
  </si>
  <si>
    <t>17cM</t>
  </si>
  <si>
    <t>William Millar Robertson</t>
  </si>
  <si>
    <t>Emma Miller</t>
  </si>
  <si>
    <t>Herbert Edward Robertson</t>
  </si>
  <si>
    <t>Isobel Violet Robertson</t>
  </si>
  <si>
    <t>Ivy Isabelle Violet Frost</t>
  </si>
  <si>
    <t>Doreen Ivy Mastin</t>
  </si>
  <si>
    <t>Cindy Doreen Lacey</t>
  </si>
  <si>
    <t>Half 3rd Cousin</t>
  </si>
  <si>
    <t>JRM01</t>
  </si>
  <si>
    <t>13cM</t>
  </si>
  <si>
    <t>Rose Anne Frost</t>
  </si>
  <si>
    <t>AJM1503</t>
  </si>
  <si>
    <t>June R Williams</t>
  </si>
  <si>
    <t>Angela J Moore</t>
  </si>
  <si>
    <t>5th Cousin</t>
  </si>
  <si>
    <t>SDG1902</t>
  </si>
  <si>
    <t>john balls</t>
  </si>
  <si>
    <t>S D Moore</t>
  </si>
  <si>
    <t>Colin Chester</t>
  </si>
  <si>
    <t>12cM</t>
  </si>
  <si>
    <t>Samuel Otley</t>
  </si>
  <si>
    <t>Susanna Blumfield</t>
  </si>
  <si>
    <t>George Otley</t>
  </si>
  <si>
    <t>Elizabeth Otley</t>
  </si>
  <si>
    <t>Arthur Richard Chester</t>
  </si>
  <si>
    <t>Nelly Lilian May Meek</t>
  </si>
  <si>
    <t>Mary Ellen Meek</t>
  </si>
  <si>
    <t>William Meek</t>
  </si>
  <si>
    <t>Mary Maria Otley</t>
  </si>
  <si>
    <t>Zadock Otley</t>
  </si>
  <si>
    <t>pdsenior1</t>
  </si>
  <si>
    <t>11cM</t>
  </si>
  <si>
    <t>Janet M Chinery</t>
  </si>
  <si>
    <t>P D Andrews</t>
  </si>
  <si>
    <t>Leslie Steven Chinery</t>
  </si>
  <si>
    <t>Ruby Lavinia Chinery</t>
  </si>
  <si>
    <t>Alice Maud Bean</t>
  </si>
  <si>
    <t>Emily Balls</t>
  </si>
  <si>
    <t>Pippa Hodgins</t>
  </si>
  <si>
    <t>Grace Byrn Hudson</t>
  </si>
  <si>
    <t>Harold Byrn Hudson</t>
  </si>
  <si>
    <t>Thermuthis Rose Booker</t>
  </si>
  <si>
    <t>Thermuthis Rowley Biddle</t>
  </si>
  <si>
    <t>Henry Biddle</t>
  </si>
  <si>
    <t>Jonathan Biddle</t>
  </si>
  <si>
    <t>David Alan Hodges</t>
  </si>
  <si>
    <t>10cM</t>
  </si>
  <si>
    <t>Alan Arnold Hodges</t>
  </si>
  <si>
    <t>James Arnold Hodges</t>
  </si>
  <si>
    <t>James Wilson Hodges</t>
  </si>
  <si>
    <t>John Hodges</t>
  </si>
  <si>
    <t>Richard Hodges</t>
  </si>
  <si>
    <t>Catherine Emma Biddle</t>
  </si>
  <si>
    <t>Edward Wright</t>
  </si>
  <si>
    <t>Edward A Wright</t>
  </si>
  <si>
    <t>Florence May Pettengall</t>
  </si>
  <si>
    <t>Kate Everitt</t>
  </si>
  <si>
    <t>Mary Ann Otley</t>
  </si>
  <si>
    <t>William Otley</t>
  </si>
  <si>
    <t>Louise Sewell</t>
  </si>
  <si>
    <t>Thomas Rayner</t>
  </si>
  <si>
    <t>Susannah Holmes</t>
  </si>
  <si>
    <t>Abramt Rayner</t>
  </si>
  <si>
    <t>Pamela Rayner</t>
  </si>
  <si>
    <t>John Daniel Sewell</t>
  </si>
  <si>
    <t>J.W.</t>
  </si>
  <si>
    <t>J Williams</t>
  </si>
  <si>
    <t>Phyllis Soer</t>
  </si>
  <si>
    <t>Stanley Soer</t>
  </si>
  <si>
    <t>Winnifred Mary Balls</t>
  </si>
  <si>
    <t>JTaylor1</t>
  </si>
  <si>
    <t>Florence Ellen Shedd</t>
  </si>
  <si>
    <t>Jane Wheeler</t>
  </si>
  <si>
    <t>Elizabeth Jane Borley</t>
  </si>
  <si>
    <t>William Borley</t>
  </si>
  <si>
    <t>Ann Brinkley</t>
  </si>
  <si>
    <t>salmonpj</t>
  </si>
  <si>
    <t>P J Salmon</t>
  </si>
  <si>
    <t>Marion Joan Tindley</t>
  </si>
  <si>
    <t>William Tindley</t>
  </si>
  <si>
    <t>Alfred Tindley</t>
  </si>
  <si>
    <t>William Biddle</t>
  </si>
  <si>
    <t>James Biddle</t>
  </si>
  <si>
    <t>C.N.</t>
  </si>
  <si>
    <t>4th cousin 1xremoved</t>
  </si>
  <si>
    <t>Jillian Ranson</t>
  </si>
  <si>
    <t>Edward Ranson</t>
  </si>
  <si>
    <t>Jane Balls</t>
  </si>
  <si>
    <t>D.N.</t>
  </si>
  <si>
    <t>David Edward Newport</t>
  </si>
  <si>
    <t>Leon Herrett</t>
  </si>
  <si>
    <t>Leon Michael Herrett</t>
  </si>
  <si>
    <t>Janine A King</t>
  </si>
  <si>
    <t>Alfred Arthur John King</t>
  </si>
  <si>
    <t>Amelia Ann Brooks</t>
  </si>
  <si>
    <t>Jack Brooks</t>
  </si>
  <si>
    <t>Mary Ann Borley</t>
  </si>
  <si>
    <t>Darryl Clark</t>
  </si>
  <si>
    <t>Elizabeth Worledge</t>
  </si>
  <si>
    <t>Archibald Beswick Payne</t>
  </si>
  <si>
    <t>Alexander Archibald Beswick</t>
  </si>
  <si>
    <t>Louisa Fincham</t>
  </si>
  <si>
    <t>Frederick Fincham</t>
  </si>
  <si>
    <t>Mary Ann Gates</t>
  </si>
  <si>
    <t>George Gates</t>
  </si>
  <si>
    <t>Elizabeth Gates</t>
  </si>
  <si>
    <t>Familytreedna</t>
  </si>
  <si>
    <t>Daniel Wyatt</t>
  </si>
  <si>
    <t>2nd-4th Cousin</t>
  </si>
  <si>
    <t>102cM</t>
  </si>
  <si>
    <t>Female Payne</t>
  </si>
  <si>
    <t>April Faulkner</t>
  </si>
  <si>
    <t>4th Cousin 2xremoved</t>
  </si>
  <si>
    <t>William Hall</t>
  </si>
  <si>
    <t>Anne Ford</t>
  </si>
  <si>
    <t>Henry Hall</t>
  </si>
  <si>
    <t>Frederick J Hall</t>
  </si>
  <si>
    <t>Ann E C Hall</t>
  </si>
  <si>
    <t>Alfred Banham</t>
  </si>
  <si>
    <t>Eric Banham</t>
  </si>
  <si>
    <t>Vivien Banham</t>
  </si>
  <si>
    <t>Denise Annette Goodchild</t>
  </si>
  <si>
    <t>Sean Regan</t>
  </si>
  <si>
    <t>Half 6th Cousin</t>
  </si>
  <si>
    <t>Joseph Rayner</t>
  </si>
  <si>
    <t>Samuel Rayner</t>
  </si>
  <si>
    <t>Louisa Rayner</t>
  </si>
  <si>
    <t>Thomas Henry Cable</t>
  </si>
  <si>
    <t>Minnie Cable</t>
  </si>
  <si>
    <t>Male Regan</t>
  </si>
  <si>
    <t>ellissue1</t>
  </si>
  <si>
    <t>1st-2nd Cousin</t>
  </si>
  <si>
    <t>372cM</t>
  </si>
  <si>
    <t>Mary Ann Beavis</t>
  </si>
  <si>
    <t>Frederick Arhur Wilson</t>
  </si>
  <si>
    <t>Beatrice MaryWilson</t>
  </si>
  <si>
    <t>Susan Mary Jack</t>
  </si>
  <si>
    <t>A.W.</t>
  </si>
  <si>
    <t>2nd-3rd Cousin</t>
  </si>
  <si>
    <t>305cM</t>
  </si>
  <si>
    <t>Harry Blundell Wilson</t>
  </si>
  <si>
    <t>David C C Wilson</t>
  </si>
  <si>
    <t>Andrew C C Wilson</t>
  </si>
  <si>
    <t>63.9cM</t>
  </si>
  <si>
    <t>Gail Mason</t>
  </si>
  <si>
    <t>MyHeritage</t>
  </si>
  <si>
    <t>3rd-5th Cousin</t>
  </si>
  <si>
    <t>Kenneth J Mason</t>
  </si>
  <si>
    <t>Katie Frost</t>
  </si>
  <si>
    <t>James Frost</t>
  </si>
  <si>
    <t>Elizabeth Bevis</t>
  </si>
  <si>
    <t>John Bevis</t>
  </si>
  <si>
    <t>Thomas Bevis</t>
  </si>
  <si>
    <t>James Beavis</t>
  </si>
  <si>
    <t>James Beavers</t>
  </si>
  <si>
    <t>Mary Anne Beavis</t>
  </si>
  <si>
    <t>karenis1234</t>
  </si>
  <si>
    <t>19cM</t>
  </si>
  <si>
    <t>Jane Bevers</t>
  </si>
  <si>
    <t>Phobe Bevers</t>
  </si>
  <si>
    <t>Edward Gill</t>
  </si>
  <si>
    <t>Beevers Edward Gill</t>
  </si>
  <si>
    <t>Karen Gill</t>
  </si>
  <si>
    <t>Mary Nankivell</t>
  </si>
  <si>
    <t>Thomas Mayne</t>
  </si>
  <si>
    <t>John Mayne</t>
  </si>
  <si>
    <t>Jane Ann Mayne</t>
  </si>
  <si>
    <t>Annie Jasper</t>
  </si>
  <si>
    <t>Kenneth Manning</t>
  </si>
  <si>
    <t>William Manning</t>
  </si>
  <si>
    <t>16cM</t>
  </si>
  <si>
    <t>Leonard C Frost</t>
  </si>
  <si>
    <t>J Frost</t>
  </si>
  <si>
    <t>29cM</t>
  </si>
  <si>
    <t>George Phillips Jezzard</t>
  </si>
  <si>
    <t>Anne Bushell</t>
  </si>
  <si>
    <t>Ellen Jezzard</t>
  </si>
  <si>
    <t>Florence M French</t>
  </si>
  <si>
    <t>Olga Mabel Church</t>
  </si>
  <si>
    <t>Wendy O C Ruddy</t>
  </si>
  <si>
    <t>Toby John Mersch</t>
  </si>
  <si>
    <t>Patricia Graham</t>
  </si>
  <si>
    <t>3rd Cousin 3xremoved</t>
  </si>
  <si>
    <t>27cM</t>
  </si>
  <si>
    <t>William Jezzard</t>
  </si>
  <si>
    <t>Mary Davis</t>
  </si>
  <si>
    <t>George Jezzard</t>
  </si>
  <si>
    <t>George P Jezzard</t>
  </si>
  <si>
    <t>Francis Jezzard</t>
  </si>
  <si>
    <t>Edward Stone Jezzard</t>
  </si>
  <si>
    <t>Robert Jezzard</t>
  </si>
  <si>
    <t>Patricia Jezzard</t>
  </si>
  <si>
    <t>jarradc</t>
  </si>
  <si>
    <t>20cM</t>
  </si>
  <si>
    <t>John Bushell</t>
  </si>
  <si>
    <t>Mary Pittock</t>
  </si>
  <si>
    <t>Thomas Bushell</t>
  </si>
  <si>
    <t>William Bushell</t>
  </si>
  <si>
    <t>Mary Jane Bushell</t>
  </si>
  <si>
    <t>Mary Anne Coleman</t>
  </si>
  <si>
    <t>George R Tennant</t>
  </si>
  <si>
    <t>Female Tennant</t>
  </si>
  <si>
    <t>Male Dixon</t>
  </si>
  <si>
    <t>Jarrad C Dixon</t>
  </si>
  <si>
    <t>Mel Read</t>
  </si>
  <si>
    <t>Lydia Shrewsbury</t>
  </si>
  <si>
    <t>Sarah E Jezzard</t>
  </si>
  <si>
    <t>Percy George Rolfe</t>
  </si>
  <si>
    <t>Grace A R W</t>
  </si>
  <si>
    <t>Grace Maude wise</t>
  </si>
  <si>
    <t>Female Patten</t>
  </si>
  <si>
    <t>jatinform</t>
  </si>
  <si>
    <t>Ann May</t>
  </si>
  <si>
    <t>Eliza Mercer</t>
  </si>
  <si>
    <t>Rebecca Macey</t>
  </si>
  <si>
    <t>Elizabeth L Lawrence</t>
  </si>
  <si>
    <t>Reginald S Webber</t>
  </si>
  <si>
    <t>Judith H Webber</t>
  </si>
  <si>
    <t>fcambrook</t>
  </si>
  <si>
    <t>George Bushell</t>
  </si>
  <si>
    <t>Annie R Bushell</t>
  </si>
  <si>
    <t>Jessie Marion Archer</t>
  </si>
  <si>
    <t>Vera Thelma Ranger</t>
  </si>
  <si>
    <t>Female Wood</t>
  </si>
  <si>
    <t>cameron_rachel</t>
  </si>
  <si>
    <t>Albert A Rolfe</t>
  </si>
  <si>
    <t>Patricia Mary Rolfe</t>
  </si>
  <si>
    <t>Rachel Cameron</t>
  </si>
  <si>
    <t>Paul Cadwallander</t>
  </si>
  <si>
    <t>Ann Mercer</t>
  </si>
  <si>
    <t>Charlotte A Bushall</t>
  </si>
  <si>
    <t>Mary Jane Denne</t>
  </si>
  <si>
    <t>Ernest James Baker</t>
  </si>
  <si>
    <t>June Muriel Baker</t>
  </si>
  <si>
    <t>Leslie P Cadwallander</t>
  </si>
  <si>
    <t>raejoy66</t>
  </si>
  <si>
    <t>Raelene Joy Finch</t>
  </si>
  <si>
    <t>Samuel Allan Finch</t>
  </si>
  <si>
    <t>Samuel Escott Finch</t>
  </si>
  <si>
    <t>Alfred Finch</t>
  </si>
  <si>
    <t>Charles Finch</t>
  </si>
  <si>
    <t>Ann Jezzard</t>
  </si>
  <si>
    <t>Elizabeth Lovewold</t>
  </si>
  <si>
    <t>6G Grandparents</t>
  </si>
  <si>
    <t>5th Cousin 2xremoved</t>
  </si>
  <si>
    <t>Susan Scott</t>
  </si>
  <si>
    <t>Pauline M Jezzard</t>
  </si>
  <si>
    <t>Susan Watts</t>
  </si>
  <si>
    <t>Walter Ernest Jezzard</t>
  </si>
  <si>
    <t>Alfred Jezzard</t>
  </si>
  <si>
    <t>Lisa Buist</t>
  </si>
  <si>
    <t>Rebecca T Pittock</t>
  </si>
  <si>
    <t>Henry William Pittock</t>
  </si>
  <si>
    <t>Sarah Ann Pittock</t>
  </si>
  <si>
    <t>William Pittock</t>
  </si>
  <si>
    <t>John Pittock</t>
  </si>
  <si>
    <t>Sarah Jordan</t>
  </si>
  <si>
    <t>Lisa Marie Whitman</t>
  </si>
  <si>
    <t>Thomas M Whitman</t>
  </si>
  <si>
    <t>6th Cousin 1xremoved</t>
  </si>
  <si>
    <t>thomaswhitman14</t>
  </si>
  <si>
    <t>hellmarion</t>
  </si>
  <si>
    <t>Marion V Timson</t>
  </si>
  <si>
    <t>Howard M Timpson</t>
  </si>
  <si>
    <t>Alfred Newton Tipmson</t>
  </si>
  <si>
    <t>Eliza Jane Shrewsbury</t>
  </si>
  <si>
    <t>Edward Shrewsbury</t>
  </si>
  <si>
    <t>Abraham Shrewsbury</t>
  </si>
  <si>
    <t>Joseph Shrewsbury</t>
  </si>
  <si>
    <t>Elizabeth Newman</t>
  </si>
  <si>
    <t>Brian Jezzard</t>
  </si>
  <si>
    <t>77.9cM</t>
  </si>
  <si>
    <t>Derek J Jezzard</t>
  </si>
  <si>
    <t>Brian P Jezzard</t>
  </si>
  <si>
    <t>Frederick D Jezzard</t>
  </si>
  <si>
    <t>Charles H Jezzard</t>
  </si>
  <si>
    <t>Daniel Steven Jezzard</t>
  </si>
  <si>
    <t>4th-Remote Cousin</t>
  </si>
  <si>
    <t>Steven D Jezzard</t>
  </si>
  <si>
    <t>Roy Regan</t>
  </si>
  <si>
    <t>Julie Sheppard</t>
  </si>
  <si>
    <t>Jean E Cullen</t>
  </si>
  <si>
    <t>Julie Taylor</t>
  </si>
  <si>
    <t>Charles Mann</t>
  </si>
  <si>
    <t>Thomas Patrick</t>
  </si>
  <si>
    <t>Mary A C Patrick</t>
  </si>
  <si>
    <t>Mary A C Wright</t>
  </si>
  <si>
    <t>Jean Ronan</t>
  </si>
  <si>
    <t>jcarmody58</t>
  </si>
  <si>
    <t>Half 5th Cousin 1xremoved</t>
  </si>
  <si>
    <t>Grizel Cameron</t>
  </si>
  <si>
    <t>Alexander Robertson</t>
  </si>
  <si>
    <t>Elizabeth Robertson</t>
  </si>
  <si>
    <t>Elizabeth Yule</t>
  </si>
  <si>
    <t>Christina Milne</t>
  </si>
  <si>
    <t>Marion E Gilmour</t>
  </si>
  <si>
    <t>Eleanor C Hayes</t>
  </si>
  <si>
    <t>Dorothy Marian Dale</t>
  </si>
  <si>
    <t>J Carmody</t>
  </si>
  <si>
    <t>Darren Hollands</t>
  </si>
  <si>
    <t>Mary Sarah Jezzard</t>
  </si>
  <si>
    <t>Emma Young</t>
  </si>
  <si>
    <t>John Holman</t>
  </si>
  <si>
    <t>Alice May Holman</t>
  </si>
  <si>
    <t>Female Davies</t>
  </si>
  <si>
    <t>Darren Richard Hollands</t>
  </si>
  <si>
    <t>Wiliam Jezzard</t>
  </si>
  <si>
    <t>Scott Stanley</t>
  </si>
  <si>
    <t>John Ruddock</t>
  </si>
  <si>
    <t>Martha Ruddock</t>
  </si>
  <si>
    <t>Jennie Velliquette</t>
  </si>
  <si>
    <t>Lloyd C Stanley</t>
  </si>
  <si>
    <t>Susannah Argent</t>
  </si>
  <si>
    <t>Roger Geoffrey Farrer</t>
  </si>
  <si>
    <t>26.2cM</t>
  </si>
  <si>
    <t>Anne Dadley</t>
  </si>
  <si>
    <t>Bernard Humphrey Penfold Farrer</t>
  </si>
  <si>
    <t>Bernard Eric Farrer</t>
  </si>
  <si>
    <t>Hannah Maria Biddle</t>
  </si>
  <si>
    <t>Daniel Biddle</t>
  </si>
  <si>
    <t>Jim Burdon</t>
  </si>
  <si>
    <t>David Sams</t>
  </si>
  <si>
    <t>Mary Styleman</t>
  </si>
  <si>
    <t>William Sams</t>
  </si>
  <si>
    <t>James Sams</t>
  </si>
  <si>
    <t>Priscilla S Bridge</t>
  </si>
  <si>
    <t>James Alfred Swan</t>
  </si>
  <si>
    <t>Epenetus Biddle</t>
  </si>
  <si>
    <t>Caleb Hornby</t>
  </si>
  <si>
    <t>Rosa Emily Hornby</t>
  </si>
  <si>
    <t>Herbert F Russell</t>
  </si>
  <si>
    <t>Bridget May Russell</t>
  </si>
  <si>
    <t>SusanLangley</t>
  </si>
  <si>
    <t>G.J.</t>
  </si>
  <si>
    <t>Ann Biddle</t>
  </si>
  <si>
    <t>Jane Biddle</t>
  </si>
  <si>
    <t>John Nason</t>
  </si>
  <si>
    <t>Elizabeth Nason</t>
  </si>
  <si>
    <t>Ellen E Reynolds</t>
  </si>
  <si>
    <t>Fanny E Jeffs</t>
  </si>
  <si>
    <t>G Jeffs</t>
  </si>
  <si>
    <t>Bernard Rayner</t>
  </si>
  <si>
    <t>Samuel Felton Rayner</t>
  </si>
  <si>
    <t>Arthur Rayner</t>
  </si>
  <si>
    <t>Frederick G Rayner</t>
  </si>
  <si>
    <t>Bernard A Rayner</t>
  </si>
  <si>
    <t>Debra Blackford</t>
  </si>
  <si>
    <t>23andme</t>
  </si>
  <si>
    <t>62cM</t>
  </si>
  <si>
    <t>Debra L Jezzard</t>
  </si>
  <si>
    <t>Yvonne Dudley</t>
  </si>
  <si>
    <t>Herbert Ernest Robertson</t>
  </si>
  <si>
    <t>Yvonne M Matuszkiewicz</t>
  </si>
  <si>
    <t>Adele C Robertson</t>
  </si>
  <si>
    <t>Douglas Gordon Robertson</t>
  </si>
  <si>
    <t>Walter Gordon Robertson</t>
  </si>
  <si>
    <t>Clare Burl</t>
  </si>
  <si>
    <t>LivingDNA</t>
  </si>
  <si>
    <t>39.8cM</t>
  </si>
  <si>
    <t>George Shickle</t>
  </si>
  <si>
    <t>Emma Disdale</t>
  </si>
  <si>
    <t>Elizabeth Shekle</t>
  </si>
  <si>
    <t>Susannah Shickle</t>
  </si>
  <si>
    <t>James Shekle</t>
  </si>
  <si>
    <t>Clare Baxter</t>
  </si>
  <si>
    <t>Emma Kingston-miles</t>
  </si>
  <si>
    <t>Rose Penny</t>
  </si>
  <si>
    <t>Betty D Clear</t>
  </si>
  <si>
    <t>Christel B F Rolfes</t>
  </si>
  <si>
    <t>Paul Loveday</t>
  </si>
  <si>
    <t>75cM</t>
  </si>
  <si>
    <t>Joyce Phyllis Gouge</t>
  </si>
  <si>
    <t>Annie Beatrice Penny</t>
  </si>
  <si>
    <t>Raymond Stroud</t>
  </si>
  <si>
    <t>28.6cM</t>
  </si>
  <si>
    <t>Raymond P Stroud</t>
  </si>
  <si>
    <t>George F Stroud</t>
  </si>
  <si>
    <t>Selina Rose Penny</t>
  </si>
  <si>
    <t>William James Penny</t>
  </si>
  <si>
    <t>Kyle Short</t>
  </si>
  <si>
    <t>23andMe</t>
  </si>
  <si>
    <t>98cM</t>
  </si>
  <si>
    <t>Short</t>
  </si>
  <si>
    <t>Irene May McDougal</t>
  </si>
  <si>
    <t>Half 2nd Cousin 1xremoved</t>
  </si>
  <si>
    <t>William Swiderski</t>
  </si>
  <si>
    <t>37cM</t>
  </si>
  <si>
    <t>Corinne Bachnsky</t>
  </si>
  <si>
    <t>Elsie Rhoda McDougal</t>
  </si>
  <si>
    <t>Matthew Williams</t>
  </si>
  <si>
    <t>39cM</t>
  </si>
  <si>
    <t>Edward William Hall</t>
  </si>
  <si>
    <t>2nd Cousin 1xremoved</t>
  </si>
  <si>
    <t>Anthony B Williams</t>
  </si>
  <si>
    <t>Maureen J Hall</t>
  </si>
  <si>
    <t>R Williams</t>
  </si>
  <si>
    <t>40cM</t>
  </si>
  <si>
    <t>Patrica Ruane</t>
  </si>
  <si>
    <t>Catherine Munden</t>
  </si>
  <si>
    <t>Norah Niemiec</t>
  </si>
  <si>
    <t>59.4cM</t>
  </si>
  <si>
    <t>Joseph Patrick</t>
  </si>
  <si>
    <t>Elizabeth Dilly</t>
  </si>
  <si>
    <t>Taz00033</t>
  </si>
  <si>
    <t>Miles</t>
  </si>
  <si>
    <t>Grace Dorothy L Miles</t>
  </si>
  <si>
    <t>Susannah Kinsley</t>
  </si>
  <si>
    <t>Mary Sams Wilson</t>
  </si>
  <si>
    <t>Devon Marie Bull</t>
  </si>
  <si>
    <t>Mary Paton</t>
  </si>
  <si>
    <t>Marie Jean Wise</t>
  </si>
  <si>
    <t>Grace Alice Rolfe</t>
  </si>
  <si>
    <t>Sarah Elizabeth Jezzard</t>
  </si>
  <si>
    <t>Stephen Niemiec</t>
  </si>
  <si>
    <t>MRWeitkamp</t>
  </si>
  <si>
    <t>26cM</t>
  </si>
  <si>
    <t>Margaret Rosemary Burrows</t>
  </si>
  <si>
    <t>Marion Faith Bicknell</t>
  </si>
  <si>
    <t>Julia Emmeline Boreham</t>
  </si>
  <si>
    <t>Alfred Charles Boreham</t>
  </si>
  <si>
    <t>S.H.</t>
  </si>
  <si>
    <t>Sidney Hildreth</t>
  </si>
  <si>
    <t>Doris Bushell</t>
  </si>
  <si>
    <t>Albert Harris Bushell</t>
  </si>
  <si>
    <t>Charles Harris Bushell</t>
  </si>
  <si>
    <t>John Maxted Bushell</t>
  </si>
  <si>
    <t>Dolly1914</t>
  </si>
  <si>
    <t>3rd Cousin 2xremoved</t>
  </si>
  <si>
    <t>Dolly Cook</t>
  </si>
  <si>
    <t>Alice Ellen A Potts</t>
  </si>
  <si>
    <t>Alice Jane High</t>
  </si>
  <si>
    <t>Ellen Bushell</t>
  </si>
  <si>
    <t>Barbara Ann Grout</t>
  </si>
  <si>
    <t>3rd - Distant Cousin</t>
  </si>
  <si>
    <t>19.2cM</t>
  </si>
  <si>
    <t>Fred Cyril Rolfe</t>
  </si>
  <si>
    <t>Robin Edward Savage</t>
  </si>
  <si>
    <t>3rd-Distant Cousin</t>
  </si>
  <si>
    <t>14cM</t>
  </si>
  <si>
    <t>Maude Maria King</t>
  </si>
  <si>
    <t>Maria Ann Frampton</t>
  </si>
  <si>
    <t>Maria Beavis</t>
  </si>
  <si>
    <t>Thomas Beavis</t>
  </si>
  <si>
    <t>Roni Sue Canfield</t>
  </si>
  <si>
    <t>10.5cM</t>
  </si>
  <si>
    <t>8th Cousin</t>
  </si>
  <si>
    <t>Stachitus</t>
  </si>
  <si>
    <t>Elizabeth  Anna Picton</t>
  </si>
  <si>
    <t>Charles Harry Picton</t>
  </si>
  <si>
    <t>Elizabeth Lathlean</t>
  </si>
  <si>
    <t>James Nankivell</t>
  </si>
  <si>
    <t>Thomas Nankivell</t>
  </si>
  <si>
    <t>Elizabeth Turner</t>
  </si>
  <si>
    <t>Sarah Leonard</t>
  </si>
  <si>
    <t>28.9cM</t>
  </si>
  <si>
    <t>Sarah Ellen Leonard</t>
  </si>
  <si>
    <t>Albert E Leonard</t>
  </si>
  <si>
    <t>Ellen Elizabeth Bushell</t>
  </si>
  <si>
    <t>Charles John Bushell</t>
  </si>
  <si>
    <t>Alfred Bushell</t>
  </si>
  <si>
    <t>prichee</t>
  </si>
  <si>
    <t>Peter J Richardson</t>
  </si>
  <si>
    <t>John Frederick Richardson</t>
  </si>
  <si>
    <t>Elsie Kelly</t>
  </si>
  <si>
    <t>Eliza Otley</t>
  </si>
  <si>
    <t>Alfred George Otley</t>
  </si>
  <si>
    <t>Hannah Hall</t>
  </si>
  <si>
    <t>Guy Loveday</t>
  </si>
  <si>
    <t>John Stokes</t>
  </si>
  <si>
    <t>Female Mills</t>
  </si>
  <si>
    <t>Bert Mills</t>
  </si>
  <si>
    <t>Walter Mills</t>
  </si>
  <si>
    <t>Job Mills</t>
  </si>
  <si>
    <t>John Mills</t>
  </si>
  <si>
    <t>Anne Biddle</t>
  </si>
  <si>
    <t>Jessica Benjamin</t>
  </si>
  <si>
    <t>Female Sisk</t>
  </si>
  <si>
    <t>Robert Sisk</t>
  </si>
  <si>
    <t>Helen Kuhl</t>
  </si>
  <si>
    <t>Emily Orchard</t>
  </si>
  <si>
    <t>Martha Phillips</t>
  </si>
  <si>
    <t>Mary Jane Allen</t>
  </si>
  <si>
    <t>John M Phillips</t>
  </si>
  <si>
    <t>Elizabeth Nankivell</t>
  </si>
  <si>
    <t>Hugh Nankivell</t>
  </si>
  <si>
    <t>Samson Nankivell</t>
  </si>
  <si>
    <t>8th Cousin 2xremoved</t>
  </si>
  <si>
    <t>Jessica Flores-Schwartz</t>
  </si>
  <si>
    <t>David Mansfield</t>
  </si>
  <si>
    <t>56cM</t>
  </si>
  <si>
    <t>John C Mansfield</t>
  </si>
  <si>
    <t>George E Mansfield</t>
  </si>
  <si>
    <t>49cM</t>
  </si>
  <si>
    <t>Sian Natasha Matuszkiewicz</t>
  </si>
  <si>
    <t>Stefan Matuszkiewicz</t>
  </si>
  <si>
    <t>Hilary Earl</t>
  </si>
  <si>
    <t>35cM</t>
  </si>
  <si>
    <t>Ena Jose Bevers</t>
  </si>
  <si>
    <t>Harold Walter Beavers</t>
  </si>
  <si>
    <t>George James Beavers</t>
  </si>
  <si>
    <t>Hilary J Synder</t>
  </si>
  <si>
    <t>John Otley</t>
  </si>
  <si>
    <t>John Henry Otley</t>
  </si>
  <si>
    <t>Herbert Henry Otley</t>
  </si>
  <si>
    <t>Henry Otley</t>
  </si>
  <si>
    <t>A.S.</t>
  </si>
  <si>
    <t>Albert G E Smith</t>
  </si>
  <si>
    <t>Leonard Leslie Smith</t>
  </si>
  <si>
    <t>Leonard Smith</t>
  </si>
  <si>
    <t>Emma Noble</t>
  </si>
  <si>
    <t>Mark Noble</t>
  </si>
  <si>
    <t>Thomas Noble</t>
  </si>
  <si>
    <t>Mary Duffield</t>
  </si>
  <si>
    <t>Anne Noble</t>
  </si>
  <si>
    <t>Mary Ann Noble</t>
  </si>
  <si>
    <t>Margaret Smith</t>
  </si>
  <si>
    <t>Charles Gordon Smith</t>
  </si>
  <si>
    <t>Tami Milne</t>
  </si>
  <si>
    <t>Tami Lund</t>
  </si>
  <si>
    <t>Thelma Rose Trew Smith</t>
  </si>
  <si>
    <t>Lillistone</t>
  </si>
  <si>
    <t>Lilli Hart</t>
  </si>
  <si>
    <t>Margaret Olive Lines</t>
  </si>
  <si>
    <t>George Herbert Lines</t>
  </si>
  <si>
    <t>Herbert Lines</t>
  </si>
  <si>
    <t>Martha Noble</t>
  </si>
  <si>
    <t>Daniel Noble</t>
  </si>
  <si>
    <t>William Noble</t>
  </si>
  <si>
    <t>Abbie Truss</t>
  </si>
  <si>
    <t>6th Cousin 2xremoved</t>
  </si>
  <si>
    <t>Geoffrey R Truss</t>
  </si>
  <si>
    <t>Barbara Clover</t>
  </si>
  <si>
    <t>Dorothy May Everitt</t>
  </si>
  <si>
    <t>Olive Agnes Everitt</t>
  </si>
  <si>
    <t>Thomas Everitt</t>
  </si>
  <si>
    <t>Barbara King</t>
  </si>
  <si>
    <t>7th cousin</t>
  </si>
  <si>
    <t>Barbara Hides</t>
  </si>
  <si>
    <t>Bernard Lines Hides</t>
  </si>
  <si>
    <t>Olive Priscilla Lines</t>
  </si>
  <si>
    <t>7th Cousin</t>
  </si>
  <si>
    <t>Jennifer Sharp</t>
  </si>
  <si>
    <t>5th Cousin 1Xremoved</t>
  </si>
  <si>
    <t>Jennifer Anne Smith</t>
  </si>
  <si>
    <t>Mary Jennifer Lowther</t>
  </si>
  <si>
    <t>Ivy Ellen Barr</t>
  </si>
  <si>
    <t>Martha Rebecca Jordan</t>
  </si>
  <si>
    <t>Jane Bushell</t>
  </si>
  <si>
    <t>Joseph Dierson Mercer</t>
  </si>
  <si>
    <t>Richard Bushell</t>
  </si>
  <si>
    <t>James Bushell</t>
  </si>
  <si>
    <t>Mary Hogben</t>
  </si>
  <si>
    <t>Peter M Farrell</t>
  </si>
  <si>
    <t>Betty Winifred Cleave</t>
  </si>
  <si>
    <t>Winifred R Willett</t>
  </si>
  <si>
    <t>Ann Ridge</t>
  </si>
  <si>
    <t>Ann Macey</t>
  </si>
  <si>
    <t>Thomas Macey</t>
  </si>
  <si>
    <t>Robert Macey</t>
  </si>
  <si>
    <t>John Macey</t>
  </si>
  <si>
    <t>John Dierson Mercer</t>
  </si>
  <si>
    <t>Kayla Burke</t>
  </si>
  <si>
    <t>Female Lloyd</t>
  </si>
  <si>
    <t>Elsie E Foreman</t>
  </si>
  <si>
    <t>James John Foreman</t>
  </si>
  <si>
    <t>Ellen Maria Brinkley</t>
  </si>
  <si>
    <t>Terry Stacey</t>
  </si>
  <si>
    <t>Jane Mary Gatfield</t>
  </si>
  <si>
    <t>Sarah Annie Taylor</t>
  </si>
  <si>
    <t>Henry Charles Taylor</t>
  </si>
  <si>
    <t>Sarah Argent</t>
  </si>
  <si>
    <t>William Argent</t>
  </si>
  <si>
    <t>Mary Ford</t>
  </si>
  <si>
    <t>Martin Ford</t>
  </si>
  <si>
    <t>Sarah Howard</t>
  </si>
  <si>
    <t>Male Ford</t>
  </si>
  <si>
    <t>gerrylloyd1947</t>
  </si>
  <si>
    <t>Gerry Lloyd</t>
  </si>
  <si>
    <t>Holly Stephens</t>
  </si>
  <si>
    <t>22cM</t>
  </si>
  <si>
    <t>Holly Jo Stephens</t>
  </si>
  <si>
    <t>Gillian A Gatfield</t>
  </si>
  <si>
    <t>Sidney Edgar Gatfield</t>
  </si>
  <si>
    <t>Howard Randall</t>
  </si>
  <si>
    <t>Samuel Argent</t>
  </si>
  <si>
    <t>Sarah Louisa C Argent</t>
  </si>
  <si>
    <t>George Arthur Randall</t>
  </si>
  <si>
    <t>Howard I Randall</t>
  </si>
  <si>
    <t>L.S.</t>
  </si>
  <si>
    <t>Susanna Dalbou</t>
  </si>
  <si>
    <t>10th Cousin</t>
  </si>
  <si>
    <t>L Larson</t>
  </si>
  <si>
    <t>Zepha Maud McVay</t>
  </si>
  <si>
    <t>James Nicholson McVay</t>
  </si>
  <si>
    <t>Josiah Hopkins McVay</t>
  </si>
  <si>
    <t>Jacob McVay</t>
  </si>
  <si>
    <t>Benjamin McVay</t>
  </si>
  <si>
    <t>Martha Passmore</t>
  </si>
  <si>
    <t>Elizabeth Harris</t>
  </si>
  <si>
    <t>Elizabeth Brinton</t>
  </si>
  <si>
    <t>William Brinton</t>
  </si>
  <si>
    <t>9G Grandparents</t>
  </si>
  <si>
    <t>Elizabeth Hicks</t>
  </si>
  <si>
    <t>Richard Biddle</t>
  </si>
  <si>
    <t>A.E.</t>
  </si>
  <si>
    <t>Violet Essex</t>
  </si>
  <si>
    <t>James Alfred Essex</t>
  </si>
  <si>
    <t>Sarah Essex</t>
  </si>
  <si>
    <t>Priscialla Nason</t>
  </si>
  <si>
    <t>Jane Mills</t>
  </si>
  <si>
    <t xml:space="preserve">John Biddle </t>
  </si>
  <si>
    <t>Tyler Farren</t>
  </si>
  <si>
    <t>7th Cousin 3xremoved</t>
  </si>
  <si>
    <t>James Shinn</t>
  </si>
  <si>
    <t>Abigail Lippincott</t>
  </si>
  <si>
    <t>Elizabeth Shinn</t>
  </si>
  <si>
    <t>Francis Shinn</t>
  </si>
  <si>
    <t>Restore Shinn</t>
  </si>
  <si>
    <t>Rebecca Shinn</t>
  </si>
  <si>
    <t>Hannah Penn</t>
  </si>
  <si>
    <t>John Burrow Batterson</t>
  </si>
  <si>
    <t>Maggie M Batterson</t>
  </si>
  <si>
    <t>Elsie Powell</t>
  </si>
  <si>
    <t>Bertha Rowand</t>
  </si>
  <si>
    <t>Jacquelin A Heintz</t>
  </si>
  <si>
    <t>Female Bairstow</t>
  </si>
  <si>
    <t>Mark Spriggs</t>
  </si>
  <si>
    <t>7th Cousin 1xRemoved</t>
  </si>
  <si>
    <t>57cM</t>
  </si>
  <si>
    <t>Isaac Humphrey</t>
  </si>
  <si>
    <t>Judith Foster</t>
  </si>
  <si>
    <t>Mark D Spriggs</t>
  </si>
  <si>
    <t>Jayne Ann Sycamore</t>
  </si>
  <si>
    <t>George E Sycamore</t>
  </si>
  <si>
    <t>Albert E Sycamore</t>
  </si>
  <si>
    <t>Elisha Sycamore</t>
  </si>
  <si>
    <t>Ephraim Sycamore</t>
  </si>
  <si>
    <t>Hannah Carter</t>
  </si>
  <si>
    <t>John Carter</t>
  </si>
  <si>
    <t>Hannah Humphrey</t>
  </si>
  <si>
    <t>Robert Humphrey</t>
  </si>
  <si>
    <t>Mary Humphrey</t>
  </si>
  <si>
    <t>James Bevis</t>
  </si>
  <si>
    <t>Jasper Boreham</t>
  </si>
  <si>
    <t>Elizabeth Boreham</t>
  </si>
  <si>
    <t>Charles Mynett</t>
  </si>
  <si>
    <t>Samuel Mynett</t>
  </si>
  <si>
    <t>Gladys Mary Mynett</t>
  </si>
  <si>
    <t>David J Wallace</t>
  </si>
  <si>
    <t>Serena Jane Wallace</t>
  </si>
  <si>
    <t>JanOliver57</t>
  </si>
  <si>
    <t>John Reeve</t>
  </si>
  <si>
    <t>Lettice</t>
  </si>
  <si>
    <t>Janice Kidd</t>
  </si>
  <si>
    <t>Rita Mawson</t>
  </si>
  <si>
    <t>Louisa Crone</t>
  </si>
  <si>
    <t>Emma Nunn</t>
  </si>
  <si>
    <t>Thomas Elvin Nunn</t>
  </si>
  <si>
    <t>Harlett Reeve</t>
  </si>
  <si>
    <t>Thomas Reeve</t>
  </si>
  <si>
    <t>Richard Reeve</t>
  </si>
  <si>
    <t>William Reeve</t>
  </si>
  <si>
    <t>Keith Bartholmew</t>
  </si>
  <si>
    <t>Keith Bartholomew</t>
  </si>
  <si>
    <t>William George Cobb</t>
  </si>
  <si>
    <t>Joan Beryl Cobb</t>
  </si>
  <si>
    <t>George Edward Cobb</t>
  </si>
  <si>
    <t>Ellen Noble</t>
  </si>
  <si>
    <t>Thomas Downing Noble</t>
  </si>
  <si>
    <t>Mark noble</t>
  </si>
  <si>
    <t>Cathy Boyce</t>
  </si>
  <si>
    <t>Isaac Freer</t>
  </si>
  <si>
    <t>Hester Jansen</t>
  </si>
  <si>
    <t>Isaac Fryar</t>
  </si>
  <si>
    <t>Thomas Fryar</t>
  </si>
  <si>
    <t>Charles H Fryar</t>
  </si>
  <si>
    <t>Hiram fryar</t>
  </si>
  <si>
    <t>Jonah Fryer</t>
  </si>
  <si>
    <t>Cathy Fryer</t>
  </si>
  <si>
    <t>T.E.</t>
  </si>
  <si>
    <t>Henry Clay Fryar</t>
  </si>
  <si>
    <t>Thomas J Fryar</t>
  </si>
  <si>
    <t>Dorthulia Fryar</t>
  </si>
  <si>
    <t>Daisy Jean Childers</t>
  </si>
  <si>
    <t>Bonnie A Childers</t>
  </si>
  <si>
    <t>Male Childers</t>
  </si>
  <si>
    <t>Jill Childers</t>
  </si>
  <si>
    <t>Eric Smith</t>
  </si>
  <si>
    <t>Mary Fryar</t>
  </si>
  <si>
    <t>Sarah Jane Long</t>
  </si>
  <si>
    <t>Mary Shackleford</t>
  </si>
  <si>
    <t>Sarah May Anderson</t>
  </si>
  <si>
    <t>Edward Dennis Smith</t>
  </si>
  <si>
    <t>Samuel A Smith</t>
  </si>
  <si>
    <t>Samuel_36</t>
  </si>
  <si>
    <t>JILL591200</t>
  </si>
  <si>
    <t>Jo-An Cox</t>
  </si>
  <si>
    <t>Catherine Long</t>
  </si>
  <si>
    <t>Elizabeth Beatty</t>
  </si>
  <si>
    <t>Thomas Isaac Carter</t>
  </si>
  <si>
    <t>Clara Louise Carter</t>
  </si>
  <si>
    <t>Jo-An Vaillette</t>
  </si>
  <si>
    <t>bmarsh7525</t>
  </si>
  <si>
    <t>William Fryar</t>
  </si>
  <si>
    <t>William Friar</t>
  </si>
  <si>
    <t>William Riley Friar</t>
  </si>
  <si>
    <t>Nannie Friar</t>
  </si>
  <si>
    <t>Jerry Cleo Marsh</t>
  </si>
  <si>
    <t>Beth Marsh</t>
  </si>
  <si>
    <t>4th Cousin 1xRemoved</t>
  </si>
  <si>
    <t>MichelleGriswold16</t>
  </si>
  <si>
    <t>Garrett Fryar</t>
  </si>
  <si>
    <t>Mary C Fryar</t>
  </si>
  <si>
    <t>Alexander Wilhite</t>
  </si>
  <si>
    <t>Evelyn Wilhite</t>
  </si>
  <si>
    <t>Female Wilhite</t>
  </si>
  <si>
    <t>Female Shelton</t>
  </si>
  <si>
    <t>Michelle Dyer</t>
  </si>
  <si>
    <t>5th Cousin 1xRemoved</t>
  </si>
  <si>
    <t>dzw50</t>
  </si>
  <si>
    <t xml:space="preserve">Isaac Freer </t>
  </si>
  <si>
    <t>Marie Haye</t>
  </si>
  <si>
    <t>Abraham Freer</t>
  </si>
  <si>
    <t>Solomon Freer</t>
  </si>
  <si>
    <t>Anthony Freer</t>
  </si>
  <si>
    <t>Samuel freer</t>
  </si>
  <si>
    <t>Alexander Freer</t>
  </si>
  <si>
    <t>John Alexander Freer</t>
  </si>
  <si>
    <t>Reuben Freer</t>
  </si>
  <si>
    <t>Annice Lee wilson</t>
  </si>
  <si>
    <t>Leora Mae Freer</t>
  </si>
  <si>
    <t>D Z White</t>
  </si>
  <si>
    <t>Hugo Freer</t>
  </si>
  <si>
    <t>Rebecca Freer</t>
  </si>
  <si>
    <t>Youncha Louw</t>
  </si>
  <si>
    <t>Samuel Freer</t>
  </si>
  <si>
    <t>Matched Ancestry 1</t>
  </si>
  <si>
    <t>Matched Ancestry 2</t>
  </si>
  <si>
    <t>baltimore_ben</t>
  </si>
  <si>
    <t>15cM</t>
  </si>
  <si>
    <t>William G S Fryar</t>
  </si>
  <si>
    <t>Isaac F Fryar</t>
  </si>
  <si>
    <t>Dora Elizabeth Fryar</t>
  </si>
  <si>
    <t>Mary J Ford</t>
  </si>
  <si>
    <t>Male Robinson</t>
  </si>
  <si>
    <t>Ben Robinson</t>
  </si>
  <si>
    <t>melissawilhitegmailcom</t>
  </si>
  <si>
    <t>Margaret L Fryar</t>
  </si>
  <si>
    <t>Mark Wilhite</t>
  </si>
  <si>
    <t>Raymond Lee Wilhite</t>
  </si>
  <si>
    <t>Male Wilhite</t>
  </si>
  <si>
    <t>Melissa Wilhite</t>
  </si>
  <si>
    <t>Deitrah Woytasczyk</t>
  </si>
  <si>
    <t>John Fryar</t>
  </si>
  <si>
    <t>Thomas J T Fryar</t>
  </si>
  <si>
    <t>John William Fryar</t>
  </si>
  <si>
    <t>Lambeth H Fryar</t>
  </si>
  <si>
    <t>Eddie L Fryar</t>
  </si>
  <si>
    <t>Deitrah Fryar</t>
  </si>
  <si>
    <t>J G Mason</t>
  </si>
  <si>
    <t>James Harvey Fryar</t>
  </si>
  <si>
    <t>Walter Louis Fryar</t>
  </si>
  <si>
    <t>Ina Carolyn Fryar</t>
  </si>
  <si>
    <t>Wendy Hilburn</t>
  </si>
  <si>
    <t>Wendy fryar</t>
  </si>
  <si>
    <t>M.E.</t>
  </si>
  <si>
    <t>Martha Ann Fryar</t>
  </si>
  <si>
    <t>Mary Frances Henson</t>
  </si>
  <si>
    <t>Cora Carpenter</t>
  </si>
  <si>
    <t>Mary Evelyn Garrett</t>
  </si>
  <si>
    <t>M Ellis</t>
  </si>
  <si>
    <t>Ginnie Smith</t>
  </si>
  <si>
    <t>Mary Freer</t>
  </si>
  <si>
    <t>Jacob Viele</t>
  </si>
  <si>
    <t>Jane Viele</t>
  </si>
  <si>
    <t>Mary Olney</t>
  </si>
  <si>
    <t>Charles Manly Randall</t>
  </si>
  <si>
    <t>Minnie Randall</t>
  </si>
  <si>
    <t>Venita Heron</t>
  </si>
  <si>
    <t>Beverly Youmans</t>
  </si>
  <si>
    <t>Ginnie Sudman</t>
  </si>
  <si>
    <t>7th Cousin 1xremoved</t>
  </si>
  <si>
    <t>David Fryar</t>
  </si>
  <si>
    <t>Robert T Fryar</t>
  </si>
  <si>
    <t>Isaac Boston Fryar</t>
  </si>
  <si>
    <t>Robert Rankin Fryar</t>
  </si>
  <si>
    <t>William Arthur Fryar</t>
  </si>
  <si>
    <t>Male Fryar</t>
  </si>
  <si>
    <t>Akhila Klein</t>
  </si>
  <si>
    <t>Gerrit Freer</t>
  </si>
  <si>
    <t>Brechie Freer</t>
  </si>
  <si>
    <t>Garrett Deyo</t>
  </si>
  <si>
    <t>Moses Deyo</t>
  </si>
  <si>
    <t>Emma Deyo</t>
  </si>
  <si>
    <t>Edward Starling</t>
  </si>
  <si>
    <t>Ira Starling</t>
  </si>
  <si>
    <t>Akhila Starling</t>
  </si>
  <si>
    <t>jwise8123</t>
  </si>
  <si>
    <t>Burk F Fryar</t>
  </si>
  <si>
    <t>Edith Iona Fryar</t>
  </si>
  <si>
    <t>Female Evans</t>
  </si>
  <si>
    <t>J Wise</t>
  </si>
  <si>
    <t>Jeanne Batha</t>
  </si>
  <si>
    <t>Wiliam Riley Friar</t>
  </si>
  <si>
    <t>Susan Friar</t>
  </si>
  <si>
    <t>William FrIar</t>
  </si>
  <si>
    <t>Willetta Irby</t>
  </si>
  <si>
    <t>Jeanne Arnold</t>
  </si>
  <si>
    <t>M.C.</t>
  </si>
  <si>
    <t>Polly Jane Fryar</t>
  </si>
  <si>
    <t>Lydia Fryar</t>
  </si>
  <si>
    <t>Female Norman</t>
  </si>
  <si>
    <t>M Clark</t>
  </si>
  <si>
    <t>William G G Fryar</t>
  </si>
  <si>
    <t>D R</t>
  </si>
  <si>
    <t>Elizabeth Fryar</t>
  </si>
  <si>
    <t>Elijah Driscol</t>
  </si>
  <si>
    <t>Margrette Driscol</t>
  </si>
  <si>
    <t>Maggie Ann Oates</t>
  </si>
  <si>
    <t>Rilda Margaret Collins</t>
  </si>
  <si>
    <t>Darrell Sloan Ramsey</t>
  </si>
  <si>
    <t>D Ramsey</t>
  </si>
  <si>
    <t>Steve Williams</t>
  </si>
  <si>
    <t>Simon P Fryar</t>
  </si>
  <si>
    <t>Female Fryar</t>
  </si>
  <si>
    <t>B.F.</t>
  </si>
  <si>
    <t>Bernice Oneal Collins</t>
  </si>
  <si>
    <t>B Fletcher</t>
  </si>
  <si>
    <t>Jimmie Snider</t>
  </si>
  <si>
    <t>Artie Mae Fryar</t>
  </si>
  <si>
    <t>James Harry Snider</t>
  </si>
  <si>
    <t>daniels_jim</t>
  </si>
  <si>
    <t>Dicie Ann Wilhite</t>
  </si>
  <si>
    <t>Robert Lee Reed</t>
  </si>
  <si>
    <t>Female Reed</t>
  </si>
  <si>
    <t>Jim Daniels</t>
  </si>
  <si>
    <t>West Stinnett</t>
  </si>
  <si>
    <t>Darathulia Fryar</t>
  </si>
  <si>
    <t>Ethel Childers</t>
  </si>
  <si>
    <t>Bonnie Jewell Nelson</t>
  </si>
  <si>
    <t>Female West</t>
  </si>
  <si>
    <t>Joyce Talbot</t>
  </si>
  <si>
    <t>Louisa Fryar</t>
  </si>
  <si>
    <t>Mel Johnson</t>
  </si>
  <si>
    <t>Joyce Hill</t>
  </si>
  <si>
    <t>dianecaldwell92</t>
  </si>
  <si>
    <t>Jacob S Freer</t>
  </si>
  <si>
    <t>Jacobus Freer</t>
  </si>
  <si>
    <t>Peter Freer</t>
  </si>
  <si>
    <t>Albert Freer</t>
  </si>
  <si>
    <t>Harry Freer</t>
  </si>
  <si>
    <t>Freda Freer</t>
  </si>
  <si>
    <t>Billy Eugene Hurst</t>
  </si>
  <si>
    <t>Diane Hurst</t>
  </si>
  <si>
    <t>R.M.</t>
  </si>
  <si>
    <t>Mollie Friar</t>
  </si>
  <si>
    <t>Dora Dean Prater</t>
  </si>
  <si>
    <t>R Miller</t>
  </si>
  <si>
    <t>Christine VanKleek</t>
  </si>
  <si>
    <t>Janetjen Freer</t>
  </si>
  <si>
    <t>Hugo VanKleek</t>
  </si>
  <si>
    <t>Abraham VanKleek</t>
  </si>
  <si>
    <t>Hugo S Vankleek</t>
  </si>
  <si>
    <t>John A Vankleek</t>
  </si>
  <si>
    <t>Basil Vankleek</t>
  </si>
  <si>
    <t>Lionel Vankleek</t>
  </si>
  <si>
    <t>Christine Vankleek</t>
  </si>
  <si>
    <t>GMDimples33</t>
  </si>
  <si>
    <t>Rachel Freer</t>
  </si>
  <si>
    <t>Elizabeth Terboss</t>
  </si>
  <si>
    <t>John Brinckerhoff</t>
  </si>
  <si>
    <t>Henry Brinckerhoff</t>
  </si>
  <si>
    <t>Sarah Brinckerhoff</t>
  </si>
  <si>
    <t>Peter Emeroy Minard</t>
  </si>
  <si>
    <t>Royd Duane Minard</t>
  </si>
  <si>
    <t>Harold R Minard</t>
  </si>
  <si>
    <t>Male Minard</t>
  </si>
  <si>
    <t>G M Minard</t>
  </si>
  <si>
    <t>8th Cousin 3xremoved</t>
  </si>
  <si>
    <t>sturcotte14</t>
  </si>
  <si>
    <t>Ezekiel Freer</t>
  </si>
  <si>
    <t>Daniel Freer</t>
  </si>
  <si>
    <t>John L Freer</t>
  </si>
  <si>
    <t>Reed Freer</t>
  </si>
  <si>
    <t>Marie Regina Freer</t>
  </si>
  <si>
    <t>Female Barger</t>
  </si>
  <si>
    <t>Sturcotte Roberts</t>
  </si>
  <si>
    <t>Ronald Dahms</t>
  </si>
  <si>
    <t>Simeon Freer</t>
  </si>
  <si>
    <t>Elias Frayer</t>
  </si>
  <si>
    <t>Simon E Frear</t>
  </si>
  <si>
    <t>Martha Belle Frear</t>
  </si>
  <si>
    <t>Henry Joseph Bird</t>
  </si>
  <si>
    <t>Aristine Bird</t>
  </si>
  <si>
    <t>Ronald H Dahms</t>
  </si>
  <si>
    <t>8th Cousin 1xremoved</t>
  </si>
  <si>
    <t>kathccaz</t>
  </si>
  <si>
    <t>Catrina Freer</t>
  </si>
  <si>
    <t>Maria Van Wagenen</t>
  </si>
  <si>
    <t>Igenas Dumond</t>
  </si>
  <si>
    <t>Abraham Dumond</t>
  </si>
  <si>
    <t>Amos Dumond</t>
  </si>
  <si>
    <t>Mary Jane Dumond</t>
  </si>
  <si>
    <t>Carrie Jane Cammer</t>
  </si>
  <si>
    <t>Lona O'Connor</t>
  </si>
  <si>
    <t>Kath Davis</t>
  </si>
  <si>
    <t>William Harris</t>
  </si>
  <si>
    <t>Johannes Freer</t>
  </si>
  <si>
    <t>MarretJe Freer</t>
  </si>
  <si>
    <t>Anna Keator</t>
  </si>
  <si>
    <t>Homer Knight Soper</t>
  </si>
  <si>
    <t>Inez Lorene Soper</t>
  </si>
  <si>
    <t>Lloyd Dean Harris</t>
  </si>
  <si>
    <t>Kimberly Kniffin</t>
  </si>
  <si>
    <t>Elizabeth Freer</t>
  </si>
  <si>
    <t>Ezekiel Auchmoody</t>
  </si>
  <si>
    <t>Andrew Auchmoody</t>
  </si>
  <si>
    <t>Kimberly Auchmoody</t>
  </si>
  <si>
    <t>Paulus Freer</t>
  </si>
  <si>
    <t>Moses Freer</t>
  </si>
  <si>
    <t>Annetje Freer</t>
  </si>
  <si>
    <t>Moses Auchmoody</t>
  </si>
  <si>
    <t>Jacob Freer</t>
  </si>
  <si>
    <t>Zara Freer</t>
  </si>
  <si>
    <t>Jacob I Freer</t>
  </si>
  <si>
    <t>Matched Ancestry 3</t>
  </si>
  <si>
    <t>Matched Ancestry 4</t>
  </si>
  <si>
    <t>Nicole Wilkins</t>
  </si>
  <si>
    <t>Mary Polly Long</t>
  </si>
  <si>
    <t>William Grissom</t>
  </si>
  <si>
    <t>Don Grissom</t>
  </si>
  <si>
    <t>Female Grissom</t>
  </si>
  <si>
    <t>Brenda wilkins</t>
  </si>
  <si>
    <t>Brenda Wilkins</t>
  </si>
  <si>
    <t>Debbie Dutson</t>
  </si>
  <si>
    <t>William Freer</t>
  </si>
  <si>
    <t>Sara Freer</t>
  </si>
  <si>
    <t>John Carling</t>
  </si>
  <si>
    <t>Abraham Carling</t>
  </si>
  <si>
    <t>Franklin Carling</t>
  </si>
  <si>
    <t>Norval Carling</t>
  </si>
  <si>
    <t>Female Carling</t>
  </si>
  <si>
    <t>8th Cousin 1xRemoved</t>
  </si>
  <si>
    <t>McLaughlin</t>
  </si>
  <si>
    <t>Geertruy Freer</t>
  </si>
  <si>
    <t>Abram Schutt</t>
  </si>
  <si>
    <t>Hendrick Schutt</t>
  </si>
  <si>
    <t>Samuel Schutt</t>
  </si>
  <si>
    <t>Deborah Schutt</t>
  </si>
  <si>
    <t>Warner Bowers</t>
  </si>
  <si>
    <t>Kathryn Bowers</t>
  </si>
  <si>
    <t xml:space="preserve">8th Cousin </t>
  </si>
  <si>
    <t>Jon Schwindt</t>
  </si>
  <si>
    <t>Janetje Schutt</t>
  </si>
  <si>
    <t>Jemima Oosterhout</t>
  </si>
  <si>
    <t>William Oosterhout</t>
  </si>
  <si>
    <t>Henriette Reavely</t>
  </si>
  <si>
    <t>George Nelson Butler</t>
  </si>
  <si>
    <t>Elsie Medora Butler</t>
  </si>
  <si>
    <t>Evelyn Little</t>
  </si>
  <si>
    <t>Patricia Methven</t>
  </si>
  <si>
    <t>Emoline Fryar</t>
  </si>
  <si>
    <t>Van McGill Scott</t>
  </si>
  <si>
    <t>Hazel Alice Scott</t>
  </si>
  <si>
    <t>Female Land</t>
  </si>
  <si>
    <t>Patricia Langford</t>
  </si>
  <si>
    <t>tjpounds</t>
  </si>
  <si>
    <t>John Shrewsbury</t>
  </si>
  <si>
    <t>Mary Shrewsbury</t>
  </si>
  <si>
    <t>Sarah Sally Dabney</t>
  </si>
  <si>
    <t>Charles E Pratt</t>
  </si>
  <si>
    <t>George W Pratt</t>
  </si>
  <si>
    <t>James Emerson Pratt</t>
  </si>
  <si>
    <t>Bertha Thelma Pratt</t>
  </si>
  <si>
    <t>Thelma Jean Brown</t>
  </si>
  <si>
    <t>C.W.</t>
  </si>
  <si>
    <t>Richard Shrewsbury</t>
  </si>
  <si>
    <t>Ernest H Shrewsbury</t>
  </si>
  <si>
    <t>Ernest D Shrewsbury</t>
  </si>
  <si>
    <t>Female Shrewsbury</t>
  </si>
  <si>
    <t>Unknown Female</t>
  </si>
  <si>
    <t>Delia Engstrom</t>
  </si>
  <si>
    <t>Marie Anne Leroy</t>
  </si>
  <si>
    <t>Daniel D Freer</t>
  </si>
  <si>
    <t>Mary Polly Freer</t>
  </si>
  <si>
    <t>Rufus Dubois</t>
  </si>
  <si>
    <t>Minnie Mae Dubois</t>
  </si>
  <si>
    <t>Richard Tallman</t>
  </si>
  <si>
    <t>Male Tallman</t>
  </si>
  <si>
    <t>Delia Tallman</t>
  </si>
  <si>
    <t>Emily Davies</t>
  </si>
  <si>
    <t>Aagjen Agatha Freer</t>
  </si>
  <si>
    <t>David Dutcher</t>
  </si>
  <si>
    <t>John Romer Dutcher</t>
  </si>
  <si>
    <t>Rufus Monroe Dutcher</t>
  </si>
  <si>
    <t>Robert Henry Dutcher</t>
  </si>
  <si>
    <t>Female Dutcher</t>
  </si>
  <si>
    <t>Female Hatch</t>
  </si>
  <si>
    <t>Emily Drew</t>
  </si>
  <si>
    <t>Vicki Dodge</t>
  </si>
  <si>
    <t>Jonathan Fryar</t>
  </si>
  <si>
    <t>Mary Polly Frayer</t>
  </si>
  <si>
    <t>William Thomas Moore</t>
  </si>
  <si>
    <t>Mahukla Jane Moore</t>
  </si>
  <si>
    <t>Delpha Ann Scott</t>
  </si>
  <si>
    <t>Martha Louise Manes</t>
  </si>
  <si>
    <t>Hazel Perry</t>
  </si>
  <si>
    <t>Male Dodge</t>
  </si>
  <si>
    <t>5th Cousin 2xRemoved</t>
  </si>
  <si>
    <t>Alfred Horton</t>
  </si>
  <si>
    <t>Jacob Freer Weist</t>
  </si>
  <si>
    <t>Isaac Weist</t>
  </si>
  <si>
    <t>Charles Anson Weist</t>
  </si>
  <si>
    <t>Florence Weist</t>
  </si>
  <si>
    <t>George David Cutler</t>
  </si>
  <si>
    <t>Female Cutler</t>
  </si>
  <si>
    <t>7th Cousin 2xremoved</t>
  </si>
  <si>
    <t>Julie Larocque</t>
  </si>
  <si>
    <t>Blandino Freer</t>
  </si>
  <si>
    <t>Simeon Leroy</t>
  </si>
  <si>
    <t>Cecilia Leroy</t>
  </si>
  <si>
    <t>Mary E Docksteader</t>
  </si>
  <si>
    <t>Walter MacVicar</t>
  </si>
  <si>
    <t>Elizabeth MacVicar</t>
  </si>
  <si>
    <t>Mary Elizabeth Mc Lean</t>
  </si>
  <si>
    <t>John Carl Earl Gunn</t>
  </si>
  <si>
    <t>Margaret Emma Gunn</t>
  </si>
  <si>
    <t>PRonaldTrick</t>
  </si>
  <si>
    <t>Maria Leroy</t>
  </si>
  <si>
    <t>John Jacob Coapman</t>
  </si>
  <si>
    <t>Thornton Coapman</t>
  </si>
  <si>
    <t>Elizabeth Copeman</t>
  </si>
  <si>
    <t>William E Ronald</t>
  </si>
  <si>
    <t>Russel Joseph Ronald</t>
  </si>
  <si>
    <t>P Ronald</t>
  </si>
  <si>
    <t>Ray Davis</t>
  </si>
  <si>
    <t>Ambrose J M Robertson</t>
  </si>
  <si>
    <t>Ivy Minnie Robertson</t>
  </si>
  <si>
    <t>Raymond William Davis</t>
  </si>
  <si>
    <t>2nd Cousin 1xRemoved</t>
  </si>
  <si>
    <t>peterjm57</t>
  </si>
  <si>
    <t>Harriet Ruddock</t>
  </si>
  <si>
    <t>Annie E Porter</t>
  </si>
  <si>
    <t>Jessie A C Cowland</t>
  </si>
  <si>
    <t>Frederick C Mead</t>
  </si>
  <si>
    <t>Peter J Mead</t>
  </si>
  <si>
    <t>112cM</t>
  </si>
  <si>
    <t>Ethel Christine Hall</t>
  </si>
  <si>
    <t>Marian C Sporle</t>
  </si>
  <si>
    <t>Katrina Helen Mexson</t>
  </si>
  <si>
    <t>Cherish Maxwell</t>
  </si>
  <si>
    <t>Darlene Kilhorn</t>
  </si>
  <si>
    <t>Ruby Darlene Snider</t>
  </si>
  <si>
    <t>Elizabeth Denton</t>
  </si>
  <si>
    <t>292cM</t>
  </si>
  <si>
    <t>215cM</t>
  </si>
  <si>
    <t>265cM</t>
  </si>
  <si>
    <t>127cM</t>
  </si>
  <si>
    <t>52cM</t>
  </si>
  <si>
    <t>47cM</t>
  </si>
  <si>
    <t>55cM</t>
  </si>
  <si>
    <t>63cM</t>
  </si>
  <si>
    <t>43cM</t>
  </si>
  <si>
    <t>Robert Hall</t>
  </si>
  <si>
    <t>33cM</t>
  </si>
  <si>
    <t>James Hall</t>
  </si>
  <si>
    <t>Robert Henry Hall</t>
  </si>
  <si>
    <t>Robert James Hall</t>
  </si>
  <si>
    <t>30cM</t>
  </si>
  <si>
    <t>Steve_Jezzard</t>
  </si>
  <si>
    <t>32cM</t>
  </si>
  <si>
    <t>Charlotte A Bushell</t>
  </si>
  <si>
    <t>Emily Ann Denne</t>
  </si>
  <si>
    <t>Daisy Emily Denne</t>
  </si>
  <si>
    <t>Herbert Haywood</t>
  </si>
  <si>
    <t>Peter Heywood</t>
  </si>
  <si>
    <t>Christine Anne Barlow</t>
  </si>
  <si>
    <t>John Patrick</t>
  </si>
  <si>
    <t>Mary Miller</t>
  </si>
  <si>
    <t>Jill Elaine Robertson</t>
  </si>
  <si>
    <t>Ann Patrick</t>
  </si>
  <si>
    <t>Mary Toms</t>
  </si>
  <si>
    <t>John Toms Hillyard</t>
  </si>
  <si>
    <t>Mabel L Hillyard</t>
  </si>
  <si>
    <t>Eric Barlow</t>
  </si>
  <si>
    <t>Hannah Gravenor</t>
  </si>
  <si>
    <t>Harriet Biddle</t>
  </si>
  <si>
    <t>Mary Curnock</t>
  </si>
  <si>
    <t>Harry C Stephens</t>
  </si>
  <si>
    <t>Joseph H Stephens</t>
  </si>
  <si>
    <t>Pamela R Stephens</t>
  </si>
  <si>
    <t>Terri Turner</t>
  </si>
  <si>
    <t>Douglas E Fenning</t>
  </si>
  <si>
    <t>Patricia Nugent</t>
  </si>
  <si>
    <t>George Bluck</t>
  </si>
  <si>
    <t>Francis W Bluck</t>
  </si>
  <si>
    <t>Beatrice L Bluck</t>
  </si>
  <si>
    <t>Augusta Coleman</t>
  </si>
  <si>
    <t>Ernest Alfred Lock</t>
  </si>
  <si>
    <t>June Patricia Lock</t>
  </si>
  <si>
    <t>Chris E Mahaffey</t>
  </si>
  <si>
    <t>Adam Mahaffey</t>
  </si>
  <si>
    <t>rhino2_yv22</t>
  </si>
  <si>
    <t>Sarah E Patrick</t>
  </si>
  <si>
    <t>Jane E Weller</t>
  </si>
  <si>
    <t>Jane Maud Newmarch</t>
  </si>
  <si>
    <t>Phyllis Maude Clarke</t>
  </si>
  <si>
    <t>Male Pettitt</t>
  </si>
  <si>
    <t>Harry Walter Coleman</t>
  </si>
  <si>
    <t>Louisa Elvie Coleman</t>
  </si>
  <si>
    <t>Edward Harry Atkins</t>
  </si>
  <si>
    <t>Rob Atkins</t>
  </si>
  <si>
    <t>Richard Howard</t>
  </si>
  <si>
    <t>Elizabeth F Jezzard</t>
  </si>
  <si>
    <t>Frances May Gillett</t>
  </si>
  <si>
    <t>flossdobalobs</t>
  </si>
  <si>
    <t>Richard Ruddock</t>
  </si>
  <si>
    <t>William Armstrong</t>
  </si>
  <si>
    <t>Eliza Armstrong</t>
  </si>
  <si>
    <t>Percy Brett</t>
  </si>
  <si>
    <t>Female Jordan</t>
  </si>
  <si>
    <t>Joseph Macey</t>
  </si>
  <si>
    <t>Elizabeth Ann Mercer</t>
  </si>
  <si>
    <t>Constance Knox</t>
  </si>
  <si>
    <t>Cyril Percy Dakin</t>
  </si>
  <si>
    <t>Richard Dakin</t>
  </si>
  <si>
    <t>Sandrastephens1</t>
  </si>
  <si>
    <t>Samuel Ruddock</t>
  </si>
  <si>
    <t>William Ruddock</t>
  </si>
  <si>
    <t>Susan Ruddock</t>
  </si>
  <si>
    <t>William M Fisher</t>
  </si>
  <si>
    <t>Daphne F Fisher</t>
  </si>
  <si>
    <t>Sandra Joy Hazelwood</t>
  </si>
  <si>
    <t>Michael Williams</t>
  </si>
  <si>
    <t>David John Williams</t>
  </si>
  <si>
    <t>Elizabeth Hope</t>
  </si>
  <si>
    <t>Mabel Otley</t>
  </si>
  <si>
    <t>Rachel Mabel Garton</t>
  </si>
  <si>
    <t>Lilian Mabel Grigg</t>
  </si>
  <si>
    <t>Brian C Silver</t>
  </si>
  <si>
    <t>Catherine A Silver</t>
  </si>
  <si>
    <t>Elizabeth Brown</t>
  </si>
  <si>
    <t>nelliewinnie70</t>
  </si>
  <si>
    <t>George Ruddock</t>
  </si>
  <si>
    <t>Susanna Ruddock</t>
  </si>
  <si>
    <t>Euston Finch</t>
  </si>
  <si>
    <t>Evelyn Finch</t>
  </si>
  <si>
    <t>Winifred Finch</t>
  </si>
  <si>
    <t>Mandy J Moore</t>
  </si>
  <si>
    <t>Gwendoline Williams</t>
  </si>
  <si>
    <t>Mandy Ridgeon</t>
  </si>
  <si>
    <t>Grace Dunkerley</t>
  </si>
  <si>
    <t>31cM</t>
  </si>
  <si>
    <t>James A F Hall</t>
  </si>
  <si>
    <t>Bryce Masters</t>
  </si>
  <si>
    <t>Evelyn Grace Masters</t>
  </si>
  <si>
    <t>Linda D Stemp</t>
  </si>
  <si>
    <t>6th Cousin 1xRemoved</t>
  </si>
  <si>
    <t>Michael Hogbin</t>
  </si>
  <si>
    <t>Elizabeth Miriams</t>
  </si>
  <si>
    <t>Elizabeth Hogben</t>
  </si>
  <si>
    <t>Charles H Bushell</t>
  </si>
  <si>
    <t>S Hildreth</t>
  </si>
  <si>
    <t>Mathew Taylor</t>
  </si>
  <si>
    <t>Maria Ruddock</t>
  </si>
  <si>
    <t>Mary Pearce</t>
  </si>
  <si>
    <t>William J N Moss</t>
  </si>
  <si>
    <t>William Newman Moss</t>
  </si>
  <si>
    <t>William John Moss</t>
  </si>
  <si>
    <t>Mathew Edmund Taylor</t>
  </si>
  <si>
    <t>penelopewhite_1</t>
  </si>
  <si>
    <t>Catherine Salmon</t>
  </si>
  <si>
    <t>Florence Wilder</t>
  </si>
  <si>
    <t>Gladys Wieland</t>
  </si>
  <si>
    <t>Jack Michael Jeanes</t>
  </si>
  <si>
    <t>Penelope Jeanes</t>
  </si>
  <si>
    <t xml:space="preserve">6th Cousin </t>
  </si>
  <si>
    <t>Stuart Smith</t>
  </si>
  <si>
    <t>Alfred John Ruddock</t>
  </si>
  <si>
    <t>Arthur Leslie Ruddock</t>
  </si>
  <si>
    <t>Gladys Eileen Ruddock</t>
  </si>
  <si>
    <t>Female Blakestone</t>
  </si>
  <si>
    <t>Karen Trafford</t>
  </si>
  <si>
    <t>Karen Smith</t>
  </si>
  <si>
    <t>Male Sewell</t>
  </si>
  <si>
    <t>Arthur Theodore Sewell</t>
  </si>
  <si>
    <t>kgrboston</t>
  </si>
  <si>
    <t>Hugo Abraham Freer</t>
  </si>
  <si>
    <t>Matthew Freer</t>
  </si>
  <si>
    <t>Zachariah Freer</t>
  </si>
  <si>
    <t>Charles E Freer</t>
  </si>
  <si>
    <t>Harold Earl Freer</t>
  </si>
  <si>
    <t>Janice Jean Freer</t>
  </si>
  <si>
    <t>Keith G Reynolds</t>
  </si>
  <si>
    <t>Ken Parnham</t>
  </si>
  <si>
    <t>Dennis Edward Parnham</t>
  </si>
  <si>
    <t>Verlon Dennis Parnham</t>
  </si>
  <si>
    <t>Vesta Jane Whited</t>
  </si>
  <si>
    <t>Margaret E Smith</t>
  </si>
  <si>
    <t>Dempsey Drury Smith</t>
  </si>
  <si>
    <t>Sabra Fryar</t>
  </si>
  <si>
    <t>21.5cM</t>
  </si>
  <si>
    <t>14.2cM</t>
  </si>
  <si>
    <t>48cM</t>
  </si>
  <si>
    <t>16.7cM</t>
  </si>
  <si>
    <t>Devon Maree Bull</t>
  </si>
  <si>
    <t>50cM</t>
  </si>
  <si>
    <t>34.6cM</t>
  </si>
  <si>
    <t>8.1cM</t>
  </si>
  <si>
    <t>Caitlin Ruddock</t>
  </si>
  <si>
    <t>3rd to Distant Cousin</t>
  </si>
  <si>
    <t>Robert Ruddock</t>
  </si>
  <si>
    <t>Caroline Ruddock</t>
  </si>
  <si>
    <t>Ernest William Ruddock</t>
  </si>
  <si>
    <t>Arthur Hubert Ruddock</t>
  </si>
  <si>
    <t>Michael E Ruddock</t>
  </si>
  <si>
    <t>Michael A Ruddock</t>
  </si>
  <si>
    <t>Caitlin Mary Ruddock</t>
  </si>
  <si>
    <t>Michael Vaillette</t>
  </si>
  <si>
    <t>Barbara Lee</t>
  </si>
  <si>
    <t>Sarah Ann Fryar</t>
  </si>
  <si>
    <t>Jesse Lewellen</t>
  </si>
  <si>
    <t>Armon Lewellen</t>
  </si>
  <si>
    <t>Viola Valca Lewellen</t>
  </si>
  <si>
    <t>Betty Jane Roederer</t>
  </si>
  <si>
    <t>Barbara Jako</t>
  </si>
  <si>
    <t>Kathyrn Price</t>
  </si>
  <si>
    <t>Simon Freer</t>
  </si>
  <si>
    <t>Simon Peter Friars</t>
  </si>
  <si>
    <t>Simon Friars</t>
  </si>
  <si>
    <t>Mary S Friars</t>
  </si>
  <si>
    <t>Sarah Elizabeth Price</t>
  </si>
  <si>
    <t>Mariner Joseph Price</t>
  </si>
  <si>
    <t>Ephraim Nathan Price</t>
  </si>
  <si>
    <t>Cathryn Price</t>
  </si>
  <si>
    <t>patmccoombes</t>
  </si>
  <si>
    <t>Margaret Sturgeon</t>
  </si>
  <si>
    <t>Edgar Otley</t>
  </si>
  <si>
    <t>Samuel Ottley</t>
  </si>
  <si>
    <t>Eliza Ottley</t>
  </si>
  <si>
    <t>Charlotte Ashby</t>
  </si>
  <si>
    <t>Olive Babbs</t>
  </si>
  <si>
    <t>Clifford L Beazley</t>
  </si>
  <si>
    <t>Pat Beazley</t>
  </si>
  <si>
    <t>Marion McMichael</t>
  </si>
  <si>
    <t>John Harry Everitt</t>
  </si>
  <si>
    <t>Miriam Eileen Everitt</t>
  </si>
  <si>
    <t>Marion Ann Morris</t>
  </si>
  <si>
    <t>Jemima Nankivell</t>
  </si>
  <si>
    <t>G.C.</t>
  </si>
  <si>
    <t>William Marsh Beavis</t>
  </si>
  <si>
    <t>John James Beavis</t>
  </si>
  <si>
    <t>Eliza Frances Beavis</t>
  </si>
  <si>
    <t>Henry John Coombs</t>
  </si>
  <si>
    <t>Male Coombs</t>
  </si>
  <si>
    <t>Kevin James Coombs</t>
  </si>
  <si>
    <t>G Coombs</t>
  </si>
  <si>
    <t>Lynne Hollands</t>
  </si>
  <si>
    <t>Lynne Davies</t>
  </si>
  <si>
    <t>Paul Paton</t>
  </si>
  <si>
    <t>34cM</t>
  </si>
  <si>
    <t>T.F.</t>
  </si>
  <si>
    <t>Jesse Milton Lewellen</t>
  </si>
  <si>
    <t>Jesse Ruth Lewellen</t>
  </si>
  <si>
    <t>T Followwell</t>
  </si>
  <si>
    <t>Female Lewellen</t>
  </si>
  <si>
    <t>Michael Coleman</t>
  </si>
  <si>
    <t>Edwin Coleman</t>
  </si>
  <si>
    <t>Harry Leslie Coleman</t>
  </si>
  <si>
    <t>Celia Ann Newport</t>
  </si>
  <si>
    <t>Darren James Newport</t>
  </si>
  <si>
    <t>Tristam Rea</t>
  </si>
  <si>
    <t>Derek Kenneth Baker</t>
  </si>
  <si>
    <t>Doreen J Baker</t>
  </si>
  <si>
    <t>Tristam James Rea</t>
  </si>
  <si>
    <t>Katie Louise Dunkerly</t>
  </si>
  <si>
    <t>Katie Louise Dunkerley</t>
  </si>
  <si>
    <t>ddmunn</t>
  </si>
  <si>
    <t>John M Marriott</t>
  </si>
  <si>
    <t>Anna Louise Marriott</t>
  </si>
  <si>
    <t>Donald Marriott Munn</t>
  </si>
  <si>
    <t>Stuart Warren Munn</t>
  </si>
  <si>
    <t>D D Munn</t>
  </si>
  <si>
    <t>8888MJ</t>
  </si>
  <si>
    <t>Annie Maria Coleman</t>
  </si>
  <si>
    <t>Ellen Gertrude Parren</t>
  </si>
  <si>
    <t>Female King</t>
  </si>
  <si>
    <t>Janet Chater</t>
  </si>
  <si>
    <t>Rose H Clear</t>
  </si>
  <si>
    <t>Janet R Chater</t>
  </si>
  <si>
    <t>Joshua Mesina</t>
  </si>
  <si>
    <t>Grace Alice Kinsley</t>
  </si>
  <si>
    <t>Wilfred Windeback</t>
  </si>
  <si>
    <t>Elizabeth Windeback</t>
  </si>
  <si>
    <t>Nella Grossmann</t>
  </si>
  <si>
    <t>Joshua Luke Mesina</t>
  </si>
  <si>
    <t>Debbie Sargant</t>
  </si>
  <si>
    <t>Frederick J Wright</t>
  </si>
  <si>
    <t>Emma Ellen Patrick</t>
  </si>
  <si>
    <t>Olive Shepherd</t>
  </si>
  <si>
    <t>Deborah C Gipson</t>
  </si>
  <si>
    <t>Sue Edwards</t>
  </si>
  <si>
    <t>hazelpitts552648</t>
  </si>
  <si>
    <t>117cM</t>
  </si>
  <si>
    <t>70cM</t>
  </si>
  <si>
    <t>Eric Cyril French</t>
  </si>
  <si>
    <t xml:space="preserve">3rd Cousin </t>
  </si>
  <si>
    <t>Katharine Robbins</t>
  </si>
  <si>
    <t>Harriet Isabella Sims</t>
  </si>
  <si>
    <t>Thomas Kirk Biddle</t>
  </si>
  <si>
    <t>Frank W Biddle</t>
  </si>
  <si>
    <t>Clarence Biddle</t>
  </si>
  <si>
    <t>Susan Biddle</t>
  </si>
  <si>
    <t>W.W.</t>
  </si>
  <si>
    <t>W Wilson</t>
  </si>
  <si>
    <t>Susan Masson</t>
  </si>
  <si>
    <t>Eliza Ruddock</t>
  </si>
  <si>
    <t>Harry Pleasance</t>
  </si>
  <si>
    <t>Violet Pleasance</t>
  </si>
  <si>
    <t>Mercie Bone</t>
  </si>
  <si>
    <t>Female Edwards</t>
  </si>
  <si>
    <t>Susan Hall</t>
  </si>
  <si>
    <t>David Platt</t>
  </si>
  <si>
    <t>Edith Gertrude Hall</t>
  </si>
  <si>
    <t>Gwendoline Ryder</t>
  </si>
  <si>
    <t>Male Platt</t>
  </si>
  <si>
    <t>Janellecolemana00</t>
  </si>
  <si>
    <t>William Penny</t>
  </si>
  <si>
    <t>Susanna Watts</t>
  </si>
  <si>
    <t>Elizabeth Penny</t>
  </si>
  <si>
    <t>William Bevis</t>
  </si>
  <si>
    <t>Rhoda Emily Bevis</t>
  </si>
  <si>
    <t>Mabel Rose Squire</t>
  </si>
  <si>
    <t>Shirley J Middleton</t>
  </si>
  <si>
    <t>Jannelle Coleman</t>
  </si>
  <si>
    <t>Chris Hatt</t>
  </si>
  <si>
    <t>James Jun Bevis</t>
  </si>
  <si>
    <t>Henry Bevis</t>
  </si>
  <si>
    <t>William George Bevis</t>
  </si>
  <si>
    <t>Joan Kathleen Bevis</t>
  </si>
  <si>
    <t>Christopher David Hatt</t>
  </si>
  <si>
    <t>sarabottell</t>
  </si>
  <si>
    <t>Albert J Bottell</t>
  </si>
  <si>
    <t>jim_comport</t>
  </si>
  <si>
    <t>121cM</t>
  </si>
  <si>
    <t>John Tucker</t>
  </si>
  <si>
    <t>Mary Fooks</t>
  </si>
  <si>
    <t>Elizabeth Tucker</t>
  </si>
  <si>
    <t>Phillip Rodney Comport</t>
  </si>
  <si>
    <t>Rodney C J Comport</t>
  </si>
  <si>
    <t>James P Comport</t>
  </si>
  <si>
    <t>Oliver Gokgol</t>
  </si>
  <si>
    <t>41cM</t>
  </si>
  <si>
    <t>Ann Mary Tucker</t>
  </si>
  <si>
    <t>John George Tutt</t>
  </si>
  <si>
    <t>David Tutt</t>
  </si>
  <si>
    <t>Vivienne Ann Tutt</t>
  </si>
  <si>
    <t>Elizabeth Hardwick</t>
  </si>
  <si>
    <t>5th-6th Cousin</t>
  </si>
  <si>
    <t>William Fooks</t>
  </si>
  <si>
    <t>Ann Dollen</t>
  </si>
  <si>
    <t>Ann Fooks</t>
  </si>
  <si>
    <t>Lawrence Oxenbury</t>
  </si>
  <si>
    <t>Jane Oxenbury</t>
  </si>
  <si>
    <t>Catherine Rossiter</t>
  </si>
  <si>
    <t>Kenneth Hardwick</t>
  </si>
  <si>
    <t>Stephen Hardwick</t>
  </si>
  <si>
    <t>m_day555</t>
  </si>
  <si>
    <t>James Tucker</t>
  </si>
  <si>
    <t>Jane Hook</t>
  </si>
  <si>
    <t>Dinah Tucker</t>
  </si>
  <si>
    <t>Elizabeth Trim</t>
  </si>
  <si>
    <t>Henry Lane</t>
  </si>
  <si>
    <t>Florrence Bessie Lane</t>
  </si>
  <si>
    <t>Corona A Beale</t>
  </si>
  <si>
    <t>Gwenda Joyce Fudge</t>
  </si>
  <si>
    <t>Martin D Day</t>
  </si>
  <si>
    <t>Iona Newell</t>
  </si>
  <si>
    <t>Charles Oxenbury</t>
  </si>
  <si>
    <t>Walter James Oxenbury</t>
  </si>
  <si>
    <t>Philip G Oxenbury</t>
  </si>
  <si>
    <t>Ruth H Oxenbury</t>
  </si>
  <si>
    <t>128cM</t>
  </si>
  <si>
    <t>74cM</t>
  </si>
  <si>
    <t>William John Tucker</t>
  </si>
  <si>
    <t>Jack Tucker</t>
  </si>
  <si>
    <t>S.C.</t>
  </si>
  <si>
    <t>William Tucker</t>
  </si>
  <si>
    <t>Elizabeth Ann Tucker</t>
  </si>
  <si>
    <t>William Knight</t>
  </si>
  <si>
    <t>Violet Eva Knight</t>
  </si>
  <si>
    <t>Margaret Robertshaw</t>
  </si>
  <si>
    <t>Susan Cornwell</t>
  </si>
  <si>
    <t>Sarah Reynard</t>
  </si>
  <si>
    <t>Mabel M Rossiter</t>
  </si>
  <si>
    <t>Donald J Oxenbury</t>
  </si>
  <si>
    <t>Mary Janet Oxenbury</t>
  </si>
  <si>
    <t>54cM</t>
  </si>
  <si>
    <t>Martin Jezzard</t>
  </si>
  <si>
    <t>Alfred George Jezzard</t>
  </si>
  <si>
    <t>Walter Henry Jezzard</t>
  </si>
  <si>
    <t>Martin F Jezzard</t>
  </si>
  <si>
    <t>Kim White</t>
  </si>
  <si>
    <t>John H Wilhite</t>
  </si>
  <si>
    <t>Daniel Poole Wilhite</t>
  </si>
  <si>
    <t>Ercelle Wilhite</t>
  </si>
  <si>
    <t>Daniel Burdette Jones</t>
  </si>
  <si>
    <t>Kim Jones</t>
  </si>
  <si>
    <t>N.H.</t>
  </si>
  <si>
    <t>Nancy Driskall</t>
  </si>
  <si>
    <t>Isaac Salladay</t>
  </si>
  <si>
    <t>John Walker Salladay</t>
  </si>
  <si>
    <t>Vera Fay Salladay</t>
  </si>
  <si>
    <t>Hazel W Green</t>
  </si>
  <si>
    <t>N Kalbrunner</t>
  </si>
  <si>
    <t>John Marinshaw</t>
  </si>
  <si>
    <t>Marjorie Alice Salladay</t>
  </si>
  <si>
    <t>John Alfred Marinshaw</t>
  </si>
  <si>
    <t>MJ_Garrett</t>
  </si>
  <si>
    <t>Lynwood A Garrett</t>
  </si>
  <si>
    <t>M J Garrett</t>
  </si>
  <si>
    <t>L.M.</t>
  </si>
  <si>
    <t>Isaac Fryar Jr</t>
  </si>
  <si>
    <t>William Gullford Fryar</t>
  </si>
  <si>
    <t>Dorcas Fryar</t>
  </si>
  <si>
    <t>Margaret Singleton</t>
  </si>
  <si>
    <t>Dicey Ann Wilhite</t>
  </si>
  <si>
    <t>Lola May Reed</t>
  </si>
  <si>
    <t>L Harris</t>
  </si>
  <si>
    <t>sandyrelf</t>
  </si>
  <si>
    <t>Mary Clears</t>
  </si>
  <si>
    <t>Jemima Ruddock</t>
  </si>
  <si>
    <t>Mary Ann Calver</t>
  </si>
  <si>
    <t>Henry William Gaught</t>
  </si>
  <si>
    <t>Henry Gaught</t>
  </si>
  <si>
    <t>Margerite Gaught</t>
  </si>
  <si>
    <t>James Roy Relf</t>
  </si>
  <si>
    <t>Sandy Relf</t>
  </si>
  <si>
    <t>G.T.</t>
  </si>
  <si>
    <t>James Henry Beaty</t>
  </si>
  <si>
    <t>Isaac Ward Beaty</t>
  </si>
  <si>
    <t>Female Beaty</t>
  </si>
  <si>
    <t>Unknown Male</t>
  </si>
  <si>
    <t>G Unknown</t>
  </si>
  <si>
    <t>shivelysw</t>
  </si>
  <si>
    <t>Darthulia Fryar</t>
  </si>
  <si>
    <t>Shively S West</t>
  </si>
  <si>
    <t>T.V.</t>
  </si>
  <si>
    <t>Samuel G shackleford</t>
  </si>
  <si>
    <t>Terry M shackleford</t>
  </si>
  <si>
    <t>Sara L Shackleford</t>
  </si>
  <si>
    <t>Male Hopper</t>
  </si>
  <si>
    <t>Unknown Hopper</t>
  </si>
  <si>
    <t>zoememe153</t>
  </si>
  <si>
    <t>Susan Fryar Gilbert</t>
  </si>
  <si>
    <t>Bertie Lee West</t>
  </si>
  <si>
    <t>Juanita West</t>
  </si>
  <si>
    <t>Zoe Unknown</t>
  </si>
  <si>
    <t>ReMinturn_Moore</t>
  </si>
  <si>
    <t>Mary A E Shackleford</t>
  </si>
  <si>
    <t>Francis E Anderson</t>
  </si>
  <si>
    <t>Virginia J Anderson</t>
  </si>
  <si>
    <t>Female Munnally</t>
  </si>
  <si>
    <t>ReMinturn Burton</t>
  </si>
  <si>
    <t>Amy Qualls</t>
  </si>
  <si>
    <t>Julius Daniel Wilhite</t>
  </si>
  <si>
    <t>Charles D Wilhite</t>
  </si>
  <si>
    <t>Lydia M Wilhite</t>
  </si>
  <si>
    <t>Olen Dean Qualls</t>
  </si>
  <si>
    <t>Amy C Qualls</t>
  </si>
  <si>
    <t>sjlaw44</t>
  </si>
  <si>
    <t>James Harvey Fryar Jr</t>
  </si>
  <si>
    <t>swilliams7877</t>
  </si>
  <si>
    <t>Retha Lois Fryar</t>
  </si>
  <si>
    <t>Male Williams</t>
  </si>
  <si>
    <t>S Williams</t>
  </si>
  <si>
    <t>Zack youngman</t>
  </si>
  <si>
    <t>Sarah Ann S Brinkley</t>
  </si>
  <si>
    <t>Alice Elsden</t>
  </si>
  <si>
    <t>Ethel Beatrice Edhouse</t>
  </si>
  <si>
    <t>Alan Frank Youngman</t>
  </si>
  <si>
    <t>Zack Youngman</t>
  </si>
  <si>
    <t>Jennifer Parry</t>
  </si>
  <si>
    <t>Margaret Angier</t>
  </si>
  <si>
    <t xml:space="preserve">Matched Ancestry </t>
  </si>
  <si>
    <t>Sarah Angier</t>
  </si>
  <si>
    <t>Sarah Lawrence</t>
  </si>
  <si>
    <t>Elizabeth Mary Scott</t>
  </si>
  <si>
    <t>William Cole</t>
  </si>
  <si>
    <t>Edith May Cole</t>
  </si>
  <si>
    <t>Ileana Edith Rowland</t>
  </si>
  <si>
    <t>Jennifer Roberts</t>
  </si>
  <si>
    <t>John Disdale</t>
  </si>
  <si>
    <t>Marion C Carpenter</t>
  </si>
  <si>
    <t>Frederick William Robertson</t>
  </si>
  <si>
    <t>Emma Elizabeth Louisa Robertson</t>
  </si>
  <si>
    <t>Frederick William Carpenter</t>
  </si>
  <si>
    <t>Rick Bluhm</t>
  </si>
  <si>
    <t>Wallace Leonard Bone</t>
  </si>
  <si>
    <t>Female Bone</t>
  </si>
  <si>
    <t>nell_irena70</t>
  </si>
  <si>
    <t>Jamie Campbell</t>
  </si>
  <si>
    <t>William Freemantle</t>
  </si>
  <si>
    <t>Ann Cole</t>
  </si>
  <si>
    <t>Nicholas Freemantle</t>
  </si>
  <si>
    <t>James Freemantle</t>
  </si>
  <si>
    <t>Charlotte Freemantle</t>
  </si>
  <si>
    <t>Thomas Freemantle</t>
  </si>
  <si>
    <t>Thomas William Freemantle</t>
  </si>
  <si>
    <t>Sidney A Townsend</t>
  </si>
  <si>
    <t>Female Townsend</t>
  </si>
  <si>
    <t>Susan Fay</t>
  </si>
  <si>
    <t>Andrew Freemantle</t>
  </si>
  <si>
    <t>Ellen Freemantle</t>
  </si>
  <si>
    <t>Frances L Freemantle</t>
  </si>
  <si>
    <t>Rhoda F Freemantle</t>
  </si>
  <si>
    <t>George Henry Randall</t>
  </si>
  <si>
    <t>Winifred F E Randall</t>
  </si>
  <si>
    <t>Susan Impey</t>
  </si>
  <si>
    <t>Gary Quin</t>
  </si>
  <si>
    <t>Sarah S Freemantle</t>
  </si>
  <si>
    <t>Daisy F Robinson</t>
  </si>
  <si>
    <t>Female Wiseman</t>
  </si>
  <si>
    <t>ricko1961</t>
  </si>
  <si>
    <t>George Freemantle</t>
  </si>
  <si>
    <t>Ann Freemantle</t>
  </si>
  <si>
    <t>Mary Chiverton</t>
  </si>
  <si>
    <t>Edward A Searle</t>
  </si>
  <si>
    <t>Elizabeth K Searle</t>
  </si>
  <si>
    <t>Valerie Coombes</t>
  </si>
  <si>
    <t>Wrixton</t>
  </si>
  <si>
    <t>Anne Horsley</t>
  </si>
  <si>
    <t>113cM</t>
  </si>
  <si>
    <t>Lilian Ada Jezzard</t>
  </si>
  <si>
    <t>Harry Murphy</t>
  </si>
  <si>
    <t>Anne Murphy</t>
  </si>
  <si>
    <t>Ruth Newell</t>
  </si>
  <si>
    <t>Peter Bland</t>
  </si>
  <si>
    <t>Alice Ranson</t>
  </si>
  <si>
    <t>Eva Jane Lord</t>
  </si>
  <si>
    <t>Doreen Joyce Blow</t>
  </si>
  <si>
    <t>John Harris Bushell</t>
  </si>
  <si>
    <t>Mary Bushell</t>
  </si>
  <si>
    <t>Ian K Dobinson</t>
  </si>
  <si>
    <t>William Amos</t>
  </si>
  <si>
    <t>Henry Hogben</t>
  </si>
  <si>
    <t>8G Grandparents</t>
  </si>
  <si>
    <t>Catherine Hogben</t>
  </si>
  <si>
    <t>Richard Carter</t>
  </si>
  <si>
    <t>Standford Carter</t>
  </si>
  <si>
    <t>Richard William Carter</t>
  </si>
  <si>
    <t>Lemuel Samuel Carter</t>
  </si>
  <si>
    <t>Rachel Jane Carter</t>
  </si>
  <si>
    <t>Olive Ester Helt</t>
  </si>
  <si>
    <t>Olive Ruth Roe</t>
  </si>
  <si>
    <t>Janet Carol Rutledge</t>
  </si>
  <si>
    <t>9th Cousin 1xRemoved</t>
  </si>
  <si>
    <t>Desiree Bean</t>
  </si>
  <si>
    <t>Cornelius Angier</t>
  </si>
  <si>
    <t>Martha Etheridge</t>
  </si>
  <si>
    <t>Charles Angier</t>
  </si>
  <si>
    <t>Hannah Tweed</t>
  </si>
  <si>
    <t>Emma Hannah Opie</t>
  </si>
  <si>
    <t>Charles Obert Trent</t>
  </si>
  <si>
    <t>Desiree Trent</t>
  </si>
  <si>
    <t>Robert Tweed</t>
  </si>
  <si>
    <t>Tahira Hodsman</t>
  </si>
  <si>
    <t>Margot Elizabeth Hall</t>
  </si>
  <si>
    <t>oldskooler68</t>
  </si>
  <si>
    <t>9th Cousin</t>
  </si>
  <si>
    <t>Edmundus Brinkley</t>
  </si>
  <si>
    <t>Sarah Wyatt</t>
  </si>
  <si>
    <t>John Brinkley</t>
  </si>
  <si>
    <t>Jacob James Brinkley</t>
  </si>
  <si>
    <t>Peter Brinkley</t>
  </si>
  <si>
    <t>Kendall Brinkley</t>
  </si>
  <si>
    <t>William A Brinkley</t>
  </si>
  <si>
    <t>Minta L Brinkley</t>
  </si>
  <si>
    <t>Emmett West</t>
  </si>
  <si>
    <t>Female Warren</t>
  </si>
  <si>
    <t>Capt William Brinkley</t>
  </si>
  <si>
    <t>Abraham Brinkley</t>
  </si>
  <si>
    <t>Benjamin Brinkley</t>
  </si>
  <si>
    <t>Nathan Brinkley</t>
  </si>
  <si>
    <t>John F Brinkley</t>
  </si>
  <si>
    <t>Grady Henry Brinkley</t>
  </si>
  <si>
    <t>Juanita Dell Brinkley</t>
  </si>
  <si>
    <t>Male shelton</t>
  </si>
  <si>
    <t>A Williams</t>
  </si>
  <si>
    <t>9th Cousin 3xremoved</t>
  </si>
  <si>
    <t>Richard Green</t>
  </si>
  <si>
    <t>Mary Gye</t>
  </si>
  <si>
    <t>Richard Brinkley</t>
  </si>
  <si>
    <t>Zachariah Brinkley</t>
  </si>
  <si>
    <t>Harry Brinkley</t>
  </si>
  <si>
    <t>Nelly Louisa Brin kley</t>
  </si>
  <si>
    <t>John Weston Green</t>
  </si>
  <si>
    <t>Richard B Green</t>
  </si>
  <si>
    <t>Judy Micklewright</t>
  </si>
  <si>
    <t>William Taylor</t>
  </si>
  <si>
    <t>James W Taylor</t>
  </si>
  <si>
    <t>Eva Annie Taylor</t>
  </si>
  <si>
    <t>Charles Micklewright</t>
  </si>
  <si>
    <t>Beersheba Brinkley</t>
  </si>
  <si>
    <t>Mary Sellers</t>
  </si>
  <si>
    <t>Jacob Martin Loy</t>
  </si>
  <si>
    <t>Matilda Jane Loy</t>
  </si>
  <si>
    <t>George W Yates</t>
  </si>
  <si>
    <t>Ethel Yates</t>
  </si>
  <si>
    <t>Buford Eugene Edison</t>
  </si>
  <si>
    <t>Female Edison</t>
  </si>
  <si>
    <t>L Cox</t>
  </si>
  <si>
    <t>LesleyArjon</t>
  </si>
  <si>
    <t xml:space="preserve">9th Cousin </t>
  </si>
  <si>
    <t>Jane Culmer</t>
  </si>
  <si>
    <t>Henry Minter</t>
  </si>
  <si>
    <t>Anne Minter</t>
  </si>
  <si>
    <t>George Minter</t>
  </si>
  <si>
    <t>Martha Minter</t>
  </si>
  <si>
    <t>Richard Brockman</t>
  </si>
  <si>
    <t>Edward Brockman</t>
  </si>
  <si>
    <t>Mary Mercy Brockman</t>
  </si>
  <si>
    <t>Alice Appleton</t>
  </si>
  <si>
    <t>James Appleton</t>
  </si>
  <si>
    <t>William Appleton</t>
  </si>
  <si>
    <t>Ida Phoebe Appleton</t>
  </si>
  <si>
    <t>Lesley Holland</t>
  </si>
  <si>
    <t>William Martin</t>
  </si>
  <si>
    <t>Katherine Allen</t>
  </si>
  <si>
    <t>Susan E Brinkley</t>
  </si>
  <si>
    <t>Cater B Brinkley</t>
  </si>
  <si>
    <t>Daniel Brinkley</t>
  </si>
  <si>
    <t>Jacob Brinkley</t>
  </si>
  <si>
    <t>Worsley39</t>
  </si>
  <si>
    <t>Marla Minter</t>
  </si>
  <si>
    <t>Charles Thomas Potts</t>
  </si>
  <si>
    <t>Annie Potts</t>
  </si>
  <si>
    <t>Frederick Warsap</t>
  </si>
  <si>
    <t>Female Warsap</t>
  </si>
  <si>
    <t>Mary Bailey</t>
  </si>
  <si>
    <t>mammiejan</t>
  </si>
  <si>
    <t>9th Cousin 2xremoved</t>
  </si>
  <si>
    <t>Robert Brinkley</t>
  </si>
  <si>
    <t>Lucinda Brinkley</t>
  </si>
  <si>
    <t>Henry H Johnson</t>
  </si>
  <si>
    <t>Robert Henry Johnson</t>
  </si>
  <si>
    <t>Malcolm M Johnson</t>
  </si>
  <si>
    <t>Royce Kay Johnson</t>
  </si>
  <si>
    <t>Jan Johnson</t>
  </si>
  <si>
    <t>Leah Hodges</t>
  </si>
  <si>
    <t>Leah Buchanan</t>
  </si>
  <si>
    <t>Female Keen</t>
  </si>
  <si>
    <t>Male Keen</t>
  </si>
  <si>
    <t>Oliver Keen</t>
  </si>
  <si>
    <t>Sarah Delilah Watson</t>
  </si>
  <si>
    <t>Mary Lucinda Brinkley</t>
  </si>
  <si>
    <t>Reddig Starke Brinkley</t>
  </si>
  <si>
    <t>LIZSTANDEN55</t>
  </si>
  <si>
    <t>Stephen Brinkley</t>
  </si>
  <si>
    <t>Sarah Sally Brinkley</t>
  </si>
  <si>
    <t>Mary Ann Hiatt</t>
  </si>
  <si>
    <t>Philip Palmer Green</t>
  </si>
  <si>
    <t>Liz Green</t>
  </si>
  <si>
    <t>9th Cousin 1xremoved</t>
  </si>
  <si>
    <t>Genette Clodfelter</t>
  </si>
  <si>
    <t>phg65</t>
  </si>
  <si>
    <t>P H Green</t>
  </si>
  <si>
    <t>Mary Kittle</t>
  </si>
  <si>
    <t>Robert Rayner</t>
  </si>
  <si>
    <t>Henry Rayner</t>
  </si>
  <si>
    <t>Thomas Henry Rayner</t>
  </si>
  <si>
    <t>Muriel Tryphena Rayner</t>
  </si>
  <si>
    <t>Robert C H Stanfield</t>
  </si>
  <si>
    <t>Mary E Stanfield</t>
  </si>
  <si>
    <t>Colin Strangward</t>
  </si>
  <si>
    <t>Harriet Ranson</t>
  </si>
  <si>
    <t>Elsie May Hayward</t>
  </si>
  <si>
    <t>Gertrude Maude Roma</t>
  </si>
  <si>
    <t>Male Strangward</t>
  </si>
  <si>
    <t>Jennifer Davis</t>
  </si>
  <si>
    <t>Louisa Annie Gatfield</t>
  </si>
  <si>
    <t>Josephine D Hawes</t>
  </si>
  <si>
    <t>Male Davis</t>
  </si>
  <si>
    <t>Richard Cadwin</t>
  </si>
  <si>
    <t>Mark Sedman</t>
  </si>
  <si>
    <t>Frederick W Jordan</t>
  </si>
  <si>
    <t>Herbert George Jordan</t>
  </si>
  <si>
    <t>Kenneth William Jordan</t>
  </si>
  <si>
    <t>female Jordan</t>
  </si>
  <si>
    <t>Kenneth Willia Jordan</t>
  </si>
  <si>
    <t>Chris Gulliver</t>
  </si>
  <si>
    <t>Jane Beavis</t>
  </si>
  <si>
    <t>Harry Bevers</t>
  </si>
  <si>
    <t>William A Bevers</t>
  </si>
  <si>
    <t>Sylvia Jean Bevers</t>
  </si>
  <si>
    <t>Elizabeth Stone</t>
  </si>
  <si>
    <t>Stephen Lee</t>
  </si>
  <si>
    <t>4th Cousin-Remote</t>
  </si>
  <si>
    <t>Martha Bushell</t>
  </si>
  <si>
    <t>Richard Sturges</t>
  </si>
  <si>
    <t>Martha Sturges</t>
  </si>
  <si>
    <t>Alfred Keeler Matcham</t>
  </si>
  <si>
    <t>Edward Matcham</t>
  </si>
  <si>
    <t>Isobel Lilian Matcham</t>
  </si>
  <si>
    <t>Mary D Z Manthorpe</t>
  </si>
  <si>
    <t>Stephen Bernard Lee</t>
  </si>
  <si>
    <t>Marc Dilnutt</t>
  </si>
  <si>
    <t>John Dyason</t>
  </si>
  <si>
    <t>Catherine Hampton</t>
  </si>
  <si>
    <t>Joshua Dyason</t>
  </si>
  <si>
    <t>Elizabeth Dyason</t>
  </si>
  <si>
    <t>Thomas Dadd</t>
  </si>
  <si>
    <t>Emma Dadd</t>
  </si>
  <si>
    <t>Rosa Ann Friend</t>
  </si>
  <si>
    <t>Emma Friend Humphrey</t>
  </si>
  <si>
    <t>Harriet Frend Olive</t>
  </si>
  <si>
    <t>Arthur Richard Dilnutt</t>
  </si>
  <si>
    <t>Christopher R Dilnutt</t>
  </si>
  <si>
    <t>Marc Richard Dilnutt</t>
  </si>
  <si>
    <t>Benjamin Dyason</t>
  </si>
  <si>
    <t>Sarah Bing</t>
  </si>
  <si>
    <t>Lily Amaya</t>
  </si>
  <si>
    <t>James Collins</t>
  </si>
  <si>
    <t>Elizabeth Atkins</t>
  </si>
  <si>
    <t>Charlotte Collins</t>
  </si>
  <si>
    <t>George Collins</t>
  </si>
  <si>
    <t>Charles Collins</t>
  </si>
  <si>
    <t>Martha Anne Collins</t>
  </si>
  <si>
    <t>Francis John Young</t>
  </si>
  <si>
    <t>Female Young</t>
  </si>
  <si>
    <t>J.R.</t>
  </si>
  <si>
    <t>Olivia King</t>
  </si>
  <si>
    <t>Joe Lord</t>
  </si>
  <si>
    <t>Jean Lord</t>
  </si>
  <si>
    <t>Gloria Hart</t>
  </si>
  <si>
    <t>Chester Harry Bowen</t>
  </si>
  <si>
    <t>Katherine McMahon</t>
  </si>
  <si>
    <t>Gloria Zinzan</t>
  </si>
  <si>
    <t>Andrew Taylor</t>
  </si>
  <si>
    <t>Lucy Elizabeth Otley</t>
  </si>
  <si>
    <t>Henry Ramsbotham</t>
  </si>
  <si>
    <t>Stephen Ramsbotham</t>
  </si>
  <si>
    <t>Ethel M Ramsbotham</t>
  </si>
  <si>
    <t>Brian Arthur Taylor</t>
  </si>
  <si>
    <t>Sarah Winterflood</t>
  </si>
  <si>
    <t>Emily Cook</t>
  </si>
  <si>
    <t>Edith Minnie Joslin</t>
  </si>
  <si>
    <t>Marina Tricker</t>
  </si>
  <si>
    <t>Female Cameron</t>
  </si>
  <si>
    <t>J Roberson</t>
  </si>
  <si>
    <t>Michelle Bryan</t>
  </si>
  <si>
    <t>Rosina J Boreham</t>
  </si>
  <si>
    <t>Florence Maud Eley</t>
  </si>
  <si>
    <t>Marie K E Scutchings</t>
  </si>
  <si>
    <t>Michael R Thorpe</t>
  </si>
  <si>
    <t>Michelle Nicola Thorpe</t>
  </si>
  <si>
    <t>Caroline Dyason</t>
  </si>
  <si>
    <t>Caroline Jones</t>
  </si>
  <si>
    <t>Thomas Harrison</t>
  </si>
  <si>
    <t>Charles Harrison</t>
  </si>
  <si>
    <t>Eunice Harrison</t>
  </si>
  <si>
    <t>Kaye Hamilton</t>
  </si>
  <si>
    <t>KayePage65</t>
  </si>
  <si>
    <t>SandraHookerWhite</t>
  </si>
  <si>
    <t>Isaac Dyason</t>
  </si>
  <si>
    <t>Sarah Dyason</t>
  </si>
  <si>
    <t>Stephen Bax</t>
  </si>
  <si>
    <t>Jane Elizabeth Bax</t>
  </si>
  <si>
    <t>Robert Forbes Milne</t>
  </si>
  <si>
    <t>Herbert Fordes Milne</t>
  </si>
  <si>
    <t>Sandra Hooker White</t>
  </si>
  <si>
    <t>John D William</t>
  </si>
  <si>
    <t>Sarah Towns</t>
  </si>
  <si>
    <t>Martha Hannah Collins</t>
  </si>
  <si>
    <t>Anna Rolfe</t>
  </si>
  <si>
    <t>Clinton Dewitt Williams</t>
  </si>
  <si>
    <t>Arthur Prout Williams</t>
  </si>
  <si>
    <t>John D Williams</t>
  </si>
  <si>
    <t>gwhennessey</t>
  </si>
  <si>
    <t>G W Williams</t>
  </si>
  <si>
    <t>Kerry Heathcote</t>
  </si>
  <si>
    <t>Jane Beavers</t>
  </si>
  <si>
    <t>Emma Scarf</t>
  </si>
  <si>
    <t>Henry Wells</t>
  </si>
  <si>
    <t>Gertrude May Wells</t>
  </si>
  <si>
    <t>Sidney Peck</t>
  </si>
  <si>
    <t>Sandra Peck</t>
  </si>
  <si>
    <t>Kerry Elizabeth Robson</t>
  </si>
  <si>
    <t>Mark Dodkin</t>
  </si>
  <si>
    <t xml:space="preserve">John Rayner </t>
  </si>
  <si>
    <t>Mary Jane Felton</t>
  </si>
  <si>
    <t>Charles Rayner</t>
  </si>
  <si>
    <t>Ernest Rayner</t>
  </si>
  <si>
    <t>Elizabeth Mary Rayner</t>
  </si>
  <si>
    <t>June H White</t>
  </si>
  <si>
    <t>3rd Cousin-Distant Cousin</t>
  </si>
  <si>
    <t>Emily Brewood</t>
  </si>
  <si>
    <t>Craig Potter</t>
  </si>
  <si>
    <t>Susannah Ruddock</t>
  </si>
  <si>
    <t>Anna Wright</t>
  </si>
  <si>
    <t>Harry Potter</t>
  </si>
  <si>
    <t>Seaforth Potter</t>
  </si>
  <si>
    <t>Lealand Potter</t>
  </si>
  <si>
    <t>Gary Hollis</t>
  </si>
  <si>
    <t>Mary Ann Tozer</t>
  </si>
  <si>
    <t>Jane J Nankivell</t>
  </si>
  <si>
    <t>Mary Frances May</t>
  </si>
  <si>
    <t>Catherine Frances May</t>
  </si>
  <si>
    <t>William Henry Simmons</t>
  </si>
  <si>
    <t>Doris A Simmons</t>
  </si>
  <si>
    <t>Christine E M Wren</t>
  </si>
  <si>
    <t>Gary R Hollis</t>
  </si>
  <si>
    <t>Martin_Fiona</t>
  </si>
  <si>
    <t>Alice Penny</t>
  </si>
  <si>
    <t>Henry William Taylor</t>
  </si>
  <si>
    <t>Norma Mary Taylor</t>
  </si>
  <si>
    <t>Fiona Martin</t>
  </si>
  <si>
    <t>Maxwell Fuller</t>
  </si>
  <si>
    <t>Lily Winifred Rolfe</t>
  </si>
  <si>
    <t>Anthony H Fuller</t>
  </si>
  <si>
    <t>Male Fuller</t>
  </si>
  <si>
    <t>Virginia Hart</t>
  </si>
  <si>
    <t>William Boreham</t>
  </si>
  <si>
    <t>Arthur William Boreham</t>
  </si>
  <si>
    <t>Frederick William Boreham</t>
  </si>
  <si>
    <t>Peggy V L Boreham</t>
  </si>
  <si>
    <t>Colin Britchford</t>
  </si>
  <si>
    <t>Richard Thomas Bushell</t>
  </si>
  <si>
    <t>Mary Cooke</t>
  </si>
  <si>
    <t>Edward Bushell</t>
  </si>
  <si>
    <t>Henry Bushell</t>
  </si>
  <si>
    <t>Joseph William Bushell</t>
  </si>
  <si>
    <t>Esther E Bushell</t>
  </si>
  <si>
    <t>Cicely Esther Stupples</t>
  </si>
  <si>
    <t>Colin J Britchford</t>
  </si>
  <si>
    <t>Holly Farley</t>
  </si>
  <si>
    <t>John Vandepeer</t>
  </si>
  <si>
    <t>Margaret Jeffrey</t>
  </si>
  <si>
    <t>Edward Vandepeer</t>
  </si>
  <si>
    <t>Thomas Vandepeer</t>
  </si>
  <si>
    <t>Henry A Vandepeer</t>
  </si>
  <si>
    <t>Peter J Vandepeer</t>
  </si>
  <si>
    <t>Male Vandepeer</t>
  </si>
  <si>
    <t>Holly Vandepeer</t>
  </si>
  <si>
    <t>Elizabeth Vandepeer</t>
  </si>
  <si>
    <t>Ryan Marriott</t>
  </si>
  <si>
    <t>Male Marriott</t>
  </si>
  <si>
    <t>Ryan J Marriott</t>
  </si>
  <si>
    <t>ladean2003</t>
  </si>
  <si>
    <t>Willam Hogben</t>
  </si>
  <si>
    <t>Alice Goodburn</t>
  </si>
  <si>
    <t>Florence A Hemstock</t>
  </si>
  <si>
    <t>Frederick H Burrows</t>
  </si>
  <si>
    <t>Jean Hiller Burrows</t>
  </si>
  <si>
    <t>Ann Hiller</t>
  </si>
  <si>
    <t>Edna Law</t>
  </si>
  <si>
    <t>Robert Angier</t>
  </si>
  <si>
    <t>Mary Deeks</t>
  </si>
  <si>
    <t>Thomas Rowland</t>
  </si>
  <si>
    <t>Walter F Rowland</t>
  </si>
  <si>
    <t>Rose Rowland</t>
  </si>
  <si>
    <t>Alex Hawkins</t>
  </si>
  <si>
    <t>Jacob Biddle</t>
  </si>
  <si>
    <t>Maria Elizabeth Biddle</t>
  </si>
  <si>
    <t>Robert Carter</t>
  </si>
  <si>
    <t>Lily M Carter</t>
  </si>
  <si>
    <t>Male Hawkins</t>
  </si>
  <si>
    <t>Stephen Willis</t>
  </si>
  <si>
    <t>Edward Bloomfield</t>
  </si>
  <si>
    <t>Honour Page</t>
  </si>
  <si>
    <t>Susanna Bloomfield</t>
  </si>
  <si>
    <t>George Bloomfield</t>
  </si>
  <si>
    <t>James E Bloomfield</t>
  </si>
  <si>
    <t>Mary Ann Bloomfield</t>
  </si>
  <si>
    <t>George B Willis</t>
  </si>
  <si>
    <t>Austin Willis</t>
  </si>
  <si>
    <t>Paul Gheen Willis</t>
  </si>
  <si>
    <t>Elizabeth Miller</t>
  </si>
  <si>
    <t>RayEllemar</t>
  </si>
  <si>
    <t>Andrew Reeves</t>
  </si>
  <si>
    <t>Timothy Reeves</t>
  </si>
  <si>
    <t>John Reeves</t>
  </si>
  <si>
    <t>James Nealea Reeves</t>
  </si>
  <si>
    <t>Mary Isabell Reeves</t>
  </si>
  <si>
    <t>Ellemar Ray</t>
  </si>
  <si>
    <t>E.F.</t>
  </si>
  <si>
    <t>Alexander Bloomfield</t>
  </si>
  <si>
    <t>Olive J Bloomfield</t>
  </si>
  <si>
    <t>John C Skates</t>
  </si>
  <si>
    <t>Andrea Jane Skates</t>
  </si>
  <si>
    <t>E Flack</t>
  </si>
  <si>
    <t>Neil Currington</t>
  </si>
  <si>
    <t>Susanne Bloomfield</t>
  </si>
  <si>
    <t>James Brewster</t>
  </si>
  <si>
    <t>Sarah Ann R Brewster</t>
  </si>
  <si>
    <t>Loridan Ellen Hazell</t>
  </si>
  <si>
    <t>Albert G Currington</t>
  </si>
  <si>
    <t>Neil J Currington</t>
  </si>
  <si>
    <t>Albert E Currington</t>
  </si>
  <si>
    <t xml:space="preserve">7th Cousin </t>
  </si>
  <si>
    <t>Henry Bing</t>
  </si>
  <si>
    <t>Susan Symons</t>
  </si>
  <si>
    <t>John Bing</t>
  </si>
  <si>
    <t>Ann Bing</t>
  </si>
  <si>
    <t>John Greenstreet</t>
  </si>
  <si>
    <t>Mary Ann Greenstreet</t>
  </si>
  <si>
    <t>Eve Sarah Taylor</t>
  </si>
  <si>
    <t>Leslie Frank May</t>
  </si>
  <si>
    <t>Vera Dorothy May</t>
  </si>
  <si>
    <t>Thomas Bing</t>
  </si>
  <si>
    <t>10th Cousin 2xremoved</t>
  </si>
  <si>
    <t>Edward Miller</t>
  </si>
  <si>
    <t>Isaac Bloomfield</t>
  </si>
  <si>
    <t>Hannah Whitan</t>
  </si>
  <si>
    <t>John Bloomfield</t>
  </si>
  <si>
    <t>Hannah Bloomfield</t>
  </si>
  <si>
    <t>Jane Easter</t>
  </si>
  <si>
    <t>Julian Smith</t>
  </si>
  <si>
    <t>Herbert Henry Smith</t>
  </si>
  <si>
    <t>Mabel Edna Smith</t>
  </si>
  <si>
    <t>Anthony R Chattan</t>
  </si>
  <si>
    <t>Jennifer M Chattan</t>
  </si>
  <si>
    <t>Edward Daniel Miller</t>
  </si>
  <si>
    <t>Ian Walmsley</t>
  </si>
  <si>
    <t>David Bloomfield</t>
  </si>
  <si>
    <t>Jemima Bloomfield</t>
  </si>
  <si>
    <t>Agnes Bloomfield</t>
  </si>
  <si>
    <t>Dorothy W Francis</t>
  </si>
  <si>
    <t>Heather Rose Hurrell</t>
  </si>
  <si>
    <t>Ian Clive Walmsley</t>
  </si>
  <si>
    <t>Catherine Allison</t>
  </si>
  <si>
    <t>Lydia Bloomfield</t>
  </si>
  <si>
    <t>Ralph Horsley</t>
  </si>
  <si>
    <t>Marva May Horsley</t>
  </si>
  <si>
    <t>Ervin Eugene Shaw</t>
  </si>
  <si>
    <t>Catherine Ann Shaw</t>
  </si>
  <si>
    <t>B.H.</t>
  </si>
  <si>
    <t>Laura Ellen Horsley</t>
  </si>
  <si>
    <t>Ivan Vergene Topham</t>
  </si>
  <si>
    <t>Joseph Ernest Topham</t>
  </si>
  <si>
    <t>B Topham</t>
  </si>
  <si>
    <t>Sian Davis</t>
  </si>
  <si>
    <t>Sian Hannah Davis</t>
  </si>
  <si>
    <t>tdoust18</t>
  </si>
  <si>
    <t>Richard P Baker</t>
  </si>
  <si>
    <t>T Baker</t>
  </si>
  <si>
    <t>Richard T Bushell</t>
  </si>
  <si>
    <t>Lynn Gordon</t>
  </si>
  <si>
    <t>Lucy Eleanor Wright</t>
  </si>
  <si>
    <t>Frederick J Scanlon</t>
  </si>
  <si>
    <t>Roseden E Scanlon</t>
  </si>
  <si>
    <t>Linda E Walker</t>
  </si>
  <si>
    <t>cm706895</t>
  </si>
  <si>
    <t>Edward Davis</t>
  </si>
  <si>
    <t>Evan Davis</t>
  </si>
  <si>
    <t>John Francis Tucker</t>
  </si>
  <si>
    <t>Eliza Davis</t>
  </si>
  <si>
    <t>Margaret Bowles</t>
  </si>
  <si>
    <t>John Arthur Sullivan</t>
  </si>
  <si>
    <t>Mary Helen Sullivan</t>
  </si>
  <si>
    <t>Robert A Mc Cormick</t>
  </si>
  <si>
    <t>C Mc Cormick</t>
  </si>
  <si>
    <t>Greta Walker</t>
  </si>
  <si>
    <t xml:space="preserve">4th Cousin </t>
  </si>
  <si>
    <t>36cM</t>
  </si>
  <si>
    <t>Frederick J Banham</t>
  </si>
  <si>
    <t>Gwendoline R Banham</t>
  </si>
  <si>
    <t>Greta R Hazel</t>
  </si>
  <si>
    <t>Dee E</t>
  </si>
  <si>
    <t>Meg Fahey</t>
  </si>
  <si>
    <t>Frederick Cyril Boreham</t>
  </si>
  <si>
    <t>Ruby Alice Boreham</t>
  </si>
  <si>
    <t>Colin R Trollope</t>
  </si>
  <si>
    <t>Karen Anne Trollope</t>
  </si>
  <si>
    <t>52.2cM</t>
  </si>
  <si>
    <t>Mackenzie Grace Fahey</t>
  </si>
  <si>
    <t>77.6cM</t>
  </si>
  <si>
    <t>Ivy Phyllis Boreham</t>
  </si>
  <si>
    <t>Wendy J Harden</t>
  </si>
  <si>
    <t>W.P.</t>
  </si>
  <si>
    <t>Charles Kelt</t>
  </si>
  <si>
    <t>Male Skelt</t>
  </si>
  <si>
    <t>Daphne Wingrove</t>
  </si>
  <si>
    <t>John Penny</t>
  </si>
  <si>
    <t>Marjorie Doris P Penny</t>
  </si>
  <si>
    <t>Daphne J Bowmer</t>
  </si>
  <si>
    <t>Pam Durham</t>
  </si>
  <si>
    <t>Sarah Logget</t>
  </si>
  <si>
    <t>Henry Freemantle</t>
  </si>
  <si>
    <t>James Stubbington</t>
  </si>
  <si>
    <t>Evelyn D Stubbington</t>
  </si>
  <si>
    <t>Gwendoline Ruby Read</t>
  </si>
  <si>
    <t>Pamela J Hockley</t>
  </si>
  <si>
    <t>sambrown_consultancy</t>
  </si>
  <si>
    <t>Joshua Camp</t>
  </si>
  <si>
    <t>Sarah Camp</t>
  </si>
  <si>
    <t>George Thomas Camp</t>
  </si>
  <si>
    <t>Frederick George Camp</t>
  </si>
  <si>
    <t>Alfred Charles Camp</t>
  </si>
  <si>
    <t>Female Camp</t>
  </si>
  <si>
    <t>Sam Youens</t>
  </si>
  <si>
    <t>John Shinn</t>
  </si>
  <si>
    <t>Jane Garwood</t>
  </si>
  <si>
    <t>Martha Shinn</t>
  </si>
  <si>
    <t>Margaret Emily Owen</t>
  </si>
  <si>
    <t>Joseph Crispin</t>
  </si>
  <si>
    <t>Jonathon Crispin</t>
  </si>
  <si>
    <t>Rowland Crispin</t>
  </si>
  <si>
    <t>Jennetta Crispin</t>
  </si>
  <si>
    <t>Amy L Mick</t>
  </si>
  <si>
    <t>Verna Anna Smeltzer</t>
  </si>
  <si>
    <t>Chester James Sudman</t>
  </si>
  <si>
    <t>GordonTalbert42</t>
  </si>
  <si>
    <t>Restore Lippincott</t>
  </si>
  <si>
    <t>Hannah Shuttuck</t>
  </si>
  <si>
    <t>Rebecca Lippincott</t>
  </si>
  <si>
    <t>Jonathan Gaskill</t>
  </si>
  <si>
    <t>Patience Gaskill</t>
  </si>
  <si>
    <t>Joshua Engle</t>
  </si>
  <si>
    <t>Hannah Phoebe Engle</t>
  </si>
  <si>
    <t>Mary Adelaide Kingery</t>
  </si>
  <si>
    <t>Wheeler H Talbert</t>
  </si>
  <si>
    <t>Leslie Myrtle Talbert</t>
  </si>
  <si>
    <t>Gordon Talbert</t>
  </si>
  <si>
    <t>Sarah Hook</t>
  </si>
  <si>
    <t>Eliza White</t>
  </si>
  <si>
    <t>Samuel Watts</t>
  </si>
  <si>
    <t>Sarah Watts</t>
  </si>
  <si>
    <t>Florence Martin</t>
  </si>
  <si>
    <t>John Henry Hawkins</t>
  </si>
  <si>
    <t>John Hook</t>
  </si>
  <si>
    <t>Ann Goddard</t>
  </si>
  <si>
    <t>Sandie Mortensen</t>
  </si>
  <si>
    <t>Josiah Gaskill</t>
  </si>
  <si>
    <t>Caleb Gaskill</t>
  </si>
  <si>
    <t>Elizabeth Gaskill</t>
  </si>
  <si>
    <t>Caleb Newbold</t>
  </si>
  <si>
    <t>Elizabeth Newbold</t>
  </si>
  <si>
    <t>Arthur Thornton Minnis</t>
  </si>
  <si>
    <t>Earl Blaine Minnis</t>
  </si>
  <si>
    <t>Minnis?</t>
  </si>
  <si>
    <t>Michael Wudke</t>
  </si>
  <si>
    <t>joshua Gaskill</t>
  </si>
  <si>
    <t>Mary Gaskill</t>
  </si>
  <si>
    <t>Thomas Clevenger</t>
  </si>
  <si>
    <t>Riley Clevenger</t>
  </si>
  <si>
    <t>Augusta E Clevenger</t>
  </si>
  <si>
    <t>Ruth E Hartsock</t>
  </si>
  <si>
    <t>Mildred Placke</t>
  </si>
  <si>
    <t>Female Placke</t>
  </si>
  <si>
    <t>RichardHillhouse</t>
  </si>
  <si>
    <t>Richard Lippincott</t>
  </si>
  <si>
    <t>Abigail Goody</t>
  </si>
  <si>
    <t>Remembrance Lippincott</t>
  </si>
  <si>
    <t>William Lippincott</t>
  </si>
  <si>
    <t>Samuel Lippincott</t>
  </si>
  <si>
    <t>Mary Cooley</t>
  </si>
  <si>
    <t>John William Barton</t>
  </si>
  <si>
    <t>Elisha Kembur Barton</t>
  </si>
  <si>
    <t>Williard Barton</t>
  </si>
  <si>
    <t>Dorothy Barton</t>
  </si>
  <si>
    <t>Richard E Hillhouse</t>
  </si>
  <si>
    <t>Walter Purk</t>
  </si>
  <si>
    <t>Ephraim Lippincott</t>
  </si>
  <si>
    <t>Lavinia Lippincott</t>
  </si>
  <si>
    <t>Silas Leonard Maxson</t>
  </si>
  <si>
    <t>Clara Maxson</t>
  </si>
  <si>
    <t>Dorothy Amy Pence</t>
  </si>
  <si>
    <t>Marguerite Woods</t>
  </si>
  <si>
    <t>Diana Lynn Farmakoulas</t>
  </si>
  <si>
    <t>John Lippincott</t>
  </si>
  <si>
    <t>Anne Lippincott</t>
  </si>
  <si>
    <t>Sarah Archibald</t>
  </si>
  <si>
    <t>Sarah Clayton</t>
  </si>
  <si>
    <t>Elizabeth McDonald</t>
  </si>
  <si>
    <t>Adelaide Addie Palmer</t>
  </si>
  <si>
    <t>Mabel Mulholland</t>
  </si>
  <si>
    <t>Doris Saline Brown</t>
  </si>
  <si>
    <t>Reg Robicheau</t>
  </si>
  <si>
    <t>Diane Lynn Robicheu</t>
  </si>
  <si>
    <t>Amy Steffian</t>
  </si>
  <si>
    <t>Obidiah Lippincott</t>
  </si>
  <si>
    <t>Jemima Lippincott</t>
  </si>
  <si>
    <t>John H Smith</t>
  </si>
  <si>
    <t>John Henry Smith</t>
  </si>
  <si>
    <t>Lovinia Fowler Smith</t>
  </si>
  <si>
    <t>Peter Steffian</t>
  </si>
  <si>
    <t>Amy F Steffian</t>
  </si>
  <si>
    <t>JTKeller</t>
  </si>
  <si>
    <t>George Shinn</t>
  </si>
  <si>
    <t>Mary Shinn</t>
  </si>
  <si>
    <t>Rhoda Holloway</t>
  </si>
  <si>
    <t>Martha Ann Jones</t>
  </si>
  <si>
    <t>Ruth Barbee</t>
  </si>
  <si>
    <t>Una Brown</t>
  </si>
  <si>
    <t>Orville Forister</t>
  </si>
  <si>
    <t>Female Forister</t>
  </si>
  <si>
    <t>J T Keller</t>
  </si>
  <si>
    <t>pamelajean52</t>
  </si>
  <si>
    <t>Sarah White</t>
  </si>
  <si>
    <t>Elizabeth Corlies</t>
  </si>
  <si>
    <t>Elizabeth Herbert</t>
  </si>
  <si>
    <t>William Dayton</t>
  </si>
  <si>
    <t>Mary Francis Dayton</t>
  </si>
  <si>
    <t>Anna E Swain</t>
  </si>
  <si>
    <t>Janice J Newman</t>
  </si>
  <si>
    <t>Pamela Jean Schisel</t>
  </si>
  <si>
    <t>C.M.</t>
  </si>
  <si>
    <t>Ann Oake</t>
  </si>
  <si>
    <t>Alexander Collins</t>
  </si>
  <si>
    <t>Elizabeth Collins</t>
  </si>
  <si>
    <t>Elizabeth Freemantle</t>
  </si>
  <si>
    <t>Alexander Chalk</t>
  </si>
  <si>
    <t>William Chalk</t>
  </si>
  <si>
    <t>Julie Anne Chalke</t>
  </si>
  <si>
    <t>Sybil Eileen Smith</t>
  </si>
  <si>
    <t>Gillian M Anderson</t>
  </si>
  <si>
    <t>Female Mortimer</t>
  </si>
  <si>
    <t>C Talman</t>
  </si>
  <si>
    <t>William McKeich</t>
  </si>
  <si>
    <t>Johannes Tucker</t>
  </si>
  <si>
    <t>Anne Baylie</t>
  </si>
  <si>
    <t>Anna Tucker</t>
  </si>
  <si>
    <t>Grace Hodder</t>
  </si>
  <si>
    <t>William Richards</t>
  </si>
  <si>
    <t>Harriet Richards</t>
  </si>
  <si>
    <t>Emily Harriet Hammond</t>
  </si>
  <si>
    <t>Emily Harriet Bicknell</t>
  </si>
  <si>
    <t>Walter Ernest McKeich</t>
  </si>
  <si>
    <t>Colin Harrie McKeich</t>
  </si>
  <si>
    <t>Robert Tucker</t>
  </si>
  <si>
    <t>Jane Tucker</t>
  </si>
  <si>
    <t>Denise Stark</t>
  </si>
  <si>
    <t>Elizabeth Lippincott</t>
  </si>
  <si>
    <t>George Parker</t>
  </si>
  <si>
    <t>Elizabeth Parker</t>
  </si>
  <si>
    <t>John Mahlon Parker</t>
  </si>
  <si>
    <t>Hiram Parker</t>
  </si>
  <si>
    <t>Theodore Parker</t>
  </si>
  <si>
    <t>Stella Ray Parker</t>
  </si>
  <si>
    <t>Carolyn Sue Rickel</t>
  </si>
  <si>
    <t>JulietLesley</t>
  </si>
  <si>
    <t>Juliet Lesley Mortimer</t>
  </si>
  <si>
    <t>sparr156</t>
  </si>
  <si>
    <t>Joab Shinn</t>
  </si>
  <si>
    <t>Lydia Shinn</t>
  </si>
  <si>
    <t>Benajah Bingham</t>
  </si>
  <si>
    <t>Edna Bingham</t>
  </si>
  <si>
    <t>Leland Wilbur Parr</t>
  </si>
  <si>
    <t>Robert Ghormley Parr</t>
  </si>
  <si>
    <t>S Parr</t>
  </si>
  <si>
    <t>Briony Canning</t>
  </si>
  <si>
    <t>Jonathan Freemantle</t>
  </si>
  <si>
    <t>John Freemantle</t>
  </si>
  <si>
    <t>Alfred Freemantle</t>
  </si>
  <si>
    <t>William K Freemantle</t>
  </si>
  <si>
    <t>Gladys V Freemantle</t>
  </si>
  <si>
    <t>Briony S Tillen</t>
  </si>
  <si>
    <t>John M Freemantle</t>
  </si>
  <si>
    <t>Susanna Bunny</t>
  </si>
  <si>
    <t>U.B.</t>
  </si>
  <si>
    <t>Hannah Pearce</t>
  </si>
  <si>
    <t>Annette Helena Smith</t>
  </si>
  <si>
    <t>Edith Grace Phillips</t>
  </si>
  <si>
    <t>Una Hawkins</t>
  </si>
  <si>
    <t>PaulEdinburgh</t>
  </si>
  <si>
    <t>Ella Maud tegg</t>
  </si>
  <si>
    <t>Lesley James Allen</t>
  </si>
  <si>
    <t>Male Allen</t>
  </si>
  <si>
    <t>Diane Short</t>
  </si>
  <si>
    <t>Jane Freemantle</t>
  </si>
  <si>
    <t>Sophia Hilderley</t>
  </si>
  <si>
    <t>Gladys Mabel Davies</t>
  </si>
  <si>
    <t>Ronald Ernest Shor</t>
  </si>
  <si>
    <t>9th Cousin 1removed</t>
  </si>
  <si>
    <t>Jacob Brauch</t>
  </si>
  <si>
    <t>Lucretia Gaskill</t>
  </si>
  <si>
    <t>Stacy Stevens</t>
  </si>
  <si>
    <t>Hiram Stevens</t>
  </si>
  <si>
    <t>Allen Stephens</t>
  </si>
  <si>
    <t>John L Stephens</t>
  </si>
  <si>
    <t>Minnie Inez Stephens</t>
  </si>
  <si>
    <t>Kathleen Garrett</t>
  </si>
  <si>
    <t>Female Sefrit</t>
  </si>
  <si>
    <t>Male Brauch</t>
  </si>
  <si>
    <t>D.P.</t>
  </si>
  <si>
    <t>Daniel Gaskill</t>
  </si>
  <si>
    <t>Nathaniel Gaskill</t>
  </si>
  <si>
    <t>Abigail Gaskill</t>
  </si>
  <si>
    <t>Levi Wood</t>
  </si>
  <si>
    <t>Albert Leslie Wood</t>
  </si>
  <si>
    <t>Mary Blanch Wood</t>
  </si>
  <si>
    <t>Patricia Remier Beck</t>
  </si>
  <si>
    <t>D Beck</t>
  </si>
  <si>
    <t>W.D.</t>
  </si>
  <si>
    <t>James Lippincott</t>
  </si>
  <si>
    <t>Amaziah Lippincott</t>
  </si>
  <si>
    <t>Hannah A Lippincott</t>
  </si>
  <si>
    <t>Rhoda Jane Stratton</t>
  </si>
  <si>
    <t>Levi Aladin Dole</t>
  </si>
  <si>
    <t>Howard B Dole</t>
  </si>
  <si>
    <t>Levia Byron Dole</t>
  </si>
  <si>
    <t>James Ellis Dolan</t>
  </si>
  <si>
    <t>W Dolan</t>
  </si>
  <si>
    <t>Lwalgamott66</t>
  </si>
  <si>
    <t>Margaret Lippincott</t>
  </si>
  <si>
    <t>Robert Tilton</t>
  </si>
  <si>
    <t>Dinah Tilton</t>
  </si>
  <si>
    <t>Patience Middleton</t>
  </si>
  <si>
    <t>Isaac Ivins</t>
  </si>
  <si>
    <t>Elizabeth H Ivins</t>
  </si>
  <si>
    <t>Douglas C Conover</t>
  </si>
  <si>
    <t>Carolyn L Conover</t>
  </si>
  <si>
    <t>L Wilkins</t>
  </si>
  <si>
    <t>B.J.</t>
  </si>
  <si>
    <t>Anthony Lippincott</t>
  </si>
  <si>
    <t>Tobias Reed</t>
  </si>
  <si>
    <t>Rachael Guavas</t>
  </si>
  <si>
    <t>Rachael Read</t>
  </si>
  <si>
    <t>William James</t>
  </si>
  <si>
    <t>Mary James</t>
  </si>
  <si>
    <t>John Bennetts</t>
  </si>
  <si>
    <t>Richard Bennetts</t>
  </si>
  <si>
    <t>Thomas Bennetts</t>
  </si>
  <si>
    <t>Beatrice L Bennetts</t>
  </si>
  <si>
    <t>B Jones</t>
  </si>
  <si>
    <t>Johane Lippincott</t>
  </si>
  <si>
    <t>Margery Weare</t>
  </si>
  <si>
    <t>cookie32248</t>
  </si>
  <si>
    <t>Thomas Lippincott</t>
  </si>
  <si>
    <t>Sarah Lippincott</t>
  </si>
  <si>
    <t>Jasher Cook</t>
  </si>
  <si>
    <t>Jesse Cook</t>
  </si>
  <si>
    <t>Jesse Vanderveer Cook</t>
  </si>
  <si>
    <t>Benjamin Chester Cook</t>
  </si>
  <si>
    <t>Female Cook</t>
  </si>
  <si>
    <t>Paul Webb</t>
  </si>
  <si>
    <t>Violet Mary Jordan</t>
  </si>
  <si>
    <t>Jill J Chaffey</t>
  </si>
  <si>
    <t>Herbert Jordan</t>
  </si>
  <si>
    <t>Violet May Jordan</t>
  </si>
  <si>
    <t>Samantha Brillinger</t>
  </si>
  <si>
    <t>Edith Annie Wilson</t>
  </si>
  <si>
    <t>Constance E Highes</t>
  </si>
  <si>
    <t>David Parker</t>
  </si>
  <si>
    <t>Samantha Jane Parker</t>
  </si>
  <si>
    <t>Sophie Dostie</t>
  </si>
  <si>
    <t>65cM</t>
  </si>
  <si>
    <t>Sophie Rachel Brillinger</t>
  </si>
  <si>
    <t>Denise Langley</t>
  </si>
  <si>
    <t>George Henry Hall</t>
  </si>
  <si>
    <t>Daisy Hall</t>
  </si>
  <si>
    <t>Daphne Diana Davies</t>
  </si>
  <si>
    <t>Denise L Langford</t>
  </si>
  <si>
    <t>Dan Earl</t>
  </si>
  <si>
    <t>Paul smith</t>
  </si>
  <si>
    <t>Thomas Field</t>
  </si>
  <si>
    <t>Sarah Boosey</t>
  </si>
  <si>
    <t>Esther Field</t>
  </si>
  <si>
    <t>Daniel Bright</t>
  </si>
  <si>
    <t>Jane Bright</t>
  </si>
  <si>
    <t>Sarah Harvey</t>
  </si>
  <si>
    <t>Daniel Smith</t>
  </si>
  <si>
    <t>Henry Willian Smith</t>
  </si>
  <si>
    <t>Joseph Gilbert Smith</t>
  </si>
  <si>
    <t>John Gilbert Smith</t>
  </si>
  <si>
    <t>Male Smith</t>
  </si>
  <si>
    <t>Paul Richard Smith</t>
  </si>
  <si>
    <t xml:space="preserve">Susan Field </t>
  </si>
  <si>
    <t>James Styliman</t>
  </si>
  <si>
    <t>Mary Stylemen</t>
  </si>
  <si>
    <t>Christine Ford</t>
  </si>
  <si>
    <t>Alexander J Biddle</t>
  </si>
  <si>
    <t>George Thomas Biddle</t>
  </si>
  <si>
    <t>Lilian Violet Biddle</t>
  </si>
  <si>
    <t>Christine Mitchell</t>
  </si>
  <si>
    <t>Joseph Avery</t>
  </si>
  <si>
    <t>Laura E Rolfe</t>
  </si>
  <si>
    <t>Male Avery</t>
  </si>
  <si>
    <t>Carole James</t>
  </si>
  <si>
    <t>Bessie Shickle</t>
  </si>
  <si>
    <t>Edith F Chamberlain</t>
  </si>
  <si>
    <t>Rosemary E Beasley</t>
  </si>
  <si>
    <t>Anne M Keeble</t>
  </si>
  <si>
    <t>Carole Ann Gunn</t>
  </si>
  <si>
    <t>Thomas D Norton</t>
  </si>
  <si>
    <t>Tina Hoberecht</t>
  </si>
  <si>
    <t>Josiah Boreham</t>
  </si>
  <si>
    <t>Edith Emily Boreham</t>
  </si>
  <si>
    <t>Ralph Raymond Clark</t>
  </si>
  <si>
    <t>Barbara Lou Clark</t>
  </si>
  <si>
    <t>Tina Morrison</t>
  </si>
  <si>
    <t>Horace J Coleman</t>
  </si>
  <si>
    <t>Lilian Irene M Coleman</t>
  </si>
  <si>
    <t>Mary Louisa Wait</t>
  </si>
  <si>
    <t>Karen F Mitchell</t>
  </si>
  <si>
    <t>Craig Stephen Coleman</t>
  </si>
  <si>
    <t>Harold John Coleman</t>
  </si>
  <si>
    <t>Ronald Horace Coleman</t>
  </si>
  <si>
    <t>Craig Coleman</t>
  </si>
  <si>
    <t>Karen Frances McMahon</t>
  </si>
  <si>
    <t>Sarah A Freemantle</t>
  </si>
  <si>
    <t>My Heritage</t>
  </si>
  <si>
    <t>Aaron Freemantle</t>
  </si>
  <si>
    <t>Moses Freemantle</t>
  </si>
  <si>
    <t>John B Freemantle</t>
  </si>
  <si>
    <t>John B W Freemantle</t>
  </si>
  <si>
    <t>Derek E Freemantle</t>
  </si>
  <si>
    <t>Liam Freemantle</t>
  </si>
  <si>
    <t>Peter N M Freemantle</t>
  </si>
  <si>
    <t>Peter J Freemantle</t>
  </si>
  <si>
    <t>Liam James Freemantle</t>
  </si>
  <si>
    <t>Dawn Rabinowitz</t>
  </si>
  <si>
    <t>Leonard Boreham</t>
  </si>
  <si>
    <t>Doreen Ada Boreham</t>
  </si>
  <si>
    <t>23AndMe</t>
  </si>
  <si>
    <t>Jan Rose</t>
  </si>
  <si>
    <t>John S Bushell</t>
  </si>
  <si>
    <t>Herbert J Bushell</t>
  </si>
  <si>
    <t>Edward William Bushell</t>
  </si>
  <si>
    <t>Gladys Mary Bushell</t>
  </si>
  <si>
    <t>Michael F Rose</t>
  </si>
  <si>
    <t>Tim Jee</t>
  </si>
  <si>
    <t>Wendy Mary Pratt</t>
  </si>
  <si>
    <t>Clare Jane Daborn</t>
  </si>
  <si>
    <t>Henry William Hall</t>
  </si>
  <si>
    <t>George Frederick Hall</t>
  </si>
  <si>
    <t>Elizabeth F Hall</t>
  </si>
  <si>
    <t>Lynda Roberts</t>
  </si>
  <si>
    <t>Joseph Oxenbury</t>
  </si>
  <si>
    <t>Matilda F Oxenbury</t>
  </si>
  <si>
    <t>Harry Lawrence Trease</t>
  </si>
  <si>
    <t>Harry L T Grieg</t>
  </si>
  <si>
    <t>Lynda Greigg</t>
  </si>
  <si>
    <t>Emma Rose</t>
  </si>
  <si>
    <t>Emma Ramsbotham</t>
  </si>
  <si>
    <t>Florence Mary Pamment</t>
  </si>
  <si>
    <t>Emma F Robinson</t>
  </si>
  <si>
    <t>Margaret L Broughton</t>
  </si>
  <si>
    <t>Alan J Rose</t>
  </si>
  <si>
    <t>Emma Kate Rose</t>
  </si>
  <si>
    <t>Sheila Hartley</t>
  </si>
  <si>
    <t>John Prescott Dyason</t>
  </si>
  <si>
    <t xml:space="preserve">Myrtle Eliza Dyason </t>
  </si>
  <si>
    <t>Sheila Mary Ferris</t>
  </si>
  <si>
    <t>6th Cousin 3xremoved</t>
  </si>
  <si>
    <t>HMR</t>
  </si>
  <si>
    <t>H M Roberts</t>
  </si>
  <si>
    <t>Sebastian Gauci</t>
  </si>
  <si>
    <t>Samuel R Lippincott</t>
  </si>
  <si>
    <t>Joseph Lippincott</t>
  </si>
  <si>
    <t>Morgan Lippincott</t>
  </si>
  <si>
    <t>Mary E Lippincott</t>
  </si>
  <si>
    <t>James Vigil Fleming</t>
  </si>
  <si>
    <t>Loren Jay Fleming</t>
  </si>
  <si>
    <t>Judy Mae Fleming</t>
  </si>
  <si>
    <t>Judy Langston</t>
  </si>
  <si>
    <t>Vijay Stokes</t>
  </si>
  <si>
    <t>Freedom Lippincott</t>
  </si>
  <si>
    <t>Judith Lippincott</t>
  </si>
  <si>
    <t>Samuel Stokes</t>
  </si>
  <si>
    <t>John Hinchman Stokes</t>
  </si>
  <si>
    <t>John Hinchman Stokes jr</t>
  </si>
  <si>
    <t>Samuel Evans Stokes</t>
  </si>
  <si>
    <t>Samuel Evans Stokes JR</t>
  </si>
  <si>
    <t>Prem Chand Stokes</t>
  </si>
  <si>
    <t xml:space="preserve">8th Cousin 1xremoved </t>
  </si>
  <si>
    <t>Scott Taylor Sandford</t>
  </si>
  <si>
    <t xml:space="preserve">9th Cousin 1xremoved </t>
  </si>
  <si>
    <t>Mary Lippincott</t>
  </si>
  <si>
    <t>Almy Borden</t>
  </si>
  <si>
    <t>Catherine Scott</t>
  </si>
  <si>
    <t>Anne Tilton</t>
  </si>
  <si>
    <t>Anne Rogers Cochran</t>
  </si>
  <si>
    <t>Emma Augusta Osborne</t>
  </si>
  <si>
    <t>Wilbur E Henderson</t>
  </si>
  <si>
    <t>Theodore M Sandford</t>
  </si>
  <si>
    <t>Evelyn B Henderson</t>
  </si>
  <si>
    <t>Michael H Brett</t>
  </si>
  <si>
    <t>Patricia Blakestone</t>
  </si>
  <si>
    <t>Stuart John Smith</t>
  </si>
  <si>
    <t>Heather Lamb</t>
  </si>
  <si>
    <t>Joseph Dyason Mercer</t>
  </si>
  <si>
    <t>Ellen Lavinia Mercer</t>
  </si>
  <si>
    <t>Olive Rose</t>
  </si>
  <si>
    <t>Dylan Keith Jeffrey</t>
  </si>
  <si>
    <t>Edward Joseph Mercer</t>
  </si>
  <si>
    <t>Lilian Rosina Mercer</t>
  </si>
  <si>
    <t>Keith D Jeffrey</t>
  </si>
  <si>
    <t>Matthew Edmund Taylor</t>
  </si>
  <si>
    <t>Mary J Moss</t>
  </si>
  <si>
    <t>Rachelhawleythomas</t>
  </si>
  <si>
    <t>Amelia Ruddock</t>
  </si>
  <si>
    <t>Thamas Frank Fisher</t>
  </si>
  <si>
    <t>Daisy Fisher</t>
  </si>
  <si>
    <t>Geoffrey R Thorpe</t>
  </si>
  <si>
    <t>Rachel E Thorpe</t>
  </si>
  <si>
    <t>George McCracken</t>
  </si>
  <si>
    <t>Joseph McCracken</t>
  </si>
  <si>
    <t>James McCracken</t>
  </si>
  <si>
    <t>Jeanie McCracken</t>
  </si>
  <si>
    <t>C K Smith</t>
  </si>
  <si>
    <t>Catherine Ann Lucas</t>
  </si>
  <si>
    <t>Isabel M McCracken</t>
  </si>
  <si>
    <t>John Albert Lucas</t>
  </si>
  <si>
    <t>Andre Aaron McCulloch</t>
  </si>
  <si>
    <t>John Joseph McCulloch</t>
  </si>
  <si>
    <t>Pierre McCulloch</t>
  </si>
  <si>
    <t>17.4cM</t>
  </si>
  <si>
    <t>Catherine McCracken</t>
  </si>
  <si>
    <t>Mary H Campbell</t>
  </si>
  <si>
    <t>Male Matched Ancestry</t>
  </si>
  <si>
    <t>Female Matched Ancestry</t>
  </si>
  <si>
    <t>Richard James Baxter</t>
  </si>
  <si>
    <t>Dianne Kurzbock</t>
  </si>
  <si>
    <t>Fanny S Coleman</t>
  </si>
  <si>
    <t>Edith F Parker</t>
  </si>
  <si>
    <t>Emily D C Varty</t>
  </si>
  <si>
    <t>John Cameron Hull</t>
  </si>
  <si>
    <t>Dianne Hull</t>
  </si>
  <si>
    <t>Keir Monteith</t>
  </si>
  <si>
    <t>Joanne Bell</t>
  </si>
  <si>
    <t>James Shickle</t>
  </si>
  <si>
    <t>Charlotte Hails</t>
  </si>
  <si>
    <t>Charlotte Shickle</t>
  </si>
  <si>
    <t>Charlotte Estoe</t>
  </si>
  <si>
    <t>James Abraham</t>
  </si>
  <si>
    <t>Charlotte A Abraham</t>
  </si>
  <si>
    <t>Roland Maffia</t>
  </si>
  <si>
    <t>Joanne C Leathley</t>
  </si>
  <si>
    <t>pamela8900</t>
  </si>
  <si>
    <t>Thomas Alfred Wright</t>
  </si>
  <si>
    <t>Eva Elizabeth Wright</t>
  </si>
  <si>
    <t>Pamela A Deadman</t>
  </si>
  <si>
    <t>Tim Swain</t>
  </si>
  <si>
    <t>James Alfred Hall</t>
  </si>
  <si>
    <t>Cecil Hall</t>
  </si>
  <si>
    <t>Gwendoline P Hall</t>
  </si>
  <si>
    <t>Timothy Daniel Swain</t>
  </si>
  <si>
    <t>Ann Hammond</t>
  </si>
  <si>
    <t>Peter Farrell</t>
  </si>
  <si>
    <t>Thomas Disdale</t>
  </si>
  <si>
    <t>J.D. (Yuccasmith)</t>
  </si>
  <si>
    <t>L.C. (Pamela Cox)</t>
  </si>
  <si>
    <t>6cM (14.5)</t>
  </si>
  <si>
    <t>6cM (22.4)</t>
  </si>
  <si>
    <t>Peter Hayward</t>
  </si>
  <si>
    <t>adammehaffey</t>
  </si>
  <si>
    <t>robandann8</t>
  </si>
  <si>
    <t>(See Hook)</t>
  </si>
  <si>
    <t>(See Biddle)</t>
  </si>
  <si>
    <t>17.3cM</t>
  </si>
  <si>
    <t>12.2cM</t>
  </si>
  <si>
    <t>Heather Fereday</t>
  </si>
  <si>
    <t>11.4cM</t>
  </si>
  <si>
    <t>8.4cM</t>
  </si>
  <si>
    <t>Ken_Joyner59</t>
  </si>
  <si>
    <t>58.95cM</t>
  </si>
  <si>
    <t>Peter Bryant</t>
  </si>
  <si>
    <t>71cM</t>
  </si>
  <si>
    <t>James Skingsley</t>
  </si>
  <si>
    <t>Rosamund L Skingsley</t>
  </si>
  <si>
    <t>Iris Dorothy Wall</t>
  </si>
  <si>
    <t>Peter W Bryant</t>
  </si>
  <si>
    <t>J.S.</t>
  </si>
  <si>
    <t>James H Otley</t>
  </si>
  <si>
    <t>William R Ottley</t>
  </si>
  <si>
    <t>William James Otley</t>
  </si>
  <si>
    <t>Genevieve Otley</t>
  </si>
  <si>
    <t>Terrance Wayne Stuart</t>
  </si>
  <si>
    <t>J Stuart</t>
  </si>
  <si>
    <t>Laura Dunkerley</t>
  </si>
  <si>
    <t>Laura Jane Dunkerley</t>
  </si>
  <si>
    <t>Maureen Turner</t>
  </si>
  <si>
    <t>Frederick Finch</t>
  </si>
  <si>
    <t>Frederick J Finch</t>
  </si>
  <si>
    <t>Walter Ernest Finch</t>
  </si>
  <si>
    <t>Winifred Mabel Finch</t>
  </si>
  <si>
    <t>Maureen J Turner</t>
  </si>
  <si>
    <t>Edwina Jones</t>
  </si>
  <si>
    <t>Barbara Joan Blow</t>
  </si>
  <si>
    <t>Edwina Margaret Elcome</t>
  </si>
  <si>
    <t>Jason Shaw</t>
  </si>
  <si>
    <t>William Smith Bushell</t>
  </si>
  <si>
    <t>Lilian Bushell</t>
  </si>
  <si>
    <t>Abraham Shapiro</t>
  </si>
  <si>
    <t>Helen M Shapiro</t>
  </si>
  <si>
    <t>Andrew J Geary</t>
  </si>
  <si>
    <t>50.2cM</t>
  </si>
  <si>
    <t>Francis Wilson</t>
  </si>
  <si>
    <t>David Wilson</t>
  </si>
  <si>
    <t>George William Wilson</t>
  </si>
  <si>
    <t>Bertha Elvira Wilson</t>
  </si>
  <si>
    <t>Alice Elvira O'Brien</t>
  </si>
  <si>
    <t>Gwendoline A Gaylard</t>
  </si>
  <si>
    <t>Living Geary</t>
  </si>
  <si>
    <t>47.3cM</t>
  </si>
  <si>
    <t>Female Geary</t>
  </si>
  <si>
    <t>49.8cM</t>
  </si>
  <si>
    <t>Maureen</t>
  </si>
  <si>
    <t>Maureen Geary</t>
  </si>
  <si>
    <t>59.6cM</t>
  </si>
  <si>
    <t>ChelseaAnneSmith</t>
  </si>
  <si>
    <t>Mabel Augusta Tennant</t>
  </si>
  <si>
    <t>Doris Annie Chisholm</t>
  </si>
  <si>
    <t>Female Grayndler</t>
  </si>
  <si>
    <t>Chelsea Anne</t>
  </si>
  <si>
    <t>Martin David</t>
  </si>
  <si>
    <t>Samuel Felton</t>
  </si>
  <si>
    <t>James Felton</t>
  </si>
  <si>
    <t>Alexander J Felton</t>
  </si>
  <si>
    <t>Joseph Felton</t>
  </si>
  <si>
    <t>Joan M Felton</t>
  </si>
  <si>
    <t>Michael George David</t>
  </si>
  <si>
    <t>Mary Shorecroft</t>
  </si>
  <si>
    <t>Sheila Figg</t>
  </si>
  <si>
    <t>Peter Bushell</t>
  </si>
  <si>
    <t>John Hinkley Bushell</t>
  </si>
  <si>
    <t>Kezia Bushell</t>
  </si>
  <si>
    <t>Frank G Blackman</t>
  </si>
  <si>
    <t>Kathleen D Blackman</t>
  </si>
  <si>
    <t>Sheila D Chandler</t>
  </si>
  <si>
    <t>Olivia Willatts</t>
  </si>
  <si>
    <t>Peggy Bushell</t>
  </si>
  <si>
    <t>Roger J Willatts</t>
  </si>
  <si>
    <t>James Daniel Willatts</t>
  </si>
  <si>
    <t>Olivia Rae Willatts</t>
  </si>
  <si>
    <t>Maureen Garland</t>
  </si>
  <si>
    <t>William John Windebank</t>
  </si>
  <si>
    <t>William J E Windebank</t>
  </si>
  <si>
    <t>Maureen Windebank</t>
  </si>
  <si>
    <t>Kerry Phillips</t>
  </si>
  <si>
    <t>Lydia Capon</t>
  </si>
  <si>
    <t>Sarah Ann Shrewsbury</t>
  </si>
  <si>
    <t>George Phillips</t>
  </si>
  <si>
    <t>David Phillips</t>
  </si>
  <si>
    <t>John Phillips</t>
  </si>
  <si>
    <t>Ivor Erroll Phillips</t>
  </si>
  <si>
    <t>David Wallace</t>
  </si>
  <si>
    <t>Freya  Brightwater</t>
  </si>
  <si>
    <t>James argent</t>
  </si>
  <si>
    <t>William Patrick Argent</t>
  </si>
  <si>
    <t>Albert William Argent</t>
  </si>
  <si>
    <t>Brian D Argent</t>
  </si>
  <si>
    <t>Deborah A Argent</t>
  </si>
  <si>
    <t>Freya L Brightwater</t>
  </si>
  <si>
    <t>Jamil Maxwell</t>
  </si>
  <si>
    <t>46cM</t>
  </si>
  <si>
    <t>lynsakiyama</t>
  </si>
  <si>
    <t>Martin Sams</t>
  </si>
  <si>
    <t>Elizabeth Ann Sams</t>
  </si>
  <si>
    <t>Maud Skeats</t>
  </si>
  <si>
    <t>Jean Ruby Playle</t>
  </si>
  <si>
    <t>Lyn Todd</t>
  </si>
  <si>
    <t>4G Grandparaents</t>
  </si>
  <si>
    <t>inasattic</t>
  </si>
  <si>
    <t>William Bridge</t>
  </si>
  <si>
    <t>Maria Elizabeth Bridge</t>
  </si>
  <si>
    <t>Edith Gertrude Abrey</t>
  </si>
  <si>
    <t>Beryl Edith Louisa Hart</t>
  </si>
  <si>
    <t>Male Murphy</t>
  </si>
  <si>
    <t>Colin Bosher</t>
  </si>
  <si>
    <t>Thomas Brinkley</t>
  </si>
  <si>
    <t>Phillip Brinkley</t>
  </si>
  <si>
    <t>Rosella Brinkley</t>
  </si>
  <si>
    <t>Eileen roselle Harding</t>
  </si>
  <si>
    <t>Colin S T Bosher</t>
  </si>
  <si>
    <t>Linda Franklin</t>
  </si>
  <si>
    <t>George Shekle</t>
  </si>
  <si>
    <t>Roy Shekle</t>
  </si>
  <si>
    <t>Linda Shekle</t>
  </si>
  <si>
    <t>Chris Baker</t>
  </si>
  <si>
    <t>Ann J Shrewsbury</t>
  </si>
  <si>
    <t>Alfred Thomas Bushell</t>
  </si>
  <si>
    <t>Sheila Mary Bushell</t>
  </si>
  <si>
    <t>Christopher P Baker</t>
  </si>
  <si>
    <t>Lauren Wine</t>
  </si>
  <si>
    <t>Charles Henry Jezzard</t>
  </si>
  <si>
    <t>Mark K Port</t>
  </si>
  <si>
    <t>Shirley A Jezzard</t>
  </si>
  <si>
    <t>38cM</t>
  </si>
  <si>
    <t>mckellarjk</t>
  </si>
  <si>
    <t>Penny Taylor</t>
  </si>
  <si>
    <t>Harriett Reeve</t>
  </si>
  <si>
    <t>Eileen Petch</t>
  </si>
  <si>
    <t>Sarah Bevis</t>
  </si>
  <si>
    <t>Henry James Bevis</t>
  </si>
  <si>
    <t>Male Bevis</t>
  </si>
  <si>
    <t>Derek Frank Bevis</t>
  </si>
  <si>
    <t>Sarah Ann Bevis</t>
  </si>
  <si>
    <t>5th Cousinm 1xremoved</t>
  </si>
  <si>
    <t>Meret Walker</t>
  </si>
  <si>
    <t>Jean Douglas</t>
  </si>
  <si>
    <t>Mary Millar Robertson</t>
  </si>
  <si>
    <t>Isabella Reid</t>
  </si>
  <si>
    <t>Harold Spencer</t>
  </si>
  <si>
    <t>Gertrude E Spencer</t>
  </si>
  <si>
    <t>Alan T R Walker</t>
  </si>
  <si>
    <t>Michael Kulenkamp</t>
  </si>
  <si>
    <t>George Pray Otley</t>
  </si>
  <si>
    <t>Jeanette Scott</t>
  </si>
  <si>
    <t>makildau</t>
  </si>
  <si>
    <t>Female Smith</t>
  </si>
  <si>
    <t>kenneth smith</t>
  </si>
  <si>
    <t>Kenneth Smith</t>
  </si>
  <si>
    <t>Janice Avery</t>
  </si>
  <si>
    <t>John Toms</t>
  </si>
  <si>
    <t>Joshua Toms</t>
  </si>
  <si>
    <t>William Jabez Toms</t>
  </si>
  <si>
    <t>Doris Myrtle Toms</t>
  </si>
  <si>
    <t>Rosie Marie Little</t>
  </si>
  <si>
    <t>Angier</t>
  </si>
  <si>
    <t>Beavis</t>
  </si>
  <si>
    <t>Biddle</t>
  </si>
  <si>
    <t>Bing</t>
  </si>
  <si>
    <t>Bloomfield</t>
  </si>
  <si>
    <t>Boreham</t>
  </si>
  <si>
    <t>Brinkley</t>
  </si>
  <si>
    <t>Bushell</t>
  </si>
  <si>
    <t>Camp</t>
  </si>
  <si>
    <t>Collins</t>
  </si>
  <si>
    <t>Davis</t>
  </si>
  <si>
    <t>Disdale</t>
  </si>
  <si>
    <t>Dyason</t>
  </si>
  <si>
    <t>Felton</t>
  </si>
  <si>
    <t>Field</t>
  </si>
  <si>
    <t>Fooks</t>
  </si>
  <si>
    <t>Ford</t>
  </si>
  <si>
    <t>Freemantle</t>
  </si>
  <si>
    <t>Gates</t>
  </si>
  <si>
    <t>Hall</t>
  </si>
  <si>
    <t>Hook</t>
  </si>
  <si>
    <t>Hogben</t>
  </si>
  <si>
    <t>Humphrey</t>
  </si>
  <si>
    <t>Jezzard</t>
  </si>
  <si>
    <t>Lippincott</t>
  </si>
  <si>
    <t>Minter</t>
  </si>
  <si>
    <t>Nankivell</t>
  </si>
  <si>
    <t>Noble</t>
  </si>
  <si>
    <t>Otley</t>
  </si>
  <si>
    <t>Patrick</t>
  </si>
  <si>
    <t>Penny</t>
  </si>
  <si>
    <t>Pittock</t>
  </si>
  <si>
    <t>Rayner</t>
  </si>
  <si>
    <t>Reeve</t>
  </si>
  <si>
    <t>Robertson</t>
  </si>
  <si>
    <t>Ruddock</t>
  </si>
  <si>
    <t>Sams</t>
  </si>
  <si>
    <t>Shickle</t>
  </si>
  <si>
    <t>Shinn</t>
  </si>
  <si>
    <t>Shrewsbury</t>
  </si>
  <si>
    <t>Tucker</t>
  </si>
  <si>
    <t>Vandepeer</t>
  </si>
  <si>
    <t>Wilson</t>
  </si>
  <si>
    <t>Shane Jezzard</t>
  </si>
  <si>
    <t>Tracy Ellen Jezzard</t>
  </si>
  <si>
    <t>Shane Aaron Jezzard</t>
  </si>
  <si>
    <t>Worksheet Name</t>
  </si>
  <si>
    <t>DNA Matches</t>
  </si>
  <si>
    <t>Sam Kemp</t>
  </si>
  <si>
    <t>Sara Louise Bottell</t>
  </si>
  <si>
    <t>Susan Alexander</t>
  </si>
  <si>
    <t>Female Murphy</t>
  </si>
  <si>
    <t>Wendy Corkett</t>
  </si>
  <si>
    <t>D K Spittle</t>
  </si>
  <si>
    <t>Serena Wallace</t>
  </si>
  <si>
    <t>Lonnie Ray Cox</t>
  </si>
  <si>
    <t>Peter Robert Bland</t>
  </si>
  <si>
    <t>Wittber</t>
  </si>
  <si>
    <t>Mitchell</t>
  </si>
  <si>
    <t>Judith Lillian Witber</t>
  </si>
  <si>
    <t>Laura Ashbee</t>
  </si>
  <si>
    <t>Laura Rose Allen</t>
  </si>
  <si>
    <t>Female Rose</t>
  </si>
  <si>
    <t>Lorraine Tattershall</t>
  </si>
  <si>
    <t>Peckham, London, England</t>
  </si>
  <si>
    <t>Kingston upon Thames, Greater London, England</t>
  </si>
  <si>
    <t>Anne Castle</t>
  </si>
  <si>
    <t>Elizabeth Hyle</t>
  </si>
  <si>
    <t>IK_Dobinson</t>
  </si>
  <si>
    <t>Joan M Murphy</t>
  </si>
  <si>
    <t>Brian N S Foley</t>
  </si>
  <si>
    <t>Brian Foley</t>
  </si>
  <si>
    <t>130cM</t>
  </si>
  <si>
    <t>Hazel D Church</t>
  </si>
  <si>
    <t>Frederick Harry French</t>
  </si>
  <si>
    <t>David John Mansfield</t>
  </si>
  <si>
    <t>Barbara Ann Rolfe</t>
  </si>
  <si>
    <t>TobyMersch</t>
  </si>
  <si>
    <t>Joseph Dierson Meecey</t>
  </si>
  <si>
    <t>Nicholas Kulenkamp</t>
  </si>
  <si>
    <t>Margaret Ann Smith</t>
  </si>
  <si>
    <t>Abraham Jordan</t>
  </si>
  <si>
    <t>Sarah Baker</t>
  </si>
  <si>
    <t>John Jordan</t>
  </si>
  <si>
    <t>Thomas Jordan</t>
  </si>
  <si>
    <t>Susanna Jordan</t>
  </si>
  <si>
    <t>George Atherton</t>
  </si>
  <si>
    <t>Leonard H Atherton</t>
  </si>
  <si>
    <t>George Luke Atherton</t>
  </si>
  <si>
    <t>Margaret Atherton</t>
  </si>
  <si>
    <t>Allegra Fulton</t>
  </si>
  <si>
    <t>John Atherton</t>
  </si>
  <si>
    <t>Hilda Atherton</t>
  </si>
  <si>
    <t>David Sylvester Fulton</t>
  </si>
  <si>
    <t>MaryBateson</t>
  </si>
  <si>
    <t>Roland L Atherton</t>
  </si>
  <si>
    <t>Mary Atherton</t>
  </si>
  <si>
    <t>John Palmer</t>
  </si>
  <si>
    <t>Mary Ann Roberson</t>
  </si>
  <si>
    <t>Esther</t>
  </si>
  <si>
    <t>Mary Anne Palmer</t>
  </si>
  <si>
    <t>Edmund Palmer</t>
  </si>
  <si>
    <t>Clement Palmer</t>
  </si>
  <si>
    <t>Isaac Palmer</t>
  </si>
  <si>
    <t>Sydney Ernest Palmer</t>
  </si>
  <si>
    <t>Sidney David Palmer</t>
  </si>
  <si>
    <t>Catherine L Palmer</t>
  </si>
  <si>
    <t>PalmerMunro</t>
  </si>
  <si>
    <t>Francis Mayes</t>
  </si>
  <si>
    <t>Mary Dibal</t>
  </si>
  <si>
    <t>Benjamin Mayes</t>
  </si>
  <si>
    <t>Elizabeth Mayes</t>
  </si>
  <si>
    <t>Mayes Milem</t>
  </si>
  <si>
    <t>Christopher Milem</t>
  </si>
  <si>
    <t>David Samuel Milehem</t>
  </si>
  <si>
    <t>Emma Mileham</t>
  </si>
  <si>
    <t>George Joseph Haran</t>
  </si>
  <si>
    <t>Carol Rita Haran</t>
  </si>
  <si>
    <t>Tim Olsen</t>
  </si>
  <si>
    <t>Mary Mayes</t>
  </si>
  <si>
    <t>Joseph Hubbard</t>
  </si>
  <si>
    <t>Martha Hubbard</t>
  </si>
  <si>
    <t>Alice Rosina Gilson</t>
  </si>
  <si>
    <t>Alice R A Richardson</t>
  </si>
  <si>
    <t>Ruth Alice R Humphries</t>
  </si>
  <si>
    <t>Delys Purcell</t>
  </si>
  <si>
    <t>Delys Crisp</t>
  </si>
  <si>
    <t>Alison Lines</t>
  </si>
  <si>
    <t>Eric Herbert Lines</t>
  </si>
  <si>
    <t>Thomas Shinn</t>
  </si>
  <si>
    <t>Samuel Shinn</t>
  </si>
  <si>
    <t>Sarah Watts Shinn</t>
  </si>
  <si>
    <t>Benjamin voyles</t>
  </si>
  <si>
    <t>Jonathan Voyles</t>
  </si>
  <si>
    <t>Samuel Homer Voyles</t>
  </si>
  <si>
    <t>Jonathan F Voyles</t>
  </si>
  <si>
    <t>Myrtle Bell Voyles</t>
  </si>
  <si>
    <t>Wille Maye Strickland</t>
  </si>
  <si>
    <t>Mareta Bell Henry</t>
  </si>
  <si>
    <t>Mark E Newell</t>
  </si>
  <si>
    <t>Mark Newll</t>
  </si>
  <si>
    <t>Bernadette Barnes</t>
  </si>
  <si>
    <t>Mary Dadd</t>
  </si>
  <si>
    <t>Sara Wood</t>
  </si>
  <si>
    <t>George Thomas Hogben</t>
  </si>
  <si>
    <t>Sarah Mary Hogben</t>
  </si>
  <si>
    <t>Norris Leslie Brigden</t>
  </si>
  <si>
    <t>Beverley Brigden</t>
  </si>
  <si>
    <t>John Dibel</t>
  </si>
  <si>
    <t>Mary West</t>
  </si>
  <si>
    <t>Mary Dyball</t>
  </si>
  <si>
    <t>Rose Ward</t>
  </si>
  <si>
    <t>James Burton</t>
  </si>
  <si>
    <t>Hannah Burton</t>
  </si>
  <si>
    <t>William Breame</t>
  </si>
  <si>
    <t>James W Breame</t>
  </si>
  <si>
    <t>James Robert Breame</t>
  </si>
  <si>
    <t>Paul R Breame</t>
  </si>
  <si>
    <t>Paul Breame</t>
  </si>
  <si>
    <t>Sue Kennedy</t>
  </si>
  <si>
    <t>67.8cM</t>
  </si>
  <si>
    <t>Rose Daphne Comport</t>
  </si>
  <si>
    <t>Susan A Bentley</t>
  </si>
  <si>
    <t>107.3cM</t>
  </si>
  <si>
    <t>Jane Jenipher Nankivell</t>
  </si>
  <si>
    <t>John M Otley</t>
  </si>
  <si>
    <t>Alma Sarah Patrick</t>
  </si>
  <si>
    <t>Alma Grace Manby</t>
  </si>
  <si>
    <t>Wilfrid Purcell Wyatt</t>
  </si>
  <si>
    <t>Daniel Purcell Wyatt</t>
  </si>
  <si>
    <t>Norah Leonard Patrick</t>
  </si>
  <si>
    <t>Gilbert George Patrick</t>
  </si>
  <si>
    <t>John George Patrick</t>
  </si>
  <si>
    <t>Stephen Patrick</t>
  </si>
  <si>
    <t>Patricia A Patrick</t>
  </si>
  <si>
    <t>Gordon J Patrick</t>
  </si>
  <si>
    <t>Albert Edward Patrick</t>
  </si>
  <si>
    <t>Alfred Patrick</t>
  </si>
  <si>
    <t>John Thomas Patrick</t>
  </si>
  <si>
    <t>Winston Knighton</t>
  </si>
  <si>
    <t>Frederick W Knighton</t>
  </si>
  <si>
    <t>Elizabeth Emma Small</t>
  </si>
  <si>
    <t>Harriet Emma Patrick</t>
  </si>
  <si>
    <t>Susan E Long</t>
  </si>
  <si>
    <t>Joyce M Ronan</t>
  </si>
  <si>
    <t>Lucy Eleanor Scanlon</t>
  </si>
  <si>
    <t>Mary Ann C Patrick</t>
  </si>
  <si>
    <t>Mary Ann C Wright</t>
  </si>
  <si>
    <t>Bertha Evelyn Witney</t>
  </si>
  <si>
    <t>Annie Mary Nutt</t>
  </si>
  <si>
    <t>Mary Patrick</t>
  </si>
  <si>
    <t>John  Patrick</t>
  </si>
  <si>
    <t>June I Hill</t>
  </si>
  <si>
    <t>Joseph William Hill</t>
  </si>
  <si>
    <t>Sarah Ann Wright</t>
  </si>
  <si>
    <t>William Henry Wright</t>
  </si>
  <si>
    <t>J K Leyshon</t>
  </si>
  <si>
    <t>Betty Alma Chappell</t>
  </si>
  <si>
    <t>Edith Grace Small</t>
  </si>
  <si>
    <t>Arthur William Small</t>
  </si>
  <si>
    <t>Alfred Lewis Whitman</t>
  </si>
  <si>
    <t>Nellie McCandless</t>
  </si>
  <si>
    <t>Thelma Jean Sharp</t>
  </si>
  <si>
    <t>Casey Wedig</t>
  </si>
  <si>
    <t>Frances Parker</t>
  </si>
  <si>
    <t>Edna Magill</t>
  </si>
  <si>
    <t>William McCracken</t>
  </si>
  <si>
    <t>Alexander McCracken</t>
  </si>
  <si>
    <t>Edna McCracken</t>
  </si>
  <si>
    <t>CKHenderson86</t>
  </si>
  <si>
    <t>rjwillatts</t>
  </si>
  <si>
    <t>Carol O Gipson</t>
  </si>
  <si>
    <t>Carol Gipson</t>
  </si>
  <si>
    <t>Harold Parisher</t>
  </si>
  <si>
    <t>Nancy Driskell</t>
  </si>
  <si>
    <t>Benjamin Ecton</t>
  </si>
  <si>
    <t>Polly Ecton</t>
  </si>
  <si>
    <t>Doris Ann Collin</t>
  </si>
  <si>
    <t>Hiram Fryar</t>
  </si>
  <si>
    <t>Jonah Fryar</t>
  </si>
  <si>
    <t>Toni Fryar</t>
  </si>
  <si>
    <t>Toniletsgobingo</t>
  </si>
  <si>
    <t>Richard John Baker</t>
  </si>
  <si>
    <t>Dilys Baker</t>
  </si>
  <si>
    <t>Dilys Harvey</t>
  </si>
  <si>
    <t>Percentage</t>
  </si>
  <si>
    <t>Centimorgans</t>
  </si>
  <si>
    <t>PARENT</t>
  </si>
  <si>
    <t>GRANDPARENTS</t>
  </si>
  <si>
    <t>1G GRANDPARENTS</t>
  </si>
  <si>
    <t>2G GRANDPARENTS</t>
  </si>
  <si>
    <t>3G GRANDPARENTS</t>
  </si>
  <si>
    <t>4G GRANDPARENTS</t>
  </si>
  <si>
    <t>5G GRANDPARENTS</t>
  </si>
  <si>
    <t>6G GRANDPARENTS</t>
  </si>
  <si>
    <t>UnmatchedFreer</t>
  </si>
  <si>
    <t>UnmatchedMcCracken</t>
  </si>
  <si>
    <t>ROBERTSON</t>
  </si>
  <si>
    <t>HALL</t>
  </si>
  <si>
    <t>TUCKER</t>
  </si>
  <si>
    <t>BRINKLEY</t>
  </si>
  <si>
    <t>SHICKLE</t>
  </si>
  <si>
    <t>PENNY</t>
  </si>
  <si>
    <t>PATRICK</t>
  </si>
  <si>
    <t>JEZZARD</t>
  </si>
  <si>
    <t>FREEMANTLE</t>
  </si>
  <si>
    <t>FORD</t>
  </si>
  <si>
    <t>BUSHELL</t>
  </si>
  <si>
    <t>WILSON</t>
  </si>
  <si>
    <t>BEAVIS</t>
  </si>
  <si>
    <t>BOREHAM</t>
  </si>
  <si>
    <t>SAMS</t>
  </si>
  <si>
    <t>Mercer</t>
  </si>
  <si>
    <t>Jordan</t>
  </si>
  <si>
    <t>Mayes</t>
  </si>
  <si>
    <t>Dibel</t>
  </si>
  <si>
    <t>Palmer</t>
  </si>
  <si>
    <t>DISDALE</t>
  </si>
  <si>
    <t>ANGIER</t>
  </si>
  <si>
    <t>BIDDLE</t>
  </si>
  <si>
    <t>MERCER</t>
  </si>
  <si>
    <t>BING</t>
  </si>
  <si>
    <t>OTLEY</t>
  </si>
  <si>
    <t>BLOOMFIELD</t>
  </si>
  <si>
    <t>CAMP</t>
  </si>
  <si>
    <t>COLLINS</t>
  </si>
  <si>
    <t>DAVIS</t>
  </si>
  <si>
    <t>DYASON</t>
  </si>
  <si>
    <t>7G GRANDPARENTS</t>
  </si>
  <si>
    <t>FELTON</t>
  </si>
  <si>
    <t>RAYNER</t>
  </si>
  <si>
    <t>STYLEMAN</t>
  </si>
  <si>
    <t>FIELD</t>
  </si>
  <si>
    <t>FOOKS</t>
  </si>
  <si>
    <t>GATES</t>
  </si>
  <si>
    <t>HOOK</t>
  </si>
  <si>
    <t>HOGBEN</t>
  </si>
  <si>
    <t>HUMPHREY</t>
  </si>
  <si>
    <t>PITTOCK</t>
  </si>
  <si>
    <t>JORDAN</t>
  </si>
  <si>
    <t>SHINN</t>
  </si>
  <si>
    <t>LIPPINCOTT</t>
  </si>
  <si>
    <t>RUDDOCK</t>
  </si>
  <si>
    <t>REEVE</t>
  </si>
  <si>
    <t>MAY</t>
  </si>
  <si>
    <t>MAYES</t>
  </si>
  <si>
    <t>DIBAL</t>
  </si>
  <si>
    <t>MINTER</t>
  </si>
  <si>
    <t>TOZER</t>
  </si>
  <si>
    <t>NANKIVELL</t>
  </si>
  <si>
    <t>NOBLE</t>
  </si>
  <si>
    <t>PALMER</t>
  </si>
  <si>
    <t>SHREWSBURY</t>
  </si>
  <si>
    <t>RANK</t>
  </si>
  <si>
    <t>NO MATCHES</t>
  </si>
  <si>
    <t>RESEARCHED</t>
  </si>
  <si>
    <t>PARENTS</t>
  </si>
  <si>
    <t>SPENCER</t>
  </si>
  <si>
    <t>WOODS</t>
  </si>
  <si>
    <t>Jones</t>
  </si>
  <si>
    <t>JONES</t>
  </si>
  <si>
    <t>Lewis</t>
  </si>
  <si>
    <t>LEWIS</t>
  </si>
  <si>
    <t>Whitehead</t>
  </si>
  <si>
    <t>WHITEHEAD</t>
  </si>
  <si>
    <t>Woods</t>
  </si>
  <si>
    <t>Miller</t>
  </si>
  <si>
    <t>Beavis2</t>
  </si>
  <si>
    <t>Douglas</t>
  </si>
  <si>
    <t>Cameron</t>
  </si>
  <si>
    <t>Millar</t>
  </si>
  <si>
    <t>Hutcheson</t>
  </si>
  <si>
    <t>Fergusson</t>
  </si>
  <si>
    <t>Gordon</t>
  </si>
  <si>
    <t>CAMERON</t>
  </si>
  <si>
    <t>MILLER</t>
  </si>
  <si>
    <t>BEAVIS2</t>
  </si>
  <si>
    <t>DOUGLAS</t>
  </si>
  <si>
    <t>MILLAR</t>
  </si>
  <si>
    <t>HUTCHESON</t>
  </si>
  <si>
    <t>FERGUSSON</t>
  </si>
  <si>
    <t>GORDON</t>
  </si>
  <si>
    <t>Greig</t>
  </si>
  <si>
    <t>Patty</t>
  </si>
  <si>
    <t>Berry</t>
  </si>
  <si>
    <t>GREIG</t>
  </si>
  <si>
    <t>PATTY</t>
  </si>
  <si>
    <t>BERRY</t>
  </si>
  <si>
    <t>Boone</t>
  </si>
  <si>
    <t>Nichols</t>
  </si>
  <si>
    <t>Craddock</t>
  </si>
  <si>
    <t>Maggott</t>
  </si>
  <si>
    <t>Munden</t>
  </si>
  <si>
    <t>Sims</t>
  </si>
  <si>
    <t>Dadley</t>
  </si>
  <si>
    <t>White</t>
  </si>
  <si>
    <t>Gilbert</t>
  </si>
  <si>
    <t>Parker</t>
  </si>
  <si>
    <t>Bowers</t>
  </si>
  <si>
    <t>Styleman</t>
  </si>
  <si>
    <t>Pavett</t>
  </si>
  <si>
    <t>Eldred</t>
  </si>
  <si>
    <t>Punt</t>
  </si>
  <si>
    <t>Shorecroft</t>
  </si>
  <si>
    <t>Argent</t>
  </si>
  <si>
    <t>Freeman</t>
  </si>
  <si>
    <t>Trueman</t>
  </si>
  <si>
    <t>Tozer</t>
  </si>
  <si>
    <t>Dollen</t>
  </si>
  <si>
    <t>Barnes</t>
  </si>
  <si>
    <t>Goddard</t>
  </si>
  <si>
    <t>Vye</t>
  </si>
  <si>
    <t>Spencer</t>
  </si>
  <si>
    <t>Atkins</t>
  </si>
  <si>
    <t>Elderfield</t>
  </si>
  <si>
    <t>Singleton</t>
  </si>
  <si>
    <t>Towns</t>
  </si>
  <si>
    <t>Capon</t>
  </si>
  <si>
    <t>Lovewold</t>
  </si>
  <si>
    <t>Newman</t>
  </si>
  <si>
    <t>Howard</t>
  </si>
  <si>
    <t>Smart</t>
  </si>
  <si>
    <t>Watts</t>
  </si>
  <si>
    <t>Hughes</t>
  </si>
  <si>
    <t>Wray</t>
  </si>
  <si>
    <t>Batley</t>
  </si>
  <si>
    <t>Haw</t>
  </si>
  <si>
    <t>Worledge</t>
  </si>
  <si>
    <t>Hails</t>
  </si>
  <si>
    <t>Rush</t>
  </si>
  <si>
    <t>MUNDEN</t>
  </si>
  <si>
    <t>BOONE</t>
  </si>
  <si>
    <t>DILLY</t>
  </si>
  <si>
    <t>NICHOLS</t>
  </si>
  <si>
    <t>Dilly</t>
  </si>
  <si>
    <t>CRADDOCK</t>
  </si>
  <si>
    <t>MAGGOTT</t>
  </si>
  <si>
    <t>SIMS</t>
  </si>
  <si>
    <t>DADLEY</t>
  </si>
  <si>
    <t>WHITE</t>
  </si>
  <si>
    <t>PARKER</t>
  </si>
  <si>
    <t>BOWERS</t>
  </si>
  <si>
    <t>ELDRED</t>
  </si>
  <si>
    <t>PAVETT</t>
  </si>
  <si>
    <t>PUNT</t>
  </si>
  <si>
    <t>SHORECROFT</t>
  </si>
  <si>
    <t>ARGENT</t>
  </si>
  <si>
    <t>FREEMAN</t>
  </si>
  <si>
    <t>TRUEMAN</t>
  </si>
  <si>
    <t>DOLLEN</t>
  </si>
  <si>
    <t>BARNES</t>
  </si>
  <si>
    <t>GODDARD</t>
  </si>
  <si>
    <t>VYE</t>
  </si>
  <si>
    <t>ATKINS</t>
  </si>
  <si>
    <t>ELDERFIELD</t>
  </si>
  <si>
    <t>SINGLETON</t>
  </si>
  <si>
    <t>TOWNS</t>
  </si>
  <si>
    <t>CAPON</t>
  </si>
  <si>
    <t>LOVEWOLD</t>
  </si>
  <si>
    <t>NEWMAN</t>
  </si>
  <si>
    <t>HOWARD</t>
  </si>
  <si>
    <t>SMART</t>
  </si>
  <si>
    <t>WATTS</t>
  </si>
  <si>
    <t>HUGHES</t>
  </si>
  <si>
    <t>WRAY</t>
  </si>
  <si>
    <t>BATELY</t>
  </si>
  <si>
    <t>HAW</t>
  </si>
  <si>
    <t>WORLEDGE</t>
  </si>
  <si>
    <t>HAILS</t>
  </si>
  <si>
    <t>RUSH</t>
  </si>
  <si>
    <t>SIMON</t>
  </si>
  <si>
    <t>JILL</t>
  </si>
  <si>
    <t>Sibling</t>
  </si>
  <si>
    <t>2394cM</t>
  </si>
  <si>
    <t>Parents</t>
  </si>
  <si>
    <t>Summary</t>
  </si>
  <si>
    <t>Kerrie Wollen</t>
  </si>
  <si>
    <t>Mary Benson</t>
  </si>
  <si>
    <t>Susanna Millard</t>
  </si>
  <si>
    <t>Henry Tripp Reid</t>
  </si>
  <si>
    <t>Henry Sidney Reid</t>
  </si>
  <si>
    <t>Raymond Charles Reid</t>
  </si>
  <si>
    <t>Kerrie Gemma Reid</t>
  </si>
  <si>
    <t>Francis John Tucker</t>
  </si>
  <si>
    <t>Hayley Kilhorn</t>
  </si>
  <si>
    <t>Henry Scott Kilhorn</t>
  </si>
  <si>
    <t>Leonard Alfred Mercer</t>
  </si>
  <si>
    <t>Norman John Mercer</t>
  </si>
  <si>
    <t>Yvonne W Mercer</t>
  </si>
  <si>
    <t>Y.M.</t>
  </si>
  <si>
    <t>44cM</t>
  </si>
  <si>
    <t>Stephen Jezzard</t>
  </si>
  <si>
    <t>86.4cM</t>
  </si>
  <si>
    <t>52.5cM</t>
  </si>
  <si>
    <t>William Albert Jezzard</t>
  </si>
  <si>
    <t>George H D Jezzard</t>
  </si>
  <si>
    <t>Stephen D W Jezzard</t>
  </si>
  <si>
    <t>3rd Cousin - Distant</t>
  </si>
  <si>
    <t>Most Likely Relationship</t>
  </si>
  <si>
    <t>John  McGregor</t>
  </si>
  <si>
    <t>Margaret Stewart</t>
  </si>
  <si>
    <t>Janet McGregor</t>
  </si>
  <si>
    <t>Margaret Salmon</t>
  </si>
  <si>
    <t>Janet McNab</t>
  </si>
  <si>
    <t>Elizabeth Dickson</t>
  </si>
  <si>
    <t>Elizabeth Marrs</t>
  </si>
  <si>
    <t>Reginald Newman</t>
  </si>
  <si>
    <t>Judy Newman</t>
  </si>
  <si>
    <t>Colleen Friel</t>
  </si>
  <si>
    <t>Nick O'Neill</t>
  </si>
  <si>
    <t>22.4cM</t>
  </si>
  <si>
    <t>Colleen O'Neill</t>
  </si>
  <si>
    <t>25.3cM</t>
  </si>
  <si>
    <t>Kate O'Neill</t>
  </si>
  <si>
    <t>Jess O'Neill</t>
  </si>
  <si>
    <t>22.2cM</t>
  </si>
  <si>
    <t>Judy Friel</t>
  </si>
  <si>
    <t>Norma Woods</t>
  </si>
  <si>
    <t>18.1cM</t>
  </si>
  <si>
    <t>Ethel May Marrs</t>
  </si>
  <si>
    <t>Marjorie Philip</t>
  </si>
  <si>
    <t>Norma Capel</t>
  </si>
  <si>
    <t>Anthony Woods</t>
  </si>
  <si>
    <t>David Patrick</t>
  </si>
  <si>
    <t>Charlotte Patrick</t>
  </si>
  <si>
    <t>George Smith</t>
  </si>
  <si>
    <t>Lilian Charoltte Smith</t>
  </si>
  <si>
    <t>David Walker</t>
  </si>
  <si>
    <t>seals1999</t>
  </si>
  <si>
    <t>Seals1999</t>
  </si>
  <si>
    <t>makilby</t>
  </si>
  <si>
    <t>Mary anne palmer</t>
  </si>
  <si>
    <t>Elizabeth Johnson Mayes</t>
  </si>
  <si>
    <t>Richard Richardson</t>
  </si>
  <si>
    <t>George Richardson</t>
  </si>
  <si>
    <t>Catharine Sally Bell</t>
  </si>
  <si>
    <t>Catherine S Garrett</t>
  </si>
  <si>
    <t>Anthony Garratt Kilby</t>
  </si>
  <si>
    <t>Mark A Kilby</t>
  </si>
  <si>
    <t>Bruce Alexander</t>
  </si>
  <si>
    <t>Amy Sylvia Robertson</t>
  </si>
  <si>
    <t>Bruce John Alexander</t>
  </si>
  <si>
    <t>Wikipedia</t>
  </si>
  <si>
    <t>David Suchet</t>
  </si>
  <si>
    <t>David Courtney Suchet</t>
  </si>
  <si>
    <t>Walter Jezzard</t>
  </si>
  <si>
    <t>Elsie Gladys Jezzard</t>
  </si>
  <si>
    <t>Joan Patricia Jarche</t>
  </si>
  <si>
    <t>Bedford Jezzard</t>
  </si>
  <si>
    <t>Bedford Alfred George Jezzard</t>
  </si>
  <si>
    <t>Hilda Braid</t>
  </si>
  <si>
    <t>3rd Cousin 1xRemoved</t>
  </si>
  <si>
    <t>Hilda Ivy Penny</t>
  </si>
  <si>
    <t>Maude Bessie Hall</t>
  </si>
  <si>
    <t>John Suchet</t>
  </si>
  <si>
    <t>Profession</t>
  </si>
  <si>
    <t>Actor</t>
  </si>
  <si>
    <t>Actress</t>
  </si>
  <si>
    <t>Author/Journalist</t>
  </si>
  <si>
    <t>John Aleck Suchet</t>
  </si>
  <si>
    <t>Professional Footballer</t>
  </si>
  <si>
    <t>229cM</t>
  </si>
  <si>
    <t>Estimated</t>
  </si>
  <si>
    <t>122cM</t>
  </si>
  <si>
    <t>73cM</t>
  </si>
  <si>
    <t>Christopher Harrington</t>
  </si>
  <si>
    <t>William Gordon</t>
  </si>
  <si>
    <t>Isabel Hamilton</t>
  </si>
  <si>
    <t>Ann Gordon</t>
  </si>
  <si>
    <t>Henry Dundas</t>
  </si>
  <si>
    <t>Robert Dundas</t>
  </si>
  <si>
    <t>Charles Dundas</t>
  </si>
  <si>
    <t>Charles Saunders-Dundas</t>
  </si>
  <si>
    <t>Selina Saunders-Dundas</t>
  </si>
  <si>
    <t>John Charles Harrington</t>
  </si>
  <si>
    <t>David Richard Harrington</t>
  </si>
  <si>
    <t>Jean Gordon</t>
  </si>
  <si>
    <t>Mary Ann Isabella Millar</t>
  </si>
  <si>
    <t>Rosanna Jane Earl</t>
  </si>
  <si>
    <t>Paula Goddard</t>
  </si>
  <si>
    <t>Joan Prenpase</t>
  </si>
  <si>
    <t>Jane Nankivell</t>
  </si>
  <si>
    <t>Ellen Broad Simmons</t>
  </si>
  <si>
    <t>Albert Edward Andrew</t>
  </si>
  <si>
    <t>Hazel Eileen Andrew</t>
  </si>
  <si>
    <t>Paula Teresa McMahon</t>
  </si>
  <si>
    <t>Susan Jack</t>
  </si>
  <si>
    <t>Paul Edward O'sullivan</t>
  </si>
  <si>
    <t>Sidney S Boreham</t>
  </si>
  <si>
    <t>Lucy E R Boreham</t>
  </si>
  <si>
    <t>Sylvia Rose Claydon</t>
  </si>
  <si>
    <t>Paul E O'sullivan</t>
  </si>
  <si>
    <t>Mackenzie Grace Radzki</t>
  </si>
  <si>
    <t>Angelina Nicholls</t>
  </si>
  <si>
    <t>Lena Jessie Badger</t>
  </si>
  <si>
    <t>Cathy Jansen</t>
  </si>
  <si>
    <t>Emma Sams</t>
  </si>
  <si>
    <t>Frederick J Murrells</t>
  </si>
  <si>
    <t>Betty Murrells</t>
  </si>
  <si>
    <t>George W Murrells</t>
  </si>
  <si>
    <t>Derek P Furr</t>
  </si>
  <si>
    <t>Derek Furr</t>
  </si>
  <si>
    <t>cathyjansen</t>
  </si>
  <si>
    <t>Male Young</t>
  </si>
  <si>
    <t>Lily Young</t>
  </si>
  <si>
    <t>Lily Russell</t>
  </si>
  <si>
    <t>Jane Douglas Robertson</t>
  </si>
  <si>
    <t>Margaret O'bryan</t>
  </si>
  <si>
    <t>Charles G Burlton</t>
  </si>
  <si>
    <t>Barry Charles Burlton</t>
  </si>
  <si>
    <t>Ricky Burlton</t>
  </si>
  <si>
    <t>Charlie John Burlton</t>
  </si>
  <si>
    <t>Charlie Burlton</t>
  </si>
  <si>
    <t>Baron Glossop</t>
  </si>
  <si>
    <t>John O Brinkley</t>
  </si>
  <si>
    <t>Louisa Sarah Brinkley</t>
  </si>
  <si>
    <t>Edith Emma Hawes</t>
  </si>
  <si>
    <t>Violet M Kirkby</t>
  </si>
  <si>
    <t>Barron Glossop</t>
  </si>
  <si>
    <t>Dawn McCluskey</t>
  </si>
  <si>
    <t>Peter Donald Ryder</t>
  </si>
  <si>
    <t>Carol Edith Ryder</t>
  </si>
  <si>
    <t>Mark McCluskey</t>
  </si>
  <si>
    <t>Lorraine Valin</t>
  </si>
  <si>
    <t>Minnie Elizabeth Rayner</t>
  </si>
  <si>
    <t>Minnie Elizabeth Grange</t>
  </si>
  <si>
    <t>Helen Florence Harris</t>
  </si>
  <si>
    <t>Isaac Warren</t>
  </si>
  <si>
    <t>Leonora Perkins</t>
  </si>
  <si>
    <t>Cornelia Ann Warren</t>
  </si>
  <si>
    <t>Albert Granger Ives</t>
  </si>
  <si>
    <t>Charles Heebner Ives</t>
  </si>
  <si>
    <t>David James Ives</t>
  </si>
  <si>
    <t>Arthur White</t>
  </si>
  <si>
    <t>David Ives</t>
  </si>
  <si>
    <t>Harris Franklin Warren</t>
  </si>
  <si>
    <t>Annie L Warren</t>
  </si>
  <si>
    <t>Sophia Richarda Price</t>
  </si>
  <si>
    <t>Sarah Hard Brooks</t>
  </si>
  <si>
    <t>38.7cM</t>
  </si>
  <si>
    <t>Richard Taylor</t>
  </si>
  <si>
    <t>67.5cM</t>
  </si>
  <si>
    <t>Sophie R Brooks</t>
  </si>
  <si>
    <t>Richard Windsor Taylor</t>
  </si>
  <si>
    <t>lovwine1</t>
  </si>
  <si>
    <t>? White</t>
  </si>
  <si>
    <t>AW</t>
  </si>
  <si>
    <t>Kyle Jermyn</t>
  </si>
  <si>
    <t>Charles F Brooks</t>
  </si>
  <si>
    <t>Female Brooks</t>
  </si>
  <si>
    <t>Ellen Judge Baxter</t>
  </si>
  <si>
    <t>Arthur Henry Judge</t>
  </si>
  <si>
    <t>Fred S Judge</t>
  </si>
  <si>
    <t>Ellen Judge</t>
  </si>
  <si>
    <t>Phillip E Nunn</t>
  </si>
  <si>
    <t>Frederick Nunn</t>
  </si>
  <si>
    <t>Marjorie Nunn</t>
  </si>
  <si>
    <t>David K O'Hara</t>
  </si>
  <si>
    <t>David O'Hara</t>
  </si>
  <si>
    <t>Stephen P Brett</t>
  </si>
  <si>
    <t>Stephen Brett</t>
  </si>
  <si>
    <t>robynkayser1</t>
  </si>
  <si>
    <t>Jonathon Ruddock</t>
  </si>
  <si>
    <t>William Cooper</t>
  </si>
  <si>
    <t>Emily Cooper</t>
  </si>
  <si>
    <t>Isabel Craig</t>
  </si>
  <si>
    <t>Gordon Robert Dennis</t>
  </si>
  <si>
    <t>Robyn Dennis</t>
  </si>
  <si>
    <t>P.S.</t>
  </si>
  <si>
    <t>Anthony Hume</t>
  </si>
  <si>
    <t>Willie Wells</t>
  </si>
  <si>
    <t>Effie Ivy Wells</t>
  </si>
  <si>
    <t>Roy Vincent Hume</t>
  </si>
  <si>
    <t>Anthony R J Hume</t>
  </si>
  <si>
    <t>James Buchan</t>
  </si>
  <si>
    <t>Alexander Phillips</t>
  </si>
  <si>
    <t>Christian Phillips</t>
  </si>
  <si>
    <t>Alexnder Buchan</t>
  </si>
  <si>
    <t>Helen Buchan</t>
  </si>
  <si>
    <t>George Bebner Buchan</t>
  </si>
  <si>
    <t>John Argent</t>
  </si>
  <si>
    <t>Elisabeth Goode</t>
  </si>
  <si>
    <t>Susan Argent</t>
  </si>
  <si>
    <t>John Digsby</t>
  </si>
  <si>
    <t>Eliza Digsby</t>
  </si>
  <si>
    <t>John Cowell</t>
  </si>
  <si>
    <t>Ellen Cowell</t>
  </si>
  <si>
    <t>Elsie Elliston</t>
  </si>
  <si>
    <t>Malcolm S Haycox</t>
  </si>
  <si>
    <t>Malcolm Haycox</t>
  </si>
  <si>
    <t>James Brinkley</t>
  </si>
  <si>
    <t>Edward John Brinkley</t>
  </si>
  <si>
    <t>Maria Agnes Brinkley</t>
  </si>
  <si>
    <t>John W Scott</t>
  </si>
  <si>
    <t>Female Scott</t>
  </si>
  <si>
    <t>Kira Anne Hill</t>
  </si>
  <si>
    <t>Kira Hill</t>
  </si>
  <si>
    <t>Beatrice Emma Bluck</t>
  </si>
  <si>
    <t>Jesse L Franklin</t>
  </si>
  <si>
    <t>Female Tyler</t>
  </si>
  <si>
    <t>Joshua Fennessey</t>
  </si>
  <si>
    <t>Colin R Hawkins</t>
  </si>
  <si>
    <t>Colin Hawkins</t>
  </si>
  <si>
    <t>Hannah Nunn</t>
  </si>
  <si>
    <t>Maria Mansfield</t>
  </si>
  <si>
    <t>Robert Eaton</t>
  </si>
  <si>
    <t>Robert George W Eaton</t>
  </si>
  <si>
    <t>Albert Arthur Eaton</t>
  </si>
  <si>
    <t>Vera J Eaton</t>
  </si>
  <si>
    <t>Vera Groves</t>
  </si>
  <si>
    <t>Mary Ann Brinkley</t>
  </si>
  <si>
    <t>Ellen Barrell</t>
  </si>
  <si>
    <t>Emily Elizabeth Hey</t>
  </si>
  <si>
    <t>Leslie Wortley</t>
  </si>
  <si>
    <t>Janice L Wortley</t>
  </si>
  <si>
    <t>Tracey Sheila Pringle</t>
  </si>
  <si>
    <t>Tracy Cross</t>
  </si>
  <si>
    <t>John Dadley</t>
  </si>
  <si>
    <t>Catherine Gilbert</t>
  </si>
  <si>
    <t>Henry Dadley</t>
  </si>
  <si>
    <t>Mary Dadley</t>
  </si>
  <si>
    <t>Elizabeth D Cattell</t>
  </si>
  <si>
    <t>Sarah Stamps</t>
  </si>
  <si>
    <t>Laura Poulton</t>
  </si>
  <si>
    <t>Mary Louisa Harman</t>
  </si>
  <si>
    <t>Judith A Morley</t>
  </si>
  <si>
    <t>jennett11</t>
  </si>
  <si>
    <t>Sarah Finch</t>
  </si>
  <si>
    <t>Henry Prett</t>
  </si>
  <si>
    <t>Frederick Prett</t>
  </si>
  <si>
    <t>Alfred George Prett</t>
  </si>
  <si>
    <t>Kenneth Alfred Prett</t>
  </si>
  <si>
    <t>Barbara A Prett</t>
  </si>
  <si>
    <t>barbaraoconnor66</t>
  </si>
  <si>
    <t>Joan Foley</t>
  </si>
  <si>
    <t>186.4cM</t>
  </si>
  <si>
    <t>112.2cM</t>
  </si>
  <si>
    <t>Elizabeth Shrewsbury</t>
  </si>
  <si>
    <t>Elizabeth Ann Breckenridge</t>
  </si>
  <si>
    <t>Mary Isabella Scoates</t>
  </si>
  <si>
    <t>William Edward Wade</t>
  </si>
  <si>
    <t>Violet F M Wade</t>
  </si>
  <si>
    <t>Jeanette Clarke</t>
  </si>
  <si>
    <t>Jeanette Powell</t>
  </si>
  <si>
    <t>Herbert George Penny</t>
  </si>
  <si>
    <t>Elizabeth Clara Penny</t>
  </si>
  <si>
    <t>Ronald Horace Broad</t>
  </si>
  <si>
    <t>Christina J Broad</t>
  </si>
  <si>
    <t>Christina Tuck</t>
  </si>
  <si>
    <t>58cM</t>
  </si>
  <si>
    <t>Susan Hazell</t>
  </si>
  <si>
    <t>Kenneth Stacey</t>
  </si>
  <si>
    <t>Susan Stacey</t>
  </si>
  <si>
    <t>Jean Dalby</t>
  </si>
  <si>
    <t>Alice Ruddock</t>
  </si>
  <si>
    <t>William John Ruddock</t>
  </si>
  <si>
    <t>George Hubert Ruddock</t>
  </si>
  <si>
    <t>Jean A Ruddock</t>
  </si>
  <si>
    <t>Linda Purkiss</t>
  </si>
  <si>
    <t>Louisa Abrey</t>
  </si>
  <si>
    <t>Walter George Moul</t>
  </si>
  <si>
    <t>Linda Moul</t>
  </si>
  <si>
    <t>Ellen Denne</t>
  </si>
  <si>
    <t>Nellie Emily Gardner</t>
  </si>
  <si>
    <t>Peter E T Sedgewick</t>
  </si>
  <si>
    <t>Anita Clare Sedgewick</t>
  </si>
  <si>
    <t>Anita Sedgewick</t>
  </si>
  <si>
    <t>55.3cM</t>
  </si>
  <si>
    <t>George Robert Banham</t>
  </si>
  <si>
    <t>Sybil Kate Banham</t>
  </si>
  <si>
    <t>Eric Lionel Banham</t>
  </si>
  <si>
    <t>John Malcolm Banham</t>
  </si>
  <si>
    <t>Nigel B D Hume</t>
  </si>
  <si>
    <t>Nigel Hume</t>
  </si>
  <si>
    <t>Rosanna Agado</t>
  </si>
  <si>
    <t>James Douglas Robertson</t>
  </si>
  <si>
    <t>Gertrude Mary Beatrice Robertson</t>
  </si>
  <si>
    <t>Patricia M Braun</t>
  </si>
  <si>
    <t>Anne Marie Cowing</t>
  </si>
  <si>
    <t>Romany Delia Gurner</t>
  </si>
  <si>
    <t>Romany Gurner</t>
  </si>
  <si>
    <t>Ken Stacey</t>
  </si>
  <si>
    <t>David Biddle</t>
  </si>
  <si>
    <t>Thomas Harris Biddle</t>
  </si>
  <si>
    <t>Martha Jane Biddle</t>
  </si>
  <si>
    <t>Francis S Rochford</t>
  </si>
  <si>
    <t>Francis P Rochford</t>
  </si>
  <si>
    <t>Vaughan F Rochford</t>
  </si>
  <si>
    <t>Vaughan Rochford</t>
  </si>
  <si>
    <t>Nadine Notley</t>
  </si>
  <si>
    <t>Mary Ann Jezzard</t>
  </si>
  <si>
    <t>Susannah Davis Smith</t>
  </si>
  <si>
    <t>Walter Charles Pittock</t>
  </si>
  <si>
    <t>Leslie Charles Pittock</t>
  </si>
  <si>
    <t>Female Pittock</t>
  </si>
  <si>
    <t>Nadine</t>
  </si>
  <si>
    <t>Diane Maffia</t>
  </si>
  <si>
    <t>Rachel Leathley</t>
  </si>
  <si>
    <t>Rachel Goodwin</t>
  </si>
  <si>
    <t>Mary Pavett</t>
  </si>
  <si>
    <t>James Boreham</t>
  </si>
  <si>
    <t>Pam Gravenor</t>
  </si>
  <si>
    <t>William Frost</t>
  </si>
  <si>
    <t>Harold Freeman Frost</t>
  </si>
  <si>
    <t>Richard M Frost</t>
  </si>
  <si>
    <t>DEMARCSI</t>
  </si>
  <si>
    <t>PCAMO</t>
  </si>
  <si>
    <t>William James Boreham</t>
  </si>
  <si>
    <t>Henry Albert Boreham</t>
  </si>
  <si>
    <t>Nancy Isabelle Boreham</t>
  </si>
  <si>
    <t>Female Walker</t>
  </si>
  <si>
    <t>pcamo Carroll</t>
  </si>
  <si>
    <t>lizzie ellis</t>
  </si>
  <si>
    <t>168cM</t>
  </si>
  <si>
    <t>Elizabeth Mary Ellis</t>
  </si>
  <si>
    <t>Gabriel James Andrews</t>
  </si>
  <si>
    <t>Edward Balls</t>
  </si>
  <si>
    <t>John William Balls</t>
  </si>
  <si>
    <t>Constance Stella Balls</t>
  </si>
  <si>
    <t>John Edward Andrews</t>
  </si>
  <si>
    <t>Robin N Andews</t>
  </si>
  <si>
    <t>Rachel Leanne Simson</t>
  </si>
  <si>
    <t>David J Moss</t>
  </si>
  <si>
    <t>Joanna T Moss</t>
  </si>
  <si>
    <t>Racheleanne</t>
  </si>
  <si>
    <t>Elizabeth Beckenbridge</t>
  </si>
  <si>
    <t>Mary Isabella Wade</t>
  </si>
  <si>
    <t>Lily Whitlock</t>
  </si>
  <si>
    <t>Robin W Adams</t>
  </si>
  <si>
    <t>Robin Adams</t>
  </si>
  <si>
    <t>Jules Rye</t>
  </si>
  <si>
    <t>1516cM</t>
  </si>
  <si>
    <t>Julian Phillip Rye</t>
  </si>
  <si>
    <t>Nephew</t>
  </si>
  <si>
    <t>1st Cousin</t>
  </si>
  <si>
    <t>3432cM</t>
  </si>
  <si>
    <t>Son</t>
  </si>
  <si>
    <t>Gareth Young</t>
  </si>
  <si>
    <t>Samuel James Brinkley</t>
  </si>
  <si>
    <t>Walter Brinkley</t>
  </si>
  <si>
    <t>Sidney Charles Brinkley</t>
  </si>
  <si>
    <t>Molly Kathleen Brinkley</t>
  </si>
  <si>
    <t>Deborah K Bowers</t>
  </si>
  <si>
    <t>Gareth David Young</t>
  </si>
  <si>
    <t>George Lavallin</t>
  </si>
  <si>
    <t>Phyllis Georgina Hall</t>
  </si>
  <si>
    <t>George R Lavallin</t>
  </si>
  <si>
    <t>Leanne Joy</t>
  </si>
  <si>
    <t>Gladys Hilda May Finch</t>
  </si>
  <si>
    <t>Shirley R Pentelow</t>
  </si>
  <si>
    <t>David Read</t>
  </si>
  <si>
    <t>Leslie William Bond</t>
  </si>
  <si>
    <t>Female Bond</t>
  </si>
  <si>
    <t>Elizabeth Wilson</t>
  </si>
  <si>
    <t>Elizabeth A Graham</t>
  </si>
  <si>
    <t>Georgina Morley</t>
  </si>
  <si>
    <t>Georgina Roma</t>
  </si>
  <si>
    <t>Joseph Argent</t>
  </si>
  <si>
    <t>Laura Argent</t>
  </si>
  <si>
    <t>James Drew</t>
  </si>
  <si>
    <t>Kate drew</t>
  </si>
  <si>
    <t>Peter A S Watson</t>
  </si>
  <si>
    <t>peter_watson717</t>
  </si>
  <si>
    <t>Helen Harland</t>
  </si>
  <si>
    <t>Thomas Hughes</t>
  </si>
  <si>
    <t>Elizabeth Wray</t>
  </si>
  <si>
    <t>Thomas George Hughes</t>
  </si>
  <si>
    <t>Sarah Ann Hughes</t>
  </si>
  <si>
    <t>Jane Alice Hopping</t>
  </si>
  <si>
    <t>Sarah Ann Amor</t>
  </si>
  <si>
    <t>Male Chidgey</t>
  </si>
  <si>
    <t>Helen Chidgey</t>
  </si>
  <si>
    <t>Amanda Linde</t>
  </si>
  <si>
    <t>Amanda</t>
  </si>
  <si>
    <t>Sarah Ann Crick</t>
  </si>
  <si>
    <t>Frederick Goodfellow</t>
  </si>
  <si>
    <t>George Goodfellow</t>
  </si>
  <si>
    <t>Male Goodfellow</t>
  </si>
  <si>
    <t>Michael Goodfellow</t>
  </si>
  <si>
    <t>Karissa Read</t>
  </si>
  <si>
    <t>Male Bond</t>
  </si>
  <si>
    <t>Karissa Bond</t>
  </si>
  <si>
    <t>janet23cooper</t>
  </si>
  <si>
    <t>Emma Jane Knight</t>
  </si>
  <si>
    <t>Gertrude Mabel Evans</t>
  </si>
  <si>
    <t>Gordon J Anderson</t>
  </si>
  <si>
    <t>Janet Anderson</t>
  </si>
  <si>
    <t>westcatcastle</t>
  </si>
  <si>
    <t>Leonard Arthur Chidgey</t>
  </si>
  <si>
    <t>Female Chidgey</t>
  </si>
  <si>
    <t>61cM</t>
  </si>
  <si>
    <t>Jasper Hall</t>
  </si>
  <si>
    <t>Mary Orders</t>
  </si>
  <si>
    <t>Frederick Hall</t>
  </si>
  <si>
    <t>Charles Henry Hall</t>
  </si>
  <si>
    <t>Richard Sidney Hall</t>
  </si>
  <si>
    <t>Marianne Hall</t>
  </si>
  <si>
    <t>Marianne Nicholls</t>
  </si>
  <si>
    <t>James Nicholls</t>
  </si>
  <si>
    <t>Lynnette Tyrrell</t>
  </si>
  <si>
    <t>Susannah Beavis</t>
  </si>
  <si>
    <t>John Beavis</t>
  </si>
  <si>
    <t>Hannah Saunders</t>
  </si>
  <si>
    <t>William Tyrrell</t>
  </si>
  <si>
    <t>Edward Harry Tyrrell</t>
  </si>
  <si>
    <t>Henry Maxwell Tyrrell</t>
  </si>
  <si>
    <t>Ian Maxwell Tyrrell</t>
  </si>
  <si>
    <t>Paul Tyrrell</t>
  </si>
  <si>
    <t>Brian Alfred Tyrrell</t>
  </si>
  <si>
    <t>Linda Dunkerley</t>
  </si>
  <si>
    <t>Jamie Sleeman</t>
  </si>
  <si>
    <t>Alfred Joseph Bushell</t>
  </si>
  <si>
    <t>Barbara W Bushell</t>
  </si>
  <si>
    <t>Barry K Sleeman</t>
  </si>
  <si>
    <t>Jamie Barry Sleeman</t>
  </si>
  <si>
    <t>MICHAEL MCGOWAN</t>
  </si>
  <si>
    <t>Kate Beavis</t>
  </si>
  <si>
    <t>Harry M McGowan</t>
  </si>
  <si>
    <t>Michael H Mcgowan</t>
  </si>
  <si>
    <t>4th Cousinm 1xremoved</t>
  </si>
  <si>
    <t>Michael Scarrott</t>
  </si>
  <si>
    <t>Henry Arthur Rolfe</t>
  </si>
  <si>
    <t>Mary L Rolfe</t>
  </si>
  <si>
    <t>Angela Merrilees</t>
  </si>
  <si>
    <t>Frederick Jesse Hall</t>
  </si>
  <si>
    <t>Amy Delmonte Hall</t>
  </si>
  <si>
    <t>Maud Demonte Hall</t>
  </si>
  <si>
    <t>Rita Delmonte Boxall</t>
  </si>
  <si>
    <t>Angela Boxall</t>
  </si>
  <si>
    <t>Linda Robson</t>
  </si>
  <si>
    <t>Mary Hall</t>
  </si>
  <si>
    <t>Eliza Ford</t>
  </si>
  <si>
    <t>Edwin Lewis Read</t>
  </si>
  <si>
    <t>Ellen Lillian Read</t>
  </si>
  <si>
    <t>Vera L Gibson</t>
  </si>
  <si>
    <t>Linda Chown</t>
  </si>
  <si>
    <t>B.G.</t>
  </si>
  <si>
    <t>Frederick hall</t>
  </si>
  <si>
    <t>Sidney James Hall</t>
  </si>
  <si>
    <t>Arthur John Hall</t>
  </si>
  <si>
    <t>Cecil Dudley Hall</t>
  </si>
  <si>
    <t>Barbara Jean Hall</t>
  </si>
  <si>
    <t>Gareth Robert Syms</t>
  </si>
  <si>
    <t>Stephen Hall</t>
  </si>
  <si>
    <t>Marion Hall</t>
  </si>
  <si>
    <t>Frederick George Syms</t>
  </si>
  <si>
    <t>Victor George Syms</t>
  </si>
  <si>
    <t>history1500</t>
  </si>
  <si>
    <t>Mary Ann Benson</t>
  </si>
  <si>
    <t>Sidney Leonard Chew</t>
  </si>
  <si>
    <t>Leonard Maurice Chew</t>
  </si>
  <si>
    <t>History1500 Chew</t>
  </si>
  <si>
    <t>David Andrew McCracken</t>
  </si>
  <si>
    <t>KNIGHTA50</t>
  </si>
  <si>
    <t>Anne E McCracken</t>
  </si>
  <si>
    <t>Denise Elmy</t>
  </si>
  <si>
    <t>4th Cousin's Daughter</t>
  </si>
  <si>
    <t>Frederick Jasper Hall</t>
  </si>
  <si>
    <t>Banham</t>
  </si>
  <si>
    <t>Alderman</t>
  </si>
  <si>
    <t>ALDERMAN</t>
  </si>
  <si>
    <t>Mark Alderman</t>
  </si>
  <si>
    <t>8th Cousin  1xremoved</t>
  </si>
  <si>
    <t>John Alderman</t>
  </si>
  <si>
    <t>Dorothy Sargent</t>
  </si>
  <si>
    <t>Benjamin Alderman</t>
  </si>
  <si>
    <t>Sarah Alderman</t>
  </si>
  <si>
    <t>William Alderman</t>
  </si>
  <si>
    <t>Charles William Alderman</t>
  </si>
  <si>
    <t>Ernest Saunders Alderman</t>
  </si>
  <si>
    <t>Kenneth Walter Alderman</t>
  </si>
  <si>
    <t>Mark K Alderman</t>
  </si>
  <si>
    <t>Melanie Penn</t>
  </si>
  <si>
    <t>George Masey</t>
  </si>
  <si>
    <t>David Masey</t>
  </si>
  <si>
    <t>Harry Masey</t>
  </si>
  <si>
    <t>Gladys May Masey</t>
  </si>
  <si>
    <t>Peter B Atwood</t>
  </si>
  <si>
    <t>Melanie P Atwood</t>
  </si>
  <si>
    <t>Gemma Parker</t>
  </si>
  <si>
    <t>Elizabeth Firmin</t>
  </si>
  <si>
    <t>Joseph Beavis</t>
  </si>
  <si>
    <t>Joseph Robert Beavis</t>
  </si>
  <si>
    <t>Henry Beavis</t>
  </si>
  <si>
    <t>Joseph Henry Beavis</t>
  </si>
  <si>
    <t>Doris Lillian Beavis</t>
  </si>
  <si>
    <t>Female McDonald</t>
  </si>
  <si>
    <t>Jeremy Parker</t>
  </si>
  <si>
    <t>Herman B Horsley</t>
  </si>
  <si>
    <t>Rava Marie Horsley</t>
  </si>
  <si>
    <t>Louis Joseph Barker</t>
  </si>
  <si>
    <t>Male Barker</t>
  </si>
  <si>
    <t>Jeremy Barker</t>
  </si>
  <si>
    <t>Kevin Edwards</t>
  </si>
  <si>
    <t>William Beavis</t>
  </si>
  <si>
    <t>Daisy Beavis</t>
  </si>
  <si>
    <t>Violet May Budd</t>
  </si>
  <si>
    <t>6th Cousin  1xRemoved</t>
  </si>
  <si>
    <t>Kevin John Edwards</t>
  </si>
  <si>
    <t>Lynn Munday</t>
  </si>
  <si>
    <t>Sarah Singleton</t>
  </si>
  <si>
    <t>Ann Lewis</t>
  </si>
  <si>
    <t>Lucy Ann Lewis</t>
  </si>
  <si>
    <t>Lucy Florence Hickerson</t>
  </si>
  <si>
    <t>Gordon Manley Abernathy</t>
  </si>
  <si>
    <t>Loretta May Ethel Abernathy</t>
  </si>
  <si>
    <t>Lynn Muir</t>
  </si>
  <si>
    <t>James Ruddock</t>
  </si>
  <si>
    <t>Herbert Arthur Ruddock</t>
  </si>
  <si>
    <t>Marjorie Edith Ruddock</t>
  </si>
  <si>
    <t>Doreen B Roberts</t>
  </si>
  <si>
    <t>Doddy_Clarke</t>
  </si>
  <si>
    <t>Douglas Spencer</t>
  </si>
  <si>
    <t>Douglas Gordon Spencer</t>
  </si>
  <si>
    <t>Sue Spencer</t>
  </si>
  <si>
    <t>spencergriers</t>
  </si>
  <si>
    <t>Finn Monteith</t>
  </si>
  <si>
    <t>Lyndsey Burlton</t>
  </si>
  <si>
    <t>Male Burlton</t>
  </si>
  <si>
    <t>Lyndsey Ellen Burlton</t>
  </si>
  <si>
    <t>45cM</t>
  </si>
  <si>
    <t>Maria Oliver</t>
  </si>
  <si>
    <t>Maria Stacey</t>
  </si>
  <si>
    <t>Edward Beavis</t>
  </si>
  <si>
    <t>Elizabeth Beavis</t>
  </si>
  <si>
    <t>Judith Killingback</t>
  </si>
  <si>
    <t>Richard Andrews</t>
  </si>
  <si>
    <t>Harry Andrews</t>
  </si>
  <si>
    <t>Mary Elizabeth Andrews</t>
  </si>
  <si>
    <t>Bernard Eggleton</t>
  </si>
  <si>
    <t>Beatrice Mary Wilson</t>
  </si>
  <si>
    <t>Frederick Arthur Wilson</t>
  </si>
  <si>
    <t>Edward Killingback</t>
  </si>
  <si>
    <t>Nigellisa Rayner</t>
  </si>
  <si>
    <t>nigellisaturner</t>
  </si>
  <si>
    <t>Roger Ward</t>
  </si>
  <si>
    <t>David James Sams</t>
  </si>
  <si>
    <t>George Sams</t>
  </si>
  <si>
    <t>Alfred George Sams</t>
  </si>
  <si>
    <t>Kathleen Mary Sams</t>
  </si>
  <si>
    <t>Serena Jane</t>
  </si>
  <si>
    <t>Dave Wallace</t>
  </si>
  <si>
    <t>Keith Syms</t>
  </si>
  <si>
    <t>Barbara Short</t>
  </si>
  <si>
    <t>Elizabeth M Bottle</t>
  </si>
  <si>
    <t>Barbara M Harvey</t>
  </si>
  <si>
    <t>geoff truss</t>
  </si>
  <si>
    <t>Alleha Read</t>
  </si>
  <si>
    <t>Scott Morley</t>
  </si>
  <si>
    <t>Stewart Johnston</t>
  </si>
  <si>
    <t>John Howell</t>
  </si>
  <si>
    <t>Doris May Bottle</t>
  </si>
  <si>
    <t>Patricia M Hardy</t>
  </si>
  <si>
    <t>John K Howell</t>
  </si>
  <si>
    <t>Elizabeth Emily Ruddock</t>
  </si>
  <si>
    <t>Gertrude Beatrice Fisher</t>
  </si>
  <si>
    <t>Gertrude Emily Gettens</t>
  </si>
  <si>
    <t>David P Longland</t>
  </si>
  <si>
    <t>dp39j55</t>
  </si>
  <si>
    <t>Donald Kiefiuk</t>
  </si>
  <si>
    <t>George Henry Collins</t>
  </si>
  <si>
    <t>Olive Irene Collins</t>
  </si>
  <si>
    <t>Emily May Bye</t>
  </si>
  <si>
    <t>Judith Behr</t>
  </si>
  <si>
    <t>Donald E Kiefiuk</t>
  </si>
  <si>
    <t>kitkat48312</t>
  </si>
  <si>
    <t>Kitkat Kiefiuk</t>
  </si>
  <si>
    <t>nonibehr13</t>
  </si>
  <si>
    <t>Lynda Lindsay</t>
  </si>
  <si>
    <t>Isabella Hall</t>
  </si>
  <si>
    <t>Annie Kathleen Willis</t>
  </si>
  <si>
    <t>Male Willis</t>
  </si>
  <si>
    <t>Lynda Willis</t>
  </si>
  <si>
    <t>Diane Sedman</t>
  </si>
  <si>
    <t>Diane Jordan</t>
  </si>
  <si>
    <t>Tyler Moennich</t>
  </si>
  <si>
    <t>Female Beck</t>
  </si>
  <si>
    <t>Jess Gabrielson</t>
  </si>
  <si>
    <t>Diana S Breck</t>
  </si>
  <si>
    <t>James Glinski</t>
  </si>
  <si>
    <t>Male Dolan</t>
  </si>
  <si>
    <t>Thomas Edward Murphy</t>
  </si>
  <si>
    <t>Wayne Alden</t>
  </si>
  <si>
    <t>Caroline Woodford</t>
  </si>
  <si>
    <t>Eliza Everitt</t>
  </si>
  <si>
    <t>Beatrice Emma King</t>
  </si>
  <si>
    <t>Lillian Agnes Kneller</t>
  </si>
  <si>
    <t>Yvonne Lankford</t>
  </si>
  <si>
    <t>Angela Swift</t>
  </si>
  <si>
    <t>Angela M Young</t>
  </si>
  <si>
    <t>Lily Swift</t>
  </si>
  <si>
    <t>Kristin Robinson</t>
  </si>
  <si>
    <t>Female Dennis</t>
  </si>
  <si>
    <t>Kristin Debus</t>
  </si>
  <si>
    <t>Robert Gaught</t>
  </si>
  <si>
    <t>Alfred Gaught</t>
  </si>
  <si>
    <t>Stanley Orbel Gaught</t>
  </si>
  <si>
    <t>Robert S Gaught</t>
  </si>
  <si>
    <t>Justine Longland</t>
  </si>
  <si>
    <t>mlongland34</t>
  </si>
  <si>
    <t>M Longland</t>
  </si>
  <si>
    <t>Miriam Roberts</t>
  </si>
  <si>
    <t>Miriam Hind</t>
  </si>
  <si>
    <t>Marion Haydock</t>
  </si>
  <si>
    <t>Marion Clarke</t>
  </si>
  <si>
    <t>raewyn ferry</t>
  </si>
  <si>
    <t>Raewyn Clarke</t>
  </si>
  <si>
    <t>Claire Coleman</t>
  </si>
  <si>
    <t>Clifford Cecil Coleman</t>
  </si>
  <si>
    <t>Kenneth G Coleman</t>
  </si>
  <si>
    <t>Male Coleman</t>
  </si>
  <si>
    <t>Carolyn Board</t>
  </si>
  <si>
    <t>Jean Douglas Rutt</t>
  </si>
  <si>
    <t>Arthur Henry Blandford</t>
  </si>
  <si>
    <t>Stanley Robert Blandford</t>
  </si>
  <si>
    <t>Anne Pauline Blandford</t>
  </si>
  <si>
    <t>Carolyn Elizabeth Derrick</t>
  </si>
  <si>
    <t>Melissa Uhrin</t>
  </si>
  <si>
    <t>Female Stacey</t>
  </si>
  <si>
    <t>Melissa</t>
  </si>
  <si>
    <t>Faye McDonnell</t>
  </si>
  <si>
    <t>Robert Douglas Baxter</t>
  </si>
  <si>
    <t>Faye Baxter</t>
  </si>
  <si>
    <t>Jonathan Derrick</t>
  </si>
  <si>
    <t>Peter Anthony Derrick</t>
  </si>
  <si>
    <t>Debbie Derrick</t>
  </si>
  <si>
    <t>Deborah Anne Derrick</t>
  </si>
  <si>
    <t>Lynette Heavey</t>
  </si>
  <si>
    <t>Lynette Clarke</t>
  </si>
  <si>
    <t>Kris Steele</t>
  </si>
  <si>
    <t>Arthur William Horsley</t>
  </si>
  <si>
    <t>William Watts Horsley</t>
  </si>
  <si>
    <t>Kris Horsley</t>
  </si>
  <si>
    <t>Andrea Piquette</t>
  </si>
  <si>
    <t>James Henry Bloomfield</t>
  </si>
  <si>
    <t>Randolph Bloomfield</t>
  </si>
  <si>
    <t>Jean Margaret Bloomfield</t>
  </si>
  <si>
    <t>Locke</t>
  </si>
  <si>
    <t>Andrea</t>
  </si>
  <si>
    <t>tbonebetty</t>
  </si>
  <si>
    <t>Betty Lou Topham</t>
  </si>
  <si>
    <t>happydays529</t>
  </si>
  <si>
    <t>Albert Ensign Horsley</t>
  </si>
  <si>
    <t>Erma Sylvia Horsley</t>
  </si>
  <si>
    <t>Happydays Burnside</t>
  </si>
  <si>
    <t>Aisling Mularkey</t>
  </si>
  <si>
    <t>Aisling Mullarkey</t>
  </si>
  <si>
    <t>Katharine Forsyth</t>
  </si>
  <si>
    <t>Katherine F Baxter</t>
  </si>
  <si>
    <t>carolrussellbailey</t>
  </si>
  <si>
    <t>Samuel Ernest Russell</t>
  </si>
  <si>
    <t>ColIN Hamilton Russell</t>
  </si>
  <si>
    <t>Douglas Hamilton Russell</t>
  </si>
  <si>
    <t>Carol Russell</t>
  </si>
  <si>
    <t>mtate75</t>
  </si>
  <si>
    <t>Peter Russell</t>
  </si>
  <si>
    <t>Colin Bryant</t>
  </si>
  <si>
    <t>Linda Sue Earl</t>
  </si>
  <si>
    <t>Linda Sue Topham</t>
  </si>
  <si>
    <t>Virginia Lorna Cresdee</t>
  </si>
  <si>
    <t>Virginia Lorna Pittock</t>
  </si>
  <si>
    <t>Steven Lanell Topham</t>
  </si>
  <si>
    <t>Lanell Stevens Topham</t>
  </si>
  <si>
    <t>Sue Watkins</t>
  </si>
  <si>
    <t>Edward J Finch</t>
  </si>
  <si>
    <t>Susan Finch</t>
  </si>
  <si>
    <t>Alison Mclean</t>
  </si>
  <si>
    <t>Alison Clarke</t>
  </si>
  <si>
    <t>Ryan Wilson</t>
  </si>
  <si>
    <t>Anne Nunn</t>
  </si>
  <si>
    <t>L PAVLU</t>
  </si>
  <si>
    <t>S Pavlou</t>
  </si>
  <si>
    <t>L Pavlou</t>
  </si>
  <si>
    <t>Rachel Scoltok</t>
  </si>
  <si>
    <t>William Nason</t>
  </si>
  <si>
    <t>Sarah Nason</t>
  </si>
  <si>
    <t>Lily Eizabeth Nation</t>
  </si>
  <si>
    <t>Edgar Scoltok</t>
  </si>
  <si>
    <t>Lily Beatrice Butler</t>
  </si>
  <si>
    <t>Jonathan Glover</t>
  </si>
  <si>
    <t>Daisy May Talbert</t>
  </si>
  <si>
    <t>Jonathan M Glover</t>
  </si>
  <si>
    <t>Tammy Mclaughlin</t>
  </si>
  <si>
    <t>Leonard E Townsend</t>
  </si>
  <si>
    <t>Tammy Griffin</t>
  </si>
  <si>
    <t>Steven Pritchard</t>
  </si>
  <si>
    <t>Christine A Mills</t>
  </si>
  <si>
    <t>Marc Witman</t>
  </si>
  <si>
    <t>Marc Ivan Whitman</t>
  </si>
  <si>
    <t>Derek Stopher</t>
  </si>
  <si>
    <t>Patricia J Budd</t>
  </si>
  <si>
    <t>Derek L Stopher</t>
  </si>
  <si>
    <t>Douglas Eric Trent</t>
  </si>
  <si>
    <t>Janine Locke</t>
  </si>
  <si>
    <t>Janine Dudding</t>
  </si>
  <si>
    <t>Rachele Stuart</t>
  </si>
  <si>
    <t>Rachel Amos</t>
  </si>
  <si>
    <t>9th Cousin 2xRemoved</t>
  </si>
  <si>
    <t>Bryan King</t>
  </si>
  <si>
    <t>Keven Willis</t>
  </si>
  <si>
    <t>Keven M Willis</t>
  </si>
  <si>
    <t>Steven Robert Pritchard</t>
  </si>
  <si>
    <t>Phillip McNamara</t>
  </si>
  <si>
    <t>Albert Luther Freemantle</t>
  </si>
  <si>
    <t>Donald Arthur Freemantle</t>
  </si>
  <si>
    <t>Jean Cicely Freemantle</t>
  </si>
  <si>
    <t>clairewalker</t>
  </si>
  <si>
    <t>Clara Borley</t>
  </si>
  <si>
    <t>Horrace Wigmore Bowles</t>
  </si>
  <si>
    <t>June E Bowles</t>
  </si>
  <si>
    <t>Claire Rebecca Townsend</t>
  </si>
  <si>
    <t>W Pritchard</t>
  </si>
  <si>
    <t>Robert Salmon</t>
  </si>
  <si>
    <t>William  Biddle</t>
  </si>
  <si>
    <t>Male Salmon</t>
  </si>
  <si>
    <t>5th Cousin 3xremoved</t>
  </si>
  <si>
    <t>Taylor Acland</t>
  </si>
  <si>
    <t>Thermuthis Biddle</t>
  </si>
  <si>
    <t>Thermuthis Booker</t>
  </si>
  <si>
    <t>Female Hodgins</t>
  </si>
  <si>
    <t>woodman1999</t>
  </si>
  <si>
    <t>9G Grandparaents</t>
  </si>
  <si>
    <t>Male Wood</t>
  </si>
  <si>
    <t>Barbara Harriet Bloomfield</t>
  </si>
  <si>
    <t>Harry Norman Bloomfield</t>
  </si>
  <si>
    <t>Henry Bloomfield</t>
  </si>
  <si>
    <t>William Bloomfield</t>
  </si>
  <si>
    <t>Daniel Bloomfield</t>
  </si>
  <si>
    <t>Hammond Bloomfield</t>
  </si>
  <si>
    <t>Thomas Bloomfield</t>
  </si>
  <si>
    <t>Hannah Spendland</t>
  </si>
  <si>
    <t>Steven Ray</t>
  </si>
  <si>
    <t>Noel Chidgey</t>
  </si>
  <si>
    <t>Noel Leonard Chidgey</t>
  </si>
  <si>
    <t>Robert William McKeich</t>
  </si>
  <si>
    <t>Michaal Walter McKeich</t>
  </si>
  <si>
    <t>Michael McKeich</t>
  </si>
  <si>
    <t>Sophie Hooker</t>
  </si>
  <si>
    <t>Lynnette Milne</t>
  </si>
  <si>
    <t>Jane Wright</t>
  </si>
  <si>
    <t>Emma Jane Mills</t>
  </si>
  <si>
    <t>Samuel Henry Wright</t>
  </si>
  <si>
    <t>Samuel Rupert Wright</t>
  </si>
  <si>
    <t>Douglas Wright</t>
  </si>
  <si>
    <t>R.W.</t>
  </si>
  <si>
    <t>Bre Ann Hilhouse</t>
  </si>
  <si>
    <t>Willard Barton</t>
  </si>
  <si>
    <t>Richard Hillhouse</t>
  </si>
  <si>
    <t>Bre Ann Hillhouse</t>
  </si>
  <si>
    <t>always159 Bingham</t>
  </si>
  <si>
    <t>Eliza Ann Shaw</t>
  </si>
  <si>
    <t>Alfred Gwynne Jones</t>
  </si>
  <si>
    <t>Margery Mabel Jones</t>
  </si>
  <si>
    <t>Christine A Rushbrook</t>
  </si>
  <si>
    <t>female Bingham</t>
  </si>
  <si>
    <t>Martina David</t>
  </si>
  <si>
    <t>Lynette White</t>
  </si>
  <si>
    <t>Heather E White</t>
  </si>
  <si>
    <t>Patty Olsen</t>
  </si>
  <si>
    <t>UnmatchedKingston</t>
  </si>
  <si>
    <t>Brent Heslop</t>
  </si>
  <si>
    <t>Ann Speechley</t>
  </si>
  <si>
    <t>Frederick Henry Kingston</t>
  </si>
  <si>
    <t>Charles W Kingston</t>
  </si>
  <si>
    <t>Luella Agnes Kingston</t>
  </si>
  <si>
    <t>Lois Fern McFarland</t>
  </si>
  <si>
    <t>Brent George Heslop</t>
  </si>
  <si>
    <t>Orlene Olsen</t>
  </si>
  <si>
    <t>Orlene Lois Heslop</t>
  </si>
  <si>
    <t>David Kingston</t>
  </si>
  <si>
    <t>Frederick Kingston</t>
  </si>
  <si>
    <t>LuAnn Cooper</t>
  </si>
  <si>
    <t>John Ortell Kingston</t>
  </si>
  <si>
    <t>Lu Ann Kingston</t>
  </si>
  <si>
    <t>Kyle Robinson</t>
  </si>
  <si>
    <t>Patricia Lee Kingston</t>
  </si>
  <si>
    <t>hroggia48</t>
  </si>
  <si>
    <t>Female McFarland</t>
  </si>
  <si>
    <t>Ronald Garner</t>
  </si>
  <si>
    <t>H Garner</t>
  </si>
  <si>
    <t>Shem Snow</t>
  </si>
  <si>
    <t>Male Kingston</t>
  </si>
  <si>
    <t>Kim Kingston</t>
  </si>
  <si>
    <t>Kim Childs</t>
  </si>
  <si>
    <t xml:space="preserve">ssnow45 </t>
  </si>
  <si>
    <t>ssnow45 Kingston</t>
  </si>
  <si>
    <t>val snow</t>
  </si>
  <si>
    <t>Val Snow</t>
  </si>
  <si>
    <t>frank308</t>
  </si>
  <si>
    <t>Eliza Jane Kingston</t>
  </si>
  <si>
    <t>Elizabeth G Cranney</t>
  </si>
  <si>
    <t>Frank Johnson</t>
  </si>
  <si>
    <t>Morgan DiFabriozio</t>
  </si>
  <si>
    <t>Morgan Kingston</t>
  </si>
  <si>
    <t>Macor Childs</t>
  </si>
  <si>
    <t>Elizabeth Ann Kingston</t>
  </si>
  <si>
    <t>John Duane Peterson</t>
  </si>
  <si>
    <t>Mark Duane Peterson</t>
  </si>
  <si>
    <t>Male Peterson</t>
  </si>
  <si>
    <t>Yvette Peterson</t>
  </si>
  <si>
    <t>Patrick Halpin</t>
  </si>
  <si>
    <t>Paul Biddle</t>
  </si>
  <si>
    <t>Louisa Biddle</t>
  </si>
  <si>
    <t>Ernest Ravenscroft</t>
  </si>
  <si>
    <t>Lilian Ravenscroft</t>
  </si>
  <si>
    <t>Doreen Mary Lander</t>
  </si>
  <si>
    <t>Patrick D Halpin</t>
  </si>
  <si>
    <t>Lilly Swafford</t>
  </si>
  <si>
    <t>Leona May Ingram</t>
  </si>
  <si>
    <t>Lilly Ryun</t>
  </si>
  <si>
    <t>Gayla Upton</t>
  </si>
  <si>
    <t>Andrew Jackson Friar</t>
  </si>
  <si>
    <t>Joshua Andrew Friar</t>
  </si>
  <si>
    <t>Helen Jo Friar</t>
  </si>
  <si>
    <t>Gayla Kollmeyer</t>
  </si>
  <si>
    <t>Bonnie Childers</t>
  </si>
  <si>
    <t>Bonnie Lee Childers</t>
  </si>
  <si>
    <t>Albert C Anderson</t>
  </si>
  <si>
    <t>George Albert Anderson</t>
  </si>
  <si>
    <t>George Robert Anderson</t>
  </si>
  <si>
    <t>G.A.</t>
  </si>
  <si>
    <t>forreal480</t>
  </si>
  <si>
    <t>Isaac N Salladay</t>
  </si>
  <si>
    <t>Nancy Fay Kalbrunner</t>
  </si>
  <si>
    <t>Kristine Harber</t>
  </si>
  <si>
    <t>forreal480 Harber</t>
  </si>
  <si>
    <t>Craig Day</t>
  </si>
  <si>
    <t>Myrtle Eliza Peterson</t>
  </si>
  <si>
    <t>Helen Egbert</t>
  </si>
  <si>
    <t>Dana Legate</t>
  </si>
  <si>
    <t>Lessie May Wilhite</t>
  </si>
  <si>
    <t>Margaret B Blanchard</t>
  </si>
  <si>
    <t>Arthur Lynn Legate</t>
  </si>
  <si>
    <t>Dana Michele Legate</t>
  </si>
  <si>
    <t>Julie Nield</t>
  </si>
  <si>
    <t>Ciril Deveau Cranney</t>
  </si>
  <si>
    <t>Joan Lorraine Cranney</t>
  </si>
  <si>
    <t>Julie Nedd</t>
  </si>
  <si>
    <t>tracyw1283</t>
  </si>
  <si>
    <t>William Guilford Fryar</t>
  </si>
  <si>
    <t>Margarate Lucinda Fryar</t>
  </si>
  <si>
    <t>Herbert F Wilhite</t>
  </si>
  <si>
    <t>Melba Jo Wilhite</t>
  </si>
  <si>
    <t>Fremale Droke</t>
  </si>
  <si>
    <t>Tracy Webb</t>
  </si>
  <si>
    <t>weberwild69</t>
  </si>
  <si>
    <t>Mette Lillis Peterson</t>
  </si>
  <si>
    <t>Clinton Frank Gibbs</t>
  </si>
  <si>
    <t>weberwild69 Gibbs</t>
  </si>
  <si>
    <t>JoDeeAndersonJohnson</t>
  </si>
  <si>
    <t>Female Nield</t>
  </si>
  <si>
    <t>Jo Dee Anderson</t>
  </si>
  <si>
    <t>Tammy Rodriguez</t>
  </si>
  <si>
    <t>Tammy Kingston</t>
  </si>
  <si>
    <t>Shara Robinson</t>
  </si>
  <si>
    <t>fredkinston81</t>
  </si>
  <si>
    <t>mrodela7</t>
  </si>
  <si>
    <t>Mary Elizabeth Kingston</t>
  </si>
  <si>
    <t>Robert Bruce Olsen</t>
  </si>
  <si>
    <t>M Olsen</t>
  </si>
  <si>
    <t>pgrandy39</t>
  </si>
  <si>
    <t>Lucy Violet Kingston</t>
  </si>
  <si>
    <t>Beryl Violet Jenks</t>
  </si>
  <si>
    <t>Lindon Garnell Grandy</t>
  </si>
  <si>
    <t>P Grandy</t>
  </si>
  <si>
    <t>5th cousin</t>
  </si>
  <si>
    <t>Cory Jensen</t>
  </si>
  <si>
    <t>Corey Jensen</t>
  </si>
  <si>
    <t>Julli Robinson</t>
  </si>
  <si>
    <t>Julli Ann Robinson</t>
  </si>
  <si>
    <t>Andrea Johnson</t>
  </si>
  <si>
    <t>Andrea Kingston</t>
  </si>
  <si>
    <t>Orlean Harriet Kingston</t>
  </si>
  <si>
    <t>Male Gustafson</t>
  </si>
  <si>
    <t>Female Gustafson</t>
  </si>
  <si>
    <t>Carolyn Mary LaBar</t>
  </si>
  <si>
    <t>Gina Burger</t>
  </si>
  <si>
    <t>Gina Kingston</t>
  </si>
  <si>
    <t>ibkatgirl</t>
  </si>
  <si>
    <t>ibkatgirl Harber</t>
  </si>
  <si>
    <t>Jesse H Lewellen</t>
  </si>
  <si>
    <t>Joseph Edward Lee</t>
  </si>
  <si>
    <t>A Lee</t>
  </si>
  <si>
    <t>A.L.</t>
  </si>
  <si>
    <t>William M Fryar</t>
  </si>
  <si>
    <t>Marion Francis Fryar</t>
  </si>
  <si>
    <t>David Dalton Friar</t>
  </si>
  <si>
    <t>Daryl L Friar</t>
  </si>
  <si>
    <t>Darylynn Mills</t>
  </si>
  <si>
    <t>Marshall Day</t>
  </si>
  <si>
    <t>Yasamin Oloomi</t>
  </si>
  <si>
    <t>amber ortega</t>
  </si>
  <si>
    <t>Female ryun</t>
  </si>
  <si>
    <t>Amber Mullenix</t>
  </si>
  <si>
    <t>jacey ortega</t>
  </si>
  <si>
    <t>Jacey Ortega</t>
  </si>
  <si>
    <t>kingston1191</t>
  </si>
  <si>
    <t>Merlin Barnum kingston</t>
  </si>
  <si>
    <t>K Kingston</t>
  </si>
  <si>
    <t>jana drumright</t>
  </si>
  <si>
    <t>Margarette Driscol</t>
  </si>
  <si>
    <t>Margaret Collins</t>
  </si>
  <si>
    <t>Versa Annis Collins</t>
  </si>
  <si>
    <t>Violet L Collins</t>
  </si>
  <si>
    <t>Male Drumright</t>
  </si>
  <si>
    <t>Jana Drumright</t>
  </si>
  <si>
    <t>RandallMoffit</t>
  </si>
  <si>
    <t>Emily Louise Ronald</t>
  </si>
  <si>
    <t>Randall Moffitt</t>
  </si>
  <si>
    <t>Jewell ora collins</t>
  </si>
  <si>
    <t>Norma Jean Morgan</t>
  </si>
  <si>
    <t>D Hartwig</t>
  </si>
  <si>
    <t>D.H.</t>
  </si>
  <si>
    <t>Rodney Peterson</t>
  </si>
  <si>
    <t>Rodney D Peterson</t>
  </si>
  <si>
    <t>Jessica Moon</t>
  </si>
  <si>
    <t>Richard J Kingston</t>
  </si>
  <si>
    <t>Marilynn Kingston</t>
  </si>
  <si>
    <t>Female Stevenson</t>
  </si>
  <si>
    <t>Jessica Nordgren</t>
  </si>
  <si>
    <t>Michael Child</t>
  </si>
  <si>
    <t>Walter G Anderson</t>
  </si>
  <si>
    <t>Ida Elizabeth Anderson</t>
  </si>
  <si>
    <t>Edmund A Miller</t>
  </si>
  <si>
    <t>Female Miller</t>
  </si>
  <si>
    <t>Chris Stevenson</t>
  </si>
  <si>
    <t xml:space="preserve"> Marilynn Kingston</t>
  </si>
  <si>
    <t>chris Stevenson</t>
  </si>
  <si>
    <t>James Decket Jr</t>
  </si>
  <si>
    <t>Katherine Auchmoody</t>
  </si>
  <si>
    <t>James decker</t>
  </si>
  <si>
    <t>lachlan robertson</t>
  </si>
  <si>
    <t>Sarah Boreham</t>
  </si>
  <si>
    <t>Esther Emery</t>
  </si>
  <si>
    <t>Ernest John Ward</t>
  </si>
  <si>
    <t>Oswald James Ward</t>
  </si>
  <si>
    <t>Evelyn Ward</t>
  </si>
  <si>
    <t>Brad Robertson</t>
  </si>
  <si>
    <t>Lachlan Robertson</t>
  </si>
  <si>
    <t>Leif O R Monteith</t>
  </si>
  <si>
    <t>Leif Monteith</t>
  </si>
  <si>
    <t>Arlene Morris</t>
  </si>
  <si>
    <t>Simeon Peter Freer</t>
  </si>
  <si>
    <t>Harrison Alforn Price</t>
  </si>
  <si>
    <t>Doris Eileen Price</t>
  </si>
  <si>
    <t>Arlene Price</t>
  </si>
  <si>
    <t>Katherine Gates Perez</t>
  </si>
  <si>
    <t>Mary Friars</t>
  </si>
  <si>
    <t>Ellen Price</t>
  </si>
  <si>
    <t>Mary Maud Tribe</t>
  </si>
  <si>
    <t>Edith Maud Bernard</t>
  </si>
  <si>
    <t>Bernard Watson Gates</t>
  </si>
  <si>
    <t>Katherine Ysita Gates</t>
  </si>
  <si>
    <t>Alan Phillips</t>
  </si>
  <si>
    <t>Thomas Marrable</t>
  </si>
  <si>
    <t>Lily Eleanor Marrable</t>
  </si>
  <si>
    <t>William George Wallis</t>
  </si>
  <si>
    <t>Female wallis</t>
  </si>
  <si>
    <t>Rhys Fulton-Doyle</t>
  </si>
  <si>
    <t>Rhys Doyle</t>
  </si>
  <si>
    <t>Sophia Ruddock</t>
  </si>
  <si>
    <t>Arthur Ramsbotham</t>
  </si>
  <si>
    <t>Jessie Ramsbotham</t>
  </si>
  <si>
    <t>Ronald Patrick Jury</t>
  </si>
  <si>
    <t>Peter J Jury</t>
  </si>
  <si>
    <t>peterjury2003</t>
  </si>
  <si>
    <t>Robert King</t>
  </si>
  <si>
    <t>69cM</t>
  </si>
  <si>
    <t>Violet Selina Hall</t>
  </si>
  <si>
    <t>Doreen Joan Ruffel</t>
  </si>
  <si>
    <t>Jane E Clayton</t>
  </si>
  <si>
    <t>redape1195</t>
  </si>
  <si>
    <t>Norman W Wall</t>
  </si>
  <si>
    <t>Marion R Wall</t>
  </si>
  <si>
    <t>Joan Bedford</t>
  </si>
  <si>
    <t>Thomas Stokes</t>
  </si>
  <si>
    <t>Ann Stokes</t>
  </si>
  <si>
    <t>Ann Stokes Barton</t>
  </si>
  <si>
    <t>Ann Constable</t>
  </si>
  <si>
    <t>James Richard Smith</t>
  </si>
  <si>
    <t>Gladys Nellie Smith</t>
  </si>
  <si>
    <t>Joan Ellen Belsey</t>
  </si>
  <si>
    <t>Hayley Sharp</t>
  </si>
  <si>
    <t>Herbert Smith</t>
  </si>
  <si>
    <t>female Smith</t>
  </si>
  <si>
    <t>h4jdy</t>
  </si>
  <si>
    <t xml:space="preserve">H4JDY </t>
  </si>
  <si>
    <t>Melanie James</t>
  </si>
  <si>
    <t>Mary Beavis</t>
  </si>
  <si>
    <t>Susanna Brown</t>
  </si>
  <si>
    <t xml:space="preserve"> Charles William Baldwin</t>
  </si>
  <si>
    <t>Alice Edna Baldwin</t>
  </si>
  <si>
    <t>Female Wilson</t>
  </si>
  <si>
    <t>Melanie Parkin</t>
  </si>
  <si>
    <t>Rosemary Bartz</t>
  </si>
  <si>
    <t>James Edward Baldwin</t>
  </si>
  <si>
    <t>Rosemary Baldwin</t>
  </si>
  <si>
    <t>Kelly Bartz</t>
  </si>
  <si>
    <t>Jade Crawford</t>
  </si>
  <si>
    <t>Olive Collins</t>
  </si>
  <si>
    <t>william Francis Pond</t>
  </si>
  <si>
    <t>Frances Aimee Pond</t>
  </si>
  <si>
    <t>Wendy F Miller</t>
  </si>
  <si>
    <t>Jade Mahoney</t>
  </si>
  <si>
    <t>Male Mahoney</t>
  </si>
  <si>
    <t>Male Rayner</t>
  </si>
  <si>
    <t>Lisa Rayner</t>
  </si>
  <si>
    <t>Lisa Turner</t>
  </si>
  <si>
    <t>Bronwyn Norton-Smith</t>
  </si>
  <si>
    <t>Grisel Cameron</t>
  </si>
  <si>
    <t>Agnes Robertson</t>
  </si>
  <si>
    <t>John Aitken</t>
  </si>
  <si>
    <t>Isabella Aitken</t>
  </si>
  <si>
    <t>Robert S Hutchison</t>
  </si>
  <si>
    <t>Francis R Hutchison</t>
  </si>
  <si>
    <t>Bronwyn Hutchison</t>
  </si>
  <si>
    <t>John Maffia</t>
  </si>
  <si>
    <t>George Duncam Maffia</t>
  </si>
  <si>
    <t>Harold Edwin Maffia</t>
  </si>
  <si>
    <t>George Duncan Maffia</t>
  </si>
  <si>
    <t>Jane Morton</t>
  </si>
  <si>
    <t>Jane E Maffia</t>
  </si>
  <si>
    <t>Sarah louise gorton</t>
  </si>
  <si>
    <t>Sarah Louise Gorton</t>
  </si>
  <si>
    <t>Jeffrey Leigh Miller</t>
  </si>
  <si>
    <t>Mary Disdale</t>
  </si>
  <si>
    <t>Elizabeth Mayhew</t>
  </si>
  <si>
    <t>Elizabeth Olive Cook</t>
  </si>
  <si>
    <t>Alice Maud Lord</t>
  </si>
  <si>
    <t>Richard Maurice Cavill</t>
  </si>
  <si>
    <t>Bette Jane Cavill</t>
  </si>
  <si>
    <t>INDEX</t>
  </si>
  <si>
    <t>hendriksfamily1</t>
  </si>
  <si>
    <t>Henry James Crambrook</t>
  </si>
  <si>
    <t>Male Crambrook</t>
  </si>
  <si>
    <t>Female Crambrook</t>
  </si>
  <si>
    <t>Colin Crambrook</t>
  </si>
  <si>
    <t>Sarah Hendriks</t>
  </si>
  <si>
    <t>John Brown</t>
  </si>
  <si>
    <t>Selina Tyrrell</t>
  </si>
  <si>
    <t>Salina Maud Firth</t>
  </si>
  <si>
    <t>Josephine M Goldfinch</t>
  </si>
  <si>
    <t>Anne Mackenzie</t>
  </si>
  <si>
    <t>Elizabeth Fooks</t>
  </si>
  <si>
    <t>James Lipson</t>
  </si>
  <si>
    <t>Elizabeth Lipson</t>
  </si>
  <si>
    <t>Kathleen Dwyer</t>
  </si>
  <si>
    <t>John  James Cross</t>
  </si>
  <si>
    <t>Carmel Joan Cross</t>
  </si>
  <si>
    <t>CarmelJoan</t>
  </si>
  <si>
    <t>Mervyn D Roberts</t>
  </si>
  <si>
    <t>Gavin David Roberts</t>
  </si>
  <si>
    <t>Gavin Roberts</t>
  </si>
  <si>
    <t>William Marrable</t>
  </si>
  <si>
    <t>Alice Marrable</t>
  </si>
  <si>
    <t>Doris Ida O'Neill</t>
  </si>
  <si>
    <t>William Topley</t>
  </si>
  <si>
    <t>Neal Topley</t>
  </si>
  <si>
    <t>Barbara Walkey</t>
  </si>
  <si>
    <t>Barbara Joan Elcome</t>
  </si>
  <si>
    <t>Caroline Marsh</t>
  </si>
  <si>
    <t>Pretoria  May Hawes</t>
  </si>
  <si>
    <t>Myrtle Edith V Bennett</t>
  </si>
  <si>
    <t>Caroline Springings</t>
  </si>
  <si>
    <t>Jean Williamson</t>
  </si>
  <si>
    <t>Hannah Ruddock</t>
  </si>
  <si>
    <t>Emily Sadler</t>
  </si>
  <si>
    <t>Adelaide Mary Edwards</t>
  </si>
  <si>
    <t>Wilfred Barnard</t>
  </si>
  <si>
    <t>Jean S Barnard</t>
  </si>
  <si>
    <t>David Keith Keating</t>
  </si>
  <si>
    <t>Walter William Cooper</t>
  </si>
  <si>
    <t>Dora Desscima Cooper</t>
  </si>
  <si>
    <t>Female Hill</t>
  </si>
  <si>
    <t>ronald cooper</t>
  </si>
  <si>
    <t>John James Cooper</t>
  </si>
  <si>
    <t>Alfred William Cooper</t>
  </si>
  <si>
    <t>Male Cooper</t>
  </si>
  <si>
    <t>Cheryl Cooper</t>
  </si>
  <si>
    <t>Nigel Wenlock</t>
  </si>
  <si>
    <t>Emily Abrey</t>
  </si>
  <si>
    <t>Edith Mary Barker</t>
  </si>
  <si>
    <t>Nigel V Wenlock</t>
  </si>
  <si>
    <t>Michael G Forsyth</t>
  </si>
  <si>
    <t>Carole Sylvia Sutherland</t>
  </si>
  <si>
    <t>Kayleigh Garner</t>
  </si>
  <si>
    <t>Beatrice Louisa Bluck</t>
  </si>
  <si>
    <t>Michael Richard Garner</t>
  </si>
  <si>
    <t>Kayleigh Louise Garner</t>
  </si>
  <si>
    <t>Joseph Wilson</t>
  </si>
  <si>
    <t>Susannah</t>
  </si>
  <si>
    <t>Lucy Connor</t>
  </si>
  <si>
    <t xml:space="preserve">Francis Wilson </t>
  </si>
  <si>
    <t>John Farlow wilson</t>
  </si>
  <si>
    <t>William A F Wilson</t>
  </si>
  <si>
    <t>Walter Wilson</t>
  </si>
  <si>
    <t>Edward Albert Wilson</t>
  </si>
  <si>
    <t>Edward John Wilson</t>
  </si>
  <si>
    <t>Carol A Wilson</t>
  </si>
  <si>
    <t>Lucy Jane M Connor</t>
  </si>
  <si>
    <t>Kieran Suchet</t>
  </si>
  <si>
    <t>Joan Patricia A Jarche</t>
  </si>
  <si>
    <t>Kieran Andrew A Suchet</t>
  </si>
  <si>
    <t>Constance Sycamore</t>
  </si>
  <si>
    <t>Phyllis Warren</t>
  </si>
  <si>
    <t>Christine Halsey</t>
  </si>
  <si>
    <t>Christine Murray</t>
  </si>
  <si>
    <t>Samantha Rush</t>
  </si>
  <si>
    <t>Samantha Murray</t>
  </si>
  <si>
    <t>Emma Ellen Wright</t>
  </si>
  <si>
    <t>Carrie Lynn Bridge</t>
  </si>
  <si>
    <t>Carrie Bridge</t>
  </si>
  <si>
    <t>Jay Garner</t>
  </si>
  <si>
    <t>Jay Adam T Garner</t>
  </si>
  <si>
    <t>12G Grandparents</t>
  </si>
  <si>
    <t>John Blomfield</t>
  </si>
  <si>
    <t>Elizabeth Myler</t>
  </si>
  <si>
    <t>John Henry Bloomfield</t>
  </si>
  <si>
    <t xml:space="preserve">Josephine </t>
  </si>
  <si>
    <t>Josephine C Halsey</t>
  </si>
  <si>
    <t>Sharon David</t>
  </si>
  <si>
    <t>John Thomas Bloomfield</t>
  </si>
  <si>
    <t>John William Bloomfield</t>
  </si>
  <si>
    <t>Ezekiel Bloomfield</t>
  </si>
  <si>
    <t>Timothy Bloomfield</t>
  </si>
  <si>
    <t>Dorothy Bloomfield</t>
  </si>
  <si>
    <t>John Jaquish</t>
  </si>
  <si>
    <t>Joseph Jaquish</t>
  </si>
  <si>
    <t>Charles Lewis Jaquish</t>
  </si>
  <si>
    <t>Franklin Charles Jaquish</t>
  </si>
  <si>
    <t>Harold Franklin Jaquish</t>
  </si>
  <si>
    <t>Nancy Ellen Jaquish</t>
  </si>
  <si>
    <t>Sharon K Chick</t>
  </si>
  <si>
    <t>12th Cousin 1xremoved</t>
  </si>
  <si>
    <t>Sue Russell</t>
  </si>
  <si>
    <t>su1689</t>
  </si>
  <si>
    <t>Sydney Carl Bevis</t>
  </si>
  <si>
    <t>Henry Charles Bevis</t>
  </si>
  <si>
    <t>John H Bevis</t>
  </si>
  <si>
    <t>Sarah clennell</t>
  </si>
  <si>
    <t>63.1cM</t>
  </si>
  <si>
    <t>William Colchester Hall</t>
  </si>
  <si>
    <t>Dorothy Thelma Hall</t>
  </si>
  <si>
    <t>David Ian Clennell</t>
  </si>
  <si>
    <t>Sarah L Clennell</t>
  </si>
  <si>
    <t>Alice Hooker</t>
  </si>
  <si>
    <t>Albert Stanley</t>
  </si>
  <si>
    <t>Albert Toby D Stanley</t>
  </si>
  <si>
    <t>Victor Dan O Rossiter</t>
  </si>
  <si>
    <t>Iris May Rossiter</t>
  </si>
  <si>
    <t>Georgina W Reading</t>
  </si>
  <si>
    <t>Kirsty Potts</t>
  </si>
  <si>
    <t>William Rayner</t>
  </si>
  <si>
    <t>Robert William Rayner</t>
  </si>
  <si>
    <t>Arthur George Rayner</t>
  </si>
  <si>
    <t>Ronald Arthur Rayner</t>
  </si>
  <si>
    <t>Joanne Rayner</t>
  </si>
  <si>
    <t>Kirst Ellen Potts</t>
  </si>
  <si>
    <t>Simon Austin</t>
  </si>
  <si>
    <t>John Shrewsbury Bushell</t>
  </si>
  <si>
    <t>Jessie M Bushell</t>
  </si>
  <si>
    <t>Louise Bushell</t>
  </si>
  <si>
    <t>Simon Robert Austin</t>
  </si>
  <si>
    <t>Margaret Millar Small</t>
  </si>
  <si>
    <t>Ethel Margaret Hamblyn</t>
  </si>
  <si>
    <t>Ann M Jennings</t>
  </si>
  <si>
    <t>Ann Hudson</t>
  </si>
  <si>
    <t>Claire Hudson</t>
  </si>
  <si>
    <t>georgier22</t>
  </si>
  <si>
    <t>Fiona Rogers</t>
  </si>
  <si>
    <t>George Seaman</t>
  </si>
  <si>
    <t>Ellen Seaman</t>
  </si>
  <si>
    <t>Horace Rogers</t>
  </si>
  <si>
    <t>George James Rogers</t>
  </si>
  <si>
    <t>James M Rogers</t>
  </si>
  <si>
    <t>Fiona Jane Rogers</t>
  </si>
  <si>
    <t>James Rogers</t>
  </si>
  <si>
    <t>Rebecca McNally</t>
  </si>
  <si>
    <t>Rebecca Louise Rogers</t>
  </si>
  <si>
    <t>Charles William Baldwin</t>
  </si>
  <si>
    <t>Alice E Wilson</t>
  </si>
  <si>
    <t>Mark James</t>
  </si>
  <si>
    <t>Susan Jorgensen</t>
  </si>
  <si>
    <t>Susan Wilson</t>
  </si>
  <si>
    <t>Ted Hill</t>
  </si>
  <si>
    <t>100cM</t>
  </si>
  <si>
    <t>Phoebe Beavis</t>
  </si>
  <si>
    <t>Ruth Irene Gill</t>
  </si>
  <si>
    <t>Stephen Gee</t>
  </si>
  <si>
    <t>Annie Baldwin</t>
  </si>
  <si>
    <t>Thomas George Gee</t>
  </si>
  <si>
    <t>Stephen Thomas Gee</t>
  </si>
  <si>
    <t>Shannon Gee</t>
  </si>
  <si>
    <t>Male Gee</t>
  </si>
  <si>
    <t>Jordan Gee</t>
  </si>
  <si>
    <t>Jennifer Gee</t>
  </si>
  <si>
    <t>Jennifer Ferguson</t>
  </si>
  <si>
    <t>Amy Jacobs</t>
  </si>
  <si>
    <t>Lillian Susanna Finch</t>
  </si>
  <si>
    <t>Albert Gordon James</t>
  </si>
  <si>
    <t>Male James</t>
  </si>
  <si>
    <t>Amy James</t>
  </si>
  <si>
    <t>John Charles Disdale</t>
  </si>
  <si>
    <t>Robert Warner Disdale</t>
  </si>
  <si>
    <t>Reginald Robert Disdale</t>
  </si>
  <si>
    <t>Joan Lilian Disdale</t>
  </si>
  <si>
    <t>Brenda S Bourchier</t>
  </si>
  <si>
    <t>Brenda Whitmore</t>
  </si>
  <si>
    <t>Sarah Brewster</t>
  </si>
  <si>
    <t>Ann Flatman</t>
  </si>
  <si>
    <t>George Argent</t>
  </si>
  <si>
    <t>Susan Key Argent</t>
  </si>
  <si>
    <t>Zachariah Goody</t>
  </si>
  <si>
    <t>Jesse Goody</t>
  </si>
  <si>
    <t>Bertha Maria Goody</t>
  </si>
  <si>
    <t>Gus Flatman</t>
  </si>
  <si>
    <t>Charles Flatman</t>
  </si>
  <si>
    <t>Ann J Flatman</t>
  </si>
  <si>
    <t>mphelan122873</t>
  </si>
  <si>
    <t>Ann Reynolds</t>
  </si>
  <si>
    <t>Sarah Disdale</t>
  </si>
  <si>
    <t>Charles Sturgeon</t>
  </si>
  <si>
    <t>Charles M Sturgeon</t>
  </si>
  <si>
    <t>Mary E Sturgeon</t>
  </si>
  <si>
    <t>Michael Scott Phelan</t>
  </si>
  <si>
    <t>John Clears</t>
  </si>
  <si>
    <t>Mary Anne Ruddock</t>
  </si>
  <si>
    <t>Arthur William Rush</t>
  </si>
  <si>
    <t>Charlotte Priscilla Rush</t>
  </si>
  <si>
    <t>Eileen Smith</t>
  </si>
  <si>
    <t>Penny Baker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</si>
</sst>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9" tint="0.7999816888943144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4" borderId="0" xfId="0" applyFont="1" applyFill="1"/>
    <xf numFmtId="0" fontId="2" fillId="2" borderId="0" xfId="0" applyFont="1" applyFill="1"/>
    <xf numFmtId="0" fontId="2" fillId="0" borderId="0" xfId="0" applyFont="1"/>
    <xf numFmtId="0" fontId="0" fillId="7" borderId="0" xfId="0" applyFill="1"/>
    <xf numFmtId="0" fontId="1" fillId="8" borderId="1" xfId="0" applyFont="1" applyFill="1" applyBorder="1"/>
    <xf numFmtId="0" fontId="1" fillId="9" borderId="1" xfId="0" applyFont="1" applyFill="1" applyBorder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2" fillId="13" borderId="0" xfId="0" applyFont="1" applyFill="1"/>
    <xf numFmtId="0" fontId="0" fillId="16" borderId="0" xfId="0" applyFill="1"/>
    <xf numFmtId="0" fontId="2" fillId="15" borderId="0" xfId="0" applyFont="1" applyFill="1"/>
    <xf numFmtId="0" fontId="3" fillId="2" borderId="0" xfId="0" applyFont="1" applyFill="1"/>
    <xf numFmtId="0" fontId="3" fillId="0" borderId="0" xfId="0" applyFont="1"/>
    <xf numFmtId="0" fontId="3" fillId="4" borderId="0" xfId="0" applyFont="1" applyFill="1"/>
    <xf numFmtId="0" fontId="3" fillId="5" borderId="0" xfId="0" applyFont="1" applyFill="1"/>
    <xf numFmtId="0" fontId="0" fillId="17" borderId="0" xfId="0" applyFill="1"/>
    <xf numFmtId="0" fontId="2" fillId="18" borderId="0" xfId="0" applyFont="1" applyFill="1"/>
    <xf numFmtId="0" fontId="3" fillId="18" borderId="0" xfId="0" applyFont="1" applyFill="1"/>
    <xf numFmtId="0" fontId="0" fillId="19" borderId="0" xfId="0" applyFill="1"/>
    <xf numFmtId="0" fontId="1" fillId="20" borderId="1" xfId="0" applyFont="1" applyFill="1" applyBorder="1"/>
    <xf numFmtId="0" fontId="2" fillId="19" borderId="0" xfId="0" applyFont="1" applyFill="1"/>
    <xf numFmtId="0" fontId="0" fillId="21" borderId="0" xfId="0" applyFill="1"/>
    <xf numFmtId="0" fontId="4" fillId="0" borderId="0" xfId="0" applyFont="1"/>
    <xf numFmtId="0" fontId="5" fillId="0" borderId="0" xfId="1"/>
    <xf numFmtId="0" fontId="5" fillId="13" borderId="0" xfId="1" applyFill="1"/>
    <xf numFmtId="0" fontId="5" fillId="4" borderId="0" xfId="1" applyFill="1"/>
    <xf numFmtId="0" fontId="5" fillId="5" borderId="0" xfId="1" applyFill="1"/>
    <xf numFmtId="0" fontId="5" fillId="0" borderId="0" xfId="1" applyFill="1"/>
    <xf numFmtId="0" fontId="5" fillId="3" borderId="0" xfId="1" applyFill="1"/>
    <xf numFmtId="0" fontId="5" fillId="7" borderId="0" xfId="1" applyFill="1"/>
    <xf numFmtId="0" fontId="5" fillId="15" borderId="0" xfId="1" applyFill="1"/>
    <xf numFmtId="0" fontId="0" fillId="23" borderId="0" xfId="0" applyFill="1"/>
    <xf numFmtId="0" fontId="5" fillId="2" borderId="0" xfId="1" applyFill="1"/>
    <xf numFmtId="0" fontId="5" fillId="5" borderId="0" xfId="1" applyFill="1" applyBorder="1"/>
    <xf numFmtId="0" fontId="2" fillId="0" borderId="0" xfId="1" applyFont="1"/>
    <xf numFmtId="0" fontId="2" fillId="4" borderId="0" xfId="1" applyFont="1" applyFill="1"/>
    <xf numFmtId="0" fontId="6" fillId="0" borderId="0" xfId="1" applyFont="1"/>
    <xf numFmtId="0" fontId="2" fillId="0" borderId="0" xfId="1" applyFont="1" applyFill="1"/>
    <xf numFmtId="0" fontId="7" fillId="8" borderId="1" xfId="0" applyFont="1" applyFill="1" applyBorder="1"/>
    <xf numFmtId="0" fontId="6" fillId="13" borderId="0" xfId="1" applyFont="1" applyFill="1"/>
    <xf numFmtId="0" fontId="6" fillId="15" borderId="0" xfId="1" applyFont="1" applyFill="1"/>
    <xf numFmtId="0" fontId="6" fillId="16" borderId="0" xfId="1" applyFont="1" applyFill="1"/>
    <xf numFmtId="0" fontId="7" fillId="9" borderId="1" xfId="0" applyFont="1" applyFill="1" applyBorder="1"/>
    <xf numFmtId="0" fontId="2" fillId="16" borderId="0" xfId="0" applyFont="1" applyFill="1"/>
    <xf numFmtId="0" fontId="5" fillId="16" borderId="0" xfId="1" applyFill="1"/>
    <xf numFmtId="0" fontId="1" fillId="2" borderId="2" xfId="0" applyFont="1" applyFill="1" applyBorder="1"/>
    <xf numFmtId="0" fontId="1" fillId="4" borderId="2" xfId="0" applyFont="1" applyFill="1" applyBorder="1"/>
    <xf numFmtId="0" fontId="0" fillId="24" borderId="0" xfId="0" applyFill="1"/>
    <xf numFmtId="0" fontId="0" fillId="22" borderId="0" xfId="0" applyFill="1"/>
    <xf numFmtId="0" fontId="0" fillId="25" borderId="0" xfId="0" applyFill="1"/>
    <xf numFmtId="2" fontId="0" fillId="0" borderId="0" xfId="0" applyNumberFormat="1"/>
    <xf numFmtId="1" fontId="0" fillId="0" borderId="0" xfId="0" applyNumberFormat="1"/>
    <xf numFmtId="0" fontId="1" fillId="23" borderId="4" xfId="0" applyFont="1" applyFill="1" applyBorder="1"/>
    <xf numFmtId="0" fontId="1" fillId="0" borderId="4" xfId="0" applyFont="1" applyBorder="1"/>
    <xf numFmtId="0" fontId="1" fillId="2" borderId="4" xfId="0" applyFont="1" applyFill="1" applyBorder="1"/>
    <xf numFmtId="0" fontId="1" fillId="4" borderId="4" xfId="0" applyFont="1" applyFill="1" applyBorder="1"/>
    <xf numFmtId="0" fontId="1" fillId="24" borderId="4" xfId="0" applyFont="1" applyFill="1" applyBorder="1"/>
    <xf numFmtId="0" fontId="1" fillId="22" borderId="4" xfId="0" applyFont="1" applyFill="1" applyBorder="1"/>
    <xf numFmtId="0" fontId="1" fillId="25" borderId="4" xfId="0" applyFont="1" applyFill="1" applyBorder="1"/>
    <xf numFmtId="0" fontId="1" fillId="7" borderId="4" xfId="0" applyFont="1" applyFill="1" applyBorder="1"/>
    <xf numFmtId="0" fontId="5" fillId="9" borderId="1" xfId="1" applyFill="1" applyBorder="1"/>
    <xf numFmtId="0" fontId="0" fillId="26" borderId="0" xfId="0" applyFill="1"/>
    <xf numFmtId="0" fontId="1" fillId="13" borderId="2" xfId="0" applyFont="1" applyFill="1" applyBorder="1"/>
    <xf numFmtId="0" fontId="1" fillId="23" borderId="3" xfId="0" applyFont="1" applyFill="1" applyBorder="1"/>
    <xf numFmtId="0" fontId="1" fillId="19" borderId="3" xfId="0" applyFont="1" applyFill="1" applyBorder="1"/>
    <xf numFmtId="0" fontId="1" fillId="13" borderId="5" xfId="0" applyFont="1" applyFill="1" applyBorder="1"/>
    <xf numFmtId="0" fontId="0" fillId="27" borderId="0" xfId="0" applyFill="1"/>
    <xf numFmtId="0" fontId="1" fillId="27" borderId="2" xfId="0" applyFont="1" applyFill="1" applyBorder="1"/>
    <xf numFmtId="0" fontId="0" fillId="28" borderId="0" xfId="0" applyFill="1"/>
    <xf numFmtId="0" fontId="5" fillId="28" borderId="0" xfId="1" applyFill="1"/>
    <xf numFmtId="0" fontId="1" fillId="24" borderId="1" xfId="0" applyFont="1" applyFill="1" applyBorder="1"/>
    <xf numFmtId="0" fontId="1" fillId="27" borderId="1" xfId="0" applyFont="1" applyFill="1" applyBorder="1"/>
    <xf numFmtId="0" fontId="1" fillId="19" borderId="1" xfId="0" applyFont="1" applyFill="1" applyBorder="1"/>
    <xf numFmtId="0" fontId="1" fillId="2" borderId="1" xfId="0" applyFont="1" applyFill="1" applyBorder="1"/>
    <xf numFmtId="0" fontId="1" fillId="4" borderId="1" xfId="0" applyFont="1" applyFill="1" applyBorder="1"/>
    <xf numFmtId="0" fontId="1" fillId="22" borderId="1" xfId="0" applyFont="1" applyFill="1" applyBorder="1"/>
    <xf numFmtId="0" fontId="1" fillId="25" borderId="1" xfId="0" applyFont="1" applyFill="1" applyBorder="1"/>
    <xf numFmtId="0" fontId="1" fillId="23" borderId="1" xfId="0" applyFont="1" applyFill="1" applyBorder="1"/>
    <xf numFmtId="0" fontId="1" fillId="7" borderId="1" xfId="0" applyFont="1" applyFill="1" applyBorder="1"/>
    <xf numFmtId="0" fontId="1" fillId="0" borderId="1" xfId="0" applyFont="1" applyBorder="1"/>
    <xf numFmtId="0" fontId="0" fillId="29" borderId="0" xfId="0" applyFill="1"/>
    <xf numFmtId="0" fontId="1" fillId="13" borderId="1" xfId="0" applyFont="1" applyFill="1" applyBorder="1"/>
    <xf numFmtId="0" fontId="5" fillId="29" borderId="0" xfId="1" applyFill="1"/>
    <xf numFmtId="0" fontId="1" fillId="24" borderId="0" xfId="0" applyFont="1" applyFill="1"/>
    <xf numFmtId="0" fontId="1" fillId="5" borderId="1" xfId="0" applyFont="1" applyFill="1" applyBorder="1"/>
    <xf numFmtId="14" fontId="5" fillId="29" borderId="0" xfId="1" applyNumberFormat="1" applyFill="1"/>
    <xf numFmtId="1" fontId="0" fillId="0" borderId="0" xfId="0" applyNumberFormat="1" applyProtection="1">
      <protection hidden="1"/>
    </xf>
    <xf numFmtId="0" fontId="5" fillId="3" borderId="0" xfId="1" applyFill="1" applyBorder="1"/>
    <xf numFmtId="0" fontId="5" fillId="0" borderId="0" xfId="1" applyFill="1" applyBorder="1"/>
    <xf numFmtId="0" fontId="5" fillId="13" borderId="0" xfId="1" applyFill="1" applyBorder="1"/>
    <xf numFmtId="0" fontId="5" fillId="19" borderId="0" xfId="1" applyFill="1"/>
    <xf numFmtId="14" fontId="0" fillId="27" borderId="0" xfId="0" applyNumberFormat="1" applyFill="1"/>
    <xf numFmtId="0" fontId="5" fillId="30" borderId="0" xfId="1" applyFill="1"/>
    <xf numFmtId="0" fontId="1" fillId="20" borderId="0" xfId="0" applyFont="1" applyFill="1"/>
    <xf numFmtId="0" fontId="5" fillId="26" borderId="0" xfId="1" applyFill="1"/>
    <xf numFmtId="0" fontId="8" fillId="15" borderId="0" xfId="0" applyFont="1" applyFill="1"/>
    <xf numFmtId="0" fontId="5" fillId="4" borderId="0" xfId="1" applyFill="1" applyBorder="1"/>
    <xf numFmtId="0" fontId="1" fillId="31" borderId="1" xfId="0" applyFont="1" applyFill="1" applyBorder="1"/>
    <xf numFmtId="0" fontId="7" fillId="31" borderId="1" xfId="0" applyFont="1" applyFill="1" applyBorder="1"/>
    <xf numFmtId="0" fontId="6" fillId="19" borderId="0" xfId="1" applyFont="1" applyFill="1"/>
    <xf numFmtId="0" fontId="5" fillId="17" borderId="0" xfId="1" applyFill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FFFF"/>
      <color rgb="FFCC66FF"/>
      <color rgb="FFFFFF99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styles" Target="styles.xml"/><Relationship Id="rId68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microsoft.com/office/2017/06/relationships/rdRichValue" Target="richData/rdrichvalue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69" Type="http://schemas.microsoft.com/office/2017/10/relationships/person" Target="persons/perso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microsoft.com/office/2017/06/relationships/rdRichValueStructure" Target="richData/rdrichvaluestructure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8</v>
    <v>183</v>
    <v>1</v>
  </rv>
  <rv s="0">
    <v>0</v>
    <v>8</v>
    <v>25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ncestry.co.uk/discoveryui-matches/list/50a7c5ef-9e94-44be-a86a-5736956a97f2?sortby=date&amp;searchsurname=dilly" TargetMode="External"/><Relationship Id="rId117" Type="http://schemas.openxmlformats.org/officeDocument/2006/relationships/hyperlink" Target="https://www.ancestry.co.uk/discoveryui-matches/list/8955cf51-8070-4a51-8674-b7f01b347aed?searchsurname=worledge" TargetMode="External"/><Relationship Id="rId21" Type="http://schemas.openxmlformats.org/officeDocument/2006/relationships/hyperlink" Target="https://www.ancestry.co.uk/discoveryui-matches/list/8955cf51-8070-4a51-8674-b7f01b347aed?searchsurname=craddock" TargetMode="External"/><Relationship Id="rId42" Type="http://schemas.openxmlformats.org/officeDocument/2006/relationships/hyperlink" Target="https://www.ancestry.co.uk/discoveryui-matches/list/50a7c5ef-9e94-44be-a86a-5736956a97f2?sortby=date&amp;searchsurname=gordon" TargetMode="External"/><Relationship Id="rId47" Type="http://schemas.openxmlformats.org/officeDocument/2006/relationships/hyperlink" Target="https://www.ancestry.co.uk/discoveryui-matches/list/50a7c5ef-9e94-44be-a86a-5736956a97f2?sortby=date&amp;searchsurname=hails" TargetMode="External"/><Relationship Id="rId63" Type="http://schemas.openxmlformats.org/officeDocument/2006/relationships/hyperlink" Target="https://www.ancestry.co.uk/discoveryui-matches/list/8955cf51-8070-4a51-8674-b7f01b347aed?searchsurname=lovewold" TargetMode="External"/><Relationship Id="rId68" Type="http://schemas.openxmlformats.org/officeDocument/2006/relationships/hyperlink" Target="https://www.ancestry.co.uk/discoveryui-matches/list/50a7c5ef-9e94-44be-a86a-5736956a97f2?sortby=date&amp;searchsurname=millar" TargetMode="External"/><Relationship Id="rId84" Type="http://schemas.openxmlformats.org/officeDocument/2006/relationships/hyperlink" Target="https://www.ancestry.co.uk/discoveryui-matches/list/8955cf51-8070-4a51-8674-b7f01b347aed?searchsurname=pavett" TargetMode="External"/><Relationship Id="rId89" Type="http://schemas.openxmlformats.org/officeDocument/2006/relationships/hyperlink" Target="https://www.ancestry.co.uk/discoveryui-matches/list/8955cf51-8070-4a51-8674-b7f01b347aed?searchsurname=shorecroft" TargetMode="External"/><Relationship Id="rId112" Type="http://schemas.openxmlformats.org/officeDocument/2006/relationships/hyperlink" Target="https://www.ancestry.co.uk/discoveryui-matches/list/8955cf51-8070-4a51-8674-b7f01b347aed?searchsurname=white" TargetMode="External"/><Relationship Id="rId16" Type="http://schemas.openxmlformats.org/officeDocument/2006/relationships/hyperlink" Target="https://www.ancestry.co.uk/discoveryui-matches/list/8955cf51-8070-4a51-8674-b7f01b347aed?searchsurname=bowers" TargetMode="External"/><Relationship Id="rId107" Type="http://schemas.openxmlformats.org/officeDocument/2006/relationships/hyperlink" Target="https://www.ancestry.co.uk/discoveryui-matches/list/50a7c5ef-9e94-44be-a86a-5736956a97f2?sortby=date&amp;searchsurname=vye" TargetMode="External"/><Relationship Id="rId11" Type="http://schemas.openxmlformats.org/officeDocument/2006/relationships/hyperlink" Target="https://www.ancestry.co.uk/discoveryui-matches/list/50a7c5ef-9e94-44be-a86a-5736956a97f2?sortby=date&amp;searchsurname=berry" TargetMode="External"/><Relationship Id="rId32" Type="http://schemas.openxmlformats.org/officeDocument/2006/relationships/hyperlink" Target="https://www.ancestry.co.uk/discoveryui-matches/list/8955cf51-8070-4a51-8674-b7f01b347aed?searchsurname=elderfield" TargetMode="External"/><Relationship Id="rId37" Type="http://schemas.openxmlformats.org/officeDocument/2006/relationships/hyperlink" Target="https://www.ancestry.co.uk/discoveryui-matches/list/8955cf51-8070-4a51-8674-b7f01b347aed?searchsurname=freeman" TargetMode="External"/><Relationship Id="rId53" Type="http://schemas.openxmlformats.org/officeDocument/2006/relationships/hyperlink" Target="https://d.docs.live.net/D32613E9A4B09111/Documents/v" TargetMode="External"/><Relationship Id="rId58" Type="http://schemas.openxmlformats.org/officeDocument/2006/relationships/hyperlink" Target="https://www.ancestry.co.uk/discoveryui-matches/list/50a7c5ef-9e94-44be-a86a-5736956a97f2?sortby=date&amp;searchsurname=jones" TargetMode="External"/><Relationship Id="rId74" Type="http://schemas.openxmlformats.org/officeDocument/2006/relationships/hyperlink" Target="https://www.ancestry.co.uk/discoveryui-matches/list/50a7c5ef-9e94-44be-a86a-5736956a97f2?sortby=date&amp;searchsurname=munden" TargetMode="External"/><Relationship Id="rId79" Type="http://schemas.openxmlformats.org/officeDocument/2006/relationships/hyperlink" Target="https://www.ancestry.co.uk/discoveryui-matches/list/50a7c5ef-9e94-44be-a86a-5736956a97f2?sortby=date&amp;searchsurname=parker" TargetMode="External"/><Relationship Id="rId102" Type="http://schemas.openxmlformats.org/officeDocument/2006/relationships/hyperlink" Target="https://www.ancestry.co.uk/discoveryui-matches/list/50a7c5ef-9e94-44be-a86a-5736956a97f2?sortby=date&amp;searchsurname=towns" TargetMode="External"/><Relationship Id="rId5" Type="http://schemas.openxmlformats.org/officeDocument/2006/relationships/hyperlink" Target="https://www.ancestry.co.uk/discoveryui-matches/list/8955cf51-8070-4a51-8674-b7f01b347aed?searchsurname=barnes" TargetMode="External"/><Relationship Id="rId90" Type="http://schemas.openxmlformats.org/officeDocument/2006/relationships/hyperlink" Target="https://www.ancestry.co.uk/discoveryui-matches/list/50a7c5ef-9e94-44be-a86a-5736956a97f2?sortby=date&amp;searchsurname=shorecroft" TargetMode="External"/><Relationship Id="rId95" Type="http://schemas.openxmlformats.org/officeDocument/2006/relationships/hyperlink" Target="https://www.ancestry.co.uk/discoveryui-matches/list/50a7c5ef-9e94-44be-a86a-5736956a97f2?sortby=date&amp;searchsurname=smart" TargetMode="External"/><Relationship Id="rId22" Type="http://schemas.openxmlformats.org/officeDocument/2006/relationships/hyperlink" Target="https://www.ancestry.co.uk/discoveryui-matches/list/50a7c5ef-9e94-44be-a86a-5736956a97f2?sortby=date&amp;searchsurname=craddock" TargetMode="External"/><Relationship Id="rId27" Type="http://schemas.openxmlformats.org/officeDocument/2006/relationships/hyperlink" Target="https://www.ancestry.co.uk/discoveryui-matches/list/50a7c5ef-9e94-44be-a86a-5736956a97f2?sortby=date&amp;searchsurname=dollen" TargetMode="External"/><Relationship Id="rId43" Type="http://schemas.openxmlformats.org/officeDocument/2006/relationships/hyperlink" Target="https://www.ancestry.co.uk/discoveryui-matches/list/50a7c5ef-9e94-44be-a86a-5736956a97f2?sortby=date&amp;searchsurname=gilbert" TargetMode="External"/><Relationship Id="rId48" Type="http://schemas.openxmlformats.org/officeDocument/2006/relationships/hyperlink" Target="https://www.ancestry.co.uk/discoveryui-matches/list/8955cf51-8070-4a51-8674-b7f01b347aed?searchsurname=hails" TargetMode="External"/><Relationship Id="rId64" Type="http://schemas.openxmlformats.org/officeDocument/2006/relationships/hyperlink" Target="https://www.ancestry.co.uk/discoveryui-matches/list/50a7c5ef-9e94-44be-a86a-5736956a97f2?sortby=date&amp;searchsurname=lovewold" TargetMode="External"/><Relationship Id="rId69" Type="http://schemas.openxmlformats.org/officeDocument/2006/relationships/hyperlink" Target="https://www.ancestry.co.uk/discoveryui-matches/list/50a7c5ef-9e94-44be-a86a-5736956a97f2?sortby=date&amp;searchsurname=miller" TargetMode="External"/><Relationship Id="rId113" Type="http://schemas.openxmlformats.org/officeDocument/2006/relationships/hyperlink" Target="https://www.ancestry.co.uk/discoveryui-matches/list/8955cf51-8070-4a51-8674-b7f01b347aed?searchsurname=whitehead" TargetMode="External"/><Relationship Id="rId118" Type="http://schemas.openxmlformats.org/officeDocument/2006/relationships/hyperlink" Target="https://www.ancestry.co.uk/discoveryui-matches/list/50a7c5ef-9e94-44be-a86a-5736956a97f2?sortby=date&amp;searchsurname=worledge" TargetMode="External"/><Relationship Id="rId80" Type="http://schemas.openxmlformats.org/officeDocument/2006/relationships/hyperlink" Target="https://www.ancestry.co.uk/discoveryui-matches/list/8955cf51-8070-4a51-8674-b7f01b347aed?searchsurname=parker" TargetMode="External"/><Relationship Id="rId85" Type="http://schemas.openxmlformats.org/officeDocument/2006/relationships/hyperlink" Target="https://www.ancestry.co.uk/discoveryui-matches/list/8955cf51-8070-4a51-8674-b7f01b347aed?searchsurname=punt" TargetMode="External"/><Relationship Id="rId12" Type="http://schemas.openxmlformats.org/officeDocument/2006/relationships/hyperlink" Target="https://www.ancestry.co.uk/discoveryui-matches/list/8955cf51-8070-4a51-8674-b7f01b347aed?searchsurname=berry" TargetMode="External"/><Relationship Id="rId17" Type="http://schemas.openxmlformats.org/officeDocument/2006/relationships/hyperlink" Target="https://www.ancestry.co.uk/discoveryui-matches/list/8955cf51-8070-4a51-8674-b7f01b347aed?searchsurname=cameron" TargetMode="External"/><Relationship Id="rId33" Type="http://schemas.openxmlformats.org/officeDocument/2006/relationships/hyperlink" Target="https://www.ancestry.co.uk/discoveryui-matches/list/8955cf51-8070-4a51-8674-b7f01b347aed?searchsurname=eldred" TargetMode="External"/><Relationship Id="rId38" Type="http://schemas.openxmlformats.org/officeDocument/2006/relationships/hyperlink" Target="https://www.ancestry.co.uk/discoveryui-matches/list/50a7c5ef-9e94-44be-a86a-5736956a97f2?sortby=date&amp;searchsurname=freeman" TargetMode="External"/><Relationship Id="rId59" Type="http://schemas.openxmlformats.org/officeDocument/2006/relationships/hyperlink" Target="https://www.ancestry.co.uk/discoveryui-matches/list/50a7c5ef-9e94-44be-a86a-5736956a97f2?sortby=date&amp;searchsurname=lewis" TargetMode="External"/><Relationship Id="rId103" Type="http://schemas.openxmlformats.org/officeDocument/2006/relationships/hyperlink" Target="https://www.ancestry.co.uk/discoveryui-matches/list/50a7c5ef-9e94-44be-a86a-5736956a97f2?sortby=date&amp;searchsurname=tozer" TargetMode="External"/><Relationship Id="rId108" Type="http://schemas.openxmlformats.org/officeDocument/2006/relationships/hyperlink" Target="https://www.ancestry.co.uk/discoveryui-matches/list/8955cf51-8070-4a51-8674-b7f01b347aed?searchsurname=vye" TargetMode="External"/><Relationship Id="rId54" Type="http://schemas.openxmlformats.org/officeDocument/2006/relationships/hyperlink" Target="https://www.ancestry.co.uk/discoveryui-matches/list/50a7c5ef-9e94-44be-a86a-5736956a97f2?sortby=date&amp;searchsurname=hughes" TargetMode="External"/><Relationship Id="rId70" Type="http://schemas.openxmlformats.org/officeDocument/2006/relationships/hyperlink" Target="https://www.ancestry.co.uk/discoveryui-matches/list/50a7c5ef-9e94-44be-a86a-5736956a97f2?sortby=date&amp;searchsurname=miller" TargetMode="External"/><Relationship Id="rId75" Type="http://schemas.openxmlformats.org/officeDocument/2006/relationships/hyperlink" Target="https://www.ancestry.co.uk/discoveryui-matches/list/50a7c5ef-9e94-44be-a86a-5736956a97f2?sortby=date&amp;searchsurname=newman" TargetMode="External"/><Relationship Id="rId91" Type="http://schemas.openxmlformats.org/officeDocument/2006/relationships/hyperlink" Target="https://www.ancestry.co.uk/discoveryui-matches/list/50a7c5ef-9e94-44be-a86a-5736956a97f2?sortby=date&amp;searchsurname=sims" TargetMode="External"/><Relationship Id="rId96" Type="http://schemas.openxmlformats.org/officeDocument/2006/relationships/hyperlink" Target="https://www.ancestry.co.uk/discoveryui-matches/list/8955cf51-8070-4a51-8674-b7f01b347aed?searchsurname=smart" TargetMode="External"/><Relationship Id="rId1" Type="http://schemas.openxmlformats.org/officeDocument/2006/relationships/hyperlink" Target="https://www.ancestry.co.uk/discoveryui-matches/list/50a7c5ef-9e94-44be-a86a-5736956a97f2?sortby=date&amp;searchsurname=argent" TargetMode="External"/><Relationship Id="rId6" Type="http://schemas.openxmlformats.org/officeDocument/2006/relationships/hyperlink" Target="https://www.ancestry.co.uk/discoveryui-matches/list/50a7c5ef-9e94-44be-a86a-5736956a97f2?sortby=date&amp;searchsurname=barnes" TargetMode="External"/><Relationship Id="rId23" Type="http://schemas.openxmlformats.org/officeDocument/2006/relationships/hyperlink" Target="https://www.ancestry.co.uk/discoveryui-matches/list/50a7c5ef-9e94-44be-a86a-5736956a97f2?sortby=date&amp;searchsurname=dadley" TargetMode="External"/><Relationship Id="rId28" Type="http://schemas.openxmlformats.org/officeDocument/2006/relationships/hyperlink" Target="https://www.ancestry.co.uk/discoveryui-matches/list/8955cf51-8070-4a51-8674-b7f01b347aed?searchsurname=dollen" TargetMode="External"/><Relationship Id="rId49" Type="http://schemas.openxmlformats.org/officeDocument/2006/relationships/hyperlink" Target="https://www.ancestry.co.uk/discoveryui-matches/list/8955cf51-8070-4a51-8674-b7f01b347aed?searchsurname=haw" TargetMode="External"/><Relationship Id="rId114" Type="http://schemas.openxmlformats.org/officeDocument/2006/relationships/hyperlink" Target="https://www.ancestry.co.uk/discoveryui-matches/list/50a7c5ef-9e94-44be-a86a-5736956a97f2?sortby=date&amp;searchsurname=whitehead" TargetMode="External"/><Relationship Id="rId119" Type="http://schemas.openxmlformats.org/officeDocument/2006/relationships/hyperlink" Target="https://www.ancestry.co.uk/discoveryui-matches/list/50a7c5ef-9e94-44be-a86a-5736956a97f2?sortby=date&amp;searchsurname=wray" TargetMode="External"/><Relationship Id="rId44" Type="http://schemas.openxmlformats.org/officeDocument/2006/relationships/hyperlink" Target="https://www.ancestry.co.uk/discoveryui-matches/list/8955cf51-8070-4a51-8674-b7f01b347aed?searchsurname=gilbert" TargetMode="External"/><Relationship Id="rId60" Type="http://schemas.openxmlformats.org/officeDocument/2006/relationships/hyperlink" Target="https://www.ancestry.co.uk/discoveryui-matches/list/50a7c5ef-9e94-44be-a86a-5736956a97f2?sortby=date&amp;searchsurname=lewis" TargetMode="External"/><Relationship Id="rId65" Type="http://schemas.openxmlformats.org/officeDocument/2006/relationships/hyperlink" Target="https://www.ancestry.co.uk/discoveryui-matches/list/50a7c5ef-9e94-44be-a86a-5736956a97f2?sortby=date&amp;searchsurname=maggott" TargetMode="External"/><Relationship Id="rId81" Type="http://schemas.openxmlformats.org/officeDocument/2006/relationships/hyperlink" Target="https://www.ancestry.co.uk/discoveryui-matches/list/8955cf51-8070-4a51-8674-b7f01b347aed?searchsurname=patty" TargetMode="External"/><Relationship Id="rId86" Type="http://schemas.openxmlformats.org/officeDocument/2006/relationships/hyperlink" Target="https://www.ancestry.co.uk/discoveryui-matches/list/50a7c5ef-9e94-44be-a86a-5736956a97f2?sortby=date&amp;searchsurname=punt" TargetMode="External"/><Relationship Id="rId4" Type="http://schemas.openxmlformats.org/officeDocument/2006/relationships/hyperlink" Target="https://www.ancestry.co.uk/discoveryui-matches/list/8955cf51-8070-4a51-8674-b7f01b347aed?searchsurname=atkins" TargetMode="External"/><Relationship Id="rId9" Type="http://schemas.openxmlformats.org/officeDocument/2006/relationships/hyperlink" Target="https://www.ancestry.co.uk/discoveryui-matches/list/8955cf51-8070-4a51-8674-b7f01b347aed?searchsurname=beavis" TargetMode="External"/><Relationship Id="rId13" Type="http://schemas.openxmlformats.org/officeDocument/2006/relationships/hyperlink" Target="https://www.ancestry.co.uk/discoveryui-matches/list/8955cf51-8070-4a51-8674-b7f01b347aed?searchsurname=boone" TargetMode="External"/><Relationship Id="rId18" Type="http://schemas.openxmlformats.org/officeDocument/2006/relationships/hyperlink" Target="https://www.ancestry.co.uk/discoveryui-matches/list/50a7c5ef-9e94-44be-a86a-5736956a97f2?sortby=date&amp;searchsurname=cameron" TargetMode="External"/><Relationship Id="rId39" Type="http://schemas.openxmlformats.org/officeDocument/2006/relationships/hyperlink" Target="https://www.ancestry.co.uk/discoveryui-matches/list/50a7c5ef-9e94-44be-a86a-5736956a97f2?sortby=date&amp;searchsurname=goddard" TargetMode="External"/><Relationship Id="rId109" Type="http://schemas.openxmlformats.org/officeDocument/2006/relationships/hyperlink" Target="https://www.ancestry.co.uk/discoveryui-matches/list/8955cf51-8070-4a51-8674-b7f01b347aed?searchsurname=watt" TargetMode="External"/><Relationship Id="rId34" Type="http://schemas.openxmlformats.org/officeDocument/2006/relationships/hyperlink" Target="https://www.ancestry.co.uk/discoveryui-matches/list/50a7c5ef-9e94-44be-a86a-5736956a97f2?sortby=date&amp;searchsurname=eldred" TargetMode="External"/><Relationship Id="rId50" Type="http://schemas.openxmlformats.org/officeDocument/2006/relationships/hyperlink" Target="https://www.ancestry.co.uk/discoveryui-matches/list/50a7c5ef-9e94-44be-a86a-5736956a97f2?sortby=date&amp;searchsurname=haw" TargetMode="External"/><Relationship Id="rId55" Type="http://schemas.openxmlformats.org/officeDocument/2006/relationships/hyperlink" Target="https://www.ancestry.co.uk/discoveryui-matches/list/50a7c5ef-9e94-44be-a86a-5736956a97f2?sortby=date&amp;searchsurname=hutcheson" TargetMode="External"/><Relationship Id="rId76" Type="http://schemas.openxmlformats.org/officeDocument/2006/relationships/hyperlink" Target="https://www.ancestry.co.uk/discoveryui-matches/list/8955cf51-8070-4a51-8674-b7f01b347aed?searchsurname=newman" TargetMode="External"/><Relationship Id="rId97" Type="http://schemas.openxmlformats.org/officeDocument/2006/relationships/hyperlink" Target="https://www.ancestry.co.uk/discoveryui-matches/list/8955cf51-8070-4a51-8674-b7f01b347aed?searchsurname=spencer" TargetMode="External"/><Relationship Id="rId104" Type="http://schemas.openxmlformats.org/officeDocument/2006/relationships/hyperlink" Target="https://www.ancestry.co.uk/discoveryui-matches/list/8955cf51-8070-4a51-8674-b7f01b347aed?searchsurname=tozer" TargetMode="External"/><Relationship Id="rId120" Type="http://schemas.openxmlformats.org/officeDocument/2006/relationships/hyperlink" Target="https://www.ancestry.co.uk/discoveryui-matches/list/8955cf51-8070-4a51-8674-b7f01b347aed?searchsurname=wray" TargetMode="External"/><Relationship Id="rId7" Type="http://schemas.openxmlformats.org/officeDocument/2006/relationships/hyperlink" Target="https://www.ancestry.co.uk/discoveryui-matches/list/50a7c5ef-9e94-44be-a86a-5736956a97f2?sortby=date&amp;searchsurname=batley" TargetMode="External"/><Relationship Id="rId71" Type="http://schemas.openxmlformats.org/officeDocument/2006/relationships/hyperlink" Target="https://www.ancestry.co.uk/discoveryui-matches/list/8955cf51-8070-4a51-8674-b7f01b347aed?searchsurname=miller" TargetMode="External"/><Relationship Id="rId92" Type="http://schemas.openxmlformats.org/officeDocument/2006/relationships/hyperlink" Target="https://www.ancestry.co.uk/discoveryui-matches/list/8955cf51-8070-4a51-8674-b7f01b347aed?searchsurname=sims" TargetMode="External"/><Relationship Id="rId2" Type="http://schemas.openxmlformats.org/officeDocument/2006/relationships/hyperlink" Target="https://www.ancestry.co.uk/discoveryui-matches/list/50a7c5ef-9e94-44be-a86a-5736956a97f2?sortby=date&amp;searchsurname=atkins" TargetMode="External"/><Relationship Id="rId29" Type="http://schemas.openxmlformats.org/officeDocument/2006/relationships/hyperlink" Target="https://www.ancestry.co.uk/discoveryui-matches/list/8955cf51-8070-4a51-8674-b7f01b347aed?searchsurname=douglas" TargetMode="External"/><Relationship Id="rId24" Type="http://schemas.openxmlformats.org/officeDocument/2006/relationships/hyperlink" Target="https://www.ancestry.co.uk/discoveryui-matches/list/8955cf51-8070-4a51-8674-b7f01b347aed?searchsurname=dadley" TargetMode="External"/><Relationship Id="rId40" Type="http://schemas.openxmlformats.org/officeDocument/2006/relationships/hyperlink" Target="https://www.ancestry.co.uk/discoveryui-matches/list/8955cf51-8070-4a51-8674-b7f01b347aed?searchsurname=goddard" TargetMode="External"/><Relationship Id="rId45" Type="http://schemas.openxmlformats.org/officeDocument/2006/relationships/hyperlink" Target="https://www.ancestry.co.uk/discoveryui-matches/list/8955cf51-8070-4a51-8674-b7f01b347aed?searchsurname=greig" TargetMode="External"/><Relationship Id="rId66" Type="http://schemas.openxmlformats.org/officeDocument/2006/relationships/hyperlink" Target="https://www.ancestry.co.uk/discoveryui-matches/list/8955cf51-8070-4a51-8674-b7f01b347aed?searchsurname=maggott" TargetMode="External"/><Relationship Id="rId87" Type="http://schemas.openxmlformats.org/officeDocument/2006/relationships/hyperlink" Target="https://www.ancestry.co.uk/discoveryui-matches/list/50a7c5ef-9e94-44be-a86a-5736956a97f2?sortby=date&amp;searchsurname=rush" TargetMode="External"/><Relationship Id="rId110" Type="http://schemas.openxmlformats.org/officeDocument/2006/relationships/hyperlink" Target="https://www.ancestry.co.uk/discoveryui-matches/list/50a7c5ef-9e94-44be-a86a-5736956a97f2?sortby=date&amp;searchsurname=watts" TargetMode="External"/><Relationship Id="rId115" Type="http://schemas.openxmlformats.org/officeDocument/2006/relationships/hyperlink" Target="https://www.ancestry.co.uk/discoveryui-matches/list/50a7c5ef-9e94-44be-a86a-5736956a97f2?sortby=date&amp;searchsurname=woods" TargetMode="External"/><Relationship Id="rId61" Type="http://schemas.openxmlformats.org/officeDocument/2006/relationships/hyperlink" Target="https://www.ancestry.co.uk/discoveryui-matches/list/8955cf51-8070-4a51-8674-b7f01b347aed?searchsurname=lewis" TargetMode="External"/><Relationship Id="rId82" Type="http://schemas.openxmlformats.org/officeDocument/2006/relationships/hyperlink" Target="https://www.ancestry.co.uk/discoveryui-matches/list/50a7c5ef-9e94-44be-a86a-5736956a97f2?sortby=date&amp;searchsurname=patty" TargetMode="External"/><Relationship Id="rId19" Type="http://schemas.openxmlformats.org/officeDocument/2006/relationships/hyperlink" Target="https://www.ancestry.co.uk/discoveryui-matches/list/50a7c5ef-9e94-44be-a86a-5736956a97f2?sortby=date&amp;searchsurname=capon" TargetMode="External"/><Relationship Id="rId14" Type="http://schemas.openxmlformats.org/officeDocument/2006/relationships/hyperlink" Target="https://www.ancestry.co.uk/discoveryui-matches/list/50a7c5ef-9e94-44be-a86a-5736956a97f2?sortby=date&amp;searchsurname=boone" TargetMode="External"/><Relationship Id="rId30" Type="http://schemas.openxmlformats.org/officeDocument/2006/relationships/hyperlink" Target="https://www.ancestry.co.uk/discoveryui-matches/list/50a7c5ef-9e94-44be-a86a-5736956a97f2?sortby=date&amp;searchsurname=douglas" TargetMode="External"/><Relationship Id="rId35" Type="http://schemas.openxmlformats.org/officeDocument/2006/relationships/hyperlink" Target="https://www.ancestry.co.uk/discoveryui-matches/list/50a7c5ef-9e94-44be-a86a-5736956a97f2?sortby=date&amp;searchsurname=fergusson" TargetMode="External"/><Relationship Id="rId56" Type="http://schemas.openxmlformats.org/officeDocument/2006/relationships/hyperlink" Target="https://www.ancestry.co.uk/discoveryui-matches/list/8955cf51-8070-4a51-8674-b7f01b347aed?searchsurname=hutcheson" TargetMode="External"/><Relationship Id="rId77" Type="http://schemas.openxmlformats.org/officeDocument/2006/relationships/hyperlink" Target="https://www.ancestry.co.uk/discoveryui-matches/list/8955cf51-8070-4a51-8674-b7f01b347aed?searchsurname=nichols" TargetMode="External"/><Relationship Id="rId100" Type="http://schemas.openxmlformats.org/officeDocument/2006/relationships/hyperlink" Target="https://www.ancestry.co.uk/discoveryui-matches/list/8955cf51-8070-4a51-8674-b7f01b347aed?searchsurname=styleman" TargetMode="External"/><Relationship Id="rId105" Type="http://schemas.openxmlformats.org/officeDocument/2006/relationships/hyperlink" Target="https://www.ancestry.co.uk/discoveryui-matches/list/8955cf51-8070-4a51-8674-b7f01b347aed?searchsurname=trueman" TargetMode="External"/><Relationship Id="rId8" Type="http://schemas.openxmlformats.org/officeDocument/2006/relationships/hyperlink" Target="https://www.ancestry.co.uk/discoveryui-matches/list/8955cf51-8070-4a51-8674-b7f01b347aed?searchsurname=batley" TargetMode="External"/><Relationship Id="rId51" Type="http://schemas.openxmlformats.org/officeDocument/2006/relationships/hyperlink" Target="https://www.ancestry.co.uk/discoveryui-matches/list/50a7c5ef-9e94-44be-a86a-5736956a97f2?sortby=date&amp;searchsurname=howard" TargetMode="External"/><Relationship Id="rId72" Type="http://schemas.openxmlformats.org/officeDocument/2006/relationships/hyperlink" Target="https://www.ancestry.co.uk/discoveryui-matches/list/8955cf51-8070-4a51-8674-b7f01b347aed?searchsurname=miller" TargetMode="External"/><Relationship Id="rId93" Type="http://schemas.openxmlformats.org/officeDocument/2006/relationships/hyperlink" Target="https://www.ancestry.co.uk/discoveryui-matches/list/8955cf51-8070-4a51-8674-b7f01b347aed?searchsurname=singleton" TargetMode="External"/><Relationship Id="rId98" Type="http://schemas.openxmlformats.org/officeDocument/2006/relationships/hyperlink" Target="https://www.ancestry.co.uk/discoveryui-matches/list/50a7c5ef-9e94-44be-a86a-5736956a97f2?sortby=date&amp;searchsurname=spencer" TargetMode="External"/><Relationship Id="rId121" Type="http://schemas.openxmlformats.org/officeDocument/2006/relationships/printerSettings" Target="../printerSettings/printerSettings1.bin"/><Relationship Id="rId3" Type="http://schemas.openxmlformats.org/officeDocument/2006/relationships/hyperlink" Target="https://www.ancestry.co.uk/discoveryui-matches/list/8955cf51-8070-4a51-8674-b7f01b347aed?searchsurname=argent" TargetMode="External"/><Relationship Id="rId25" Type="http://schemas.openxmlformats.org/officeDocument/2006/relationships/hyperlink" Target="https://www.ancestry.co.uk/discoveryui-matches/list/8955cf51-8070-4a51-8674-b7f01b347aed?searchsurname=dilly" TargetMode="External"/><Relationship Id="rId46" Type="http://schemas.openxmlformats.org/officeDocument/2006/relationships/hyperlink" Target="https://www.ancestry.co.uk/discoveryui-matches/list/50a7c5ef-9e94-44be-a86a-5736956a97f2?sortby=date&amp;searchsurname=greig" TargetMode="External"/><Relationship Id="rId67" Type="http://schemas.openxmlformats.org/officeDocument/2006/relationships/hyperlink" Target="https://www.ancestry.co.uk/discoveryui-matches/list/8955cf51-8070-4a51-8674-b7f01b347aed?searchsurname=millar" TargetMode="External"/><Relationship Id="rId116" Type="http://schemas.openxmlformats.org/officeDocument/2006/relationships/hyperlink" Target="https://www.ancestry.co.uk/discoveryui-matches/list/8955cf51-8070-4a51-8674-b7f01b347aed?searchsurname=woods" TargetMode="External"/><Relationship Id="rId20" Type="http://schemas.openxmlformats.org/officeDocument/2006/relationships/hyperlink" Target="https://www.ancestry.co.uk/discoveryui-matches/list/8955cf51-8070-4a51-8674-b7f01b347aed?searchsurname=capon" TargetMode="External"/><Relationship Id="rId41" Type="http://schemas.openxmlformats.org/officeDocument/2006/relationships/hyperlink" Target="https://www.ancestry.co.uk/discoveryui-matches/list/8955cf51-8070-4a51-8674-b7f01b347aed?searchsurname=gordon" TargetMode="External"/><Relationship Id="rId62" Type="http://schemas.openxmlformats.org/officeDocument/2006/relationships/hyperlink" Target="https://www.ancestry.co.uk/discoveryui-matches/list/8955cf51-8070-4a51-8674-b7f01b347aed?searchsurname=lewis" TargetMode="External"/><Relationship Id="rId83" Type="http://schemas.openxmlformats.org/officeDocument/2006/relationships/hyperlink" Target="https://www.ancestry.co.uk/discoveryui-matches/list/50a7c5ef-9e94-44be-a86a-5736956a97f2?sortby=date&amp;searchsurname=pavett" TargetMode="External"/><Relationship Id="rId88" Type="http://schemas.openxmlformats.org/officeDocument/2006/relationships/hyperlink" Target="https://www.ancestry.co.uk/discoveryui-matches/list/8955cf51-8070-4a51-8674-b7f01b347aed?searchsurname=rush" TargetMode="External"/><Relationship Id="rId111" Type="http://schemas.openxmlformats.org/officeDocument/2006/relationships/hyperlink" Target="https://www.ancestry.co.uk/discoveryui-matches/list/50a7c5ef-9e94-44be-a86a-5736956a97f2?sortby=date&amp;searchsurname=white" TargetMode="External"/><Relationship Id="rId15" Type="http://schemas.openxmlformats.org/officeDocument/2006/relationships/hyperlink" Target="https://www.ancestry.co.uk/discoveryui-matches/list/50a7c5ef-9e94-44be-a86a-5736956a97f2?sortby=date&amp;searchsurname=bowers" TargetMode="External"/><Relationship Id="rId36" Type="http://schemas.openxmlformats.org/officeDocument/2006/relationships/hyperlink" Target="https://www.ancestry.co.uk/discoveryui-matches/list/8955cf51-8070-4a51-8674-b7f01b347aed?searchsurname=fergusson" TargetMode="External"/><Relationship Id="rId57" Type="http://schemas.openxmlformats.org/officeDocument/2006/relationships/hyperlink" Target="https://www.ancestry.co.uk/discoveryui-matches/list/8955cf51-8070-4a51-8674-b7f01b347aed?searchsurname=jones" TargetMode="External"/><Relationship Id="rId106" Type="http://schemas.openxmlformats.org/officeDocument/2006/relationships/hyperlink" Target="https://www.ancestry.co.uk/discoveryui-matches/list/50a7c5ef-9e94-44be-a86a-5736956a97f2?sortby=date&amp;searchsurname=trueman" TargetMode="External"/><Relationship Id="rId10" Type="http://schemas.openxmlformats.org/officeDocument/2006/relationships/hyperlink" Target="https://www.ancestry.co.uk/discoveryui-matches/list/50a7c5ef-9e94-44be-a86a-5736956a97f2?sortby=date&amp;searchsurname=beavis" TargetMode="External"/><Relationship Id="rId31" Type="http://schemas.openxmlformats.org/officeDocument/2006/relationships/hyperlink" Target="https://www.ancestry.co.uk/discoveryui-matches/list/50a7c5ef-9e94-44be-a86a-5736956a97f2?sortby=date&amp;searchsurname=elderfield" TargetMode="External"/><Relationship Id="rId52" Type="http://schemas.openxmlformats.org/officeDocument/2006/relationships/hyperlink" Target="https://www.ancestry.co.uk/discoveryui-matches/list/8955cf51-8070-4a51-8674-b7f01b347aed?searchsurname=howard" TargetMode="External"/><Relationship Id="rId73" Type="http://schemas.openxmlformats.org/officeDocument/2006/relationships/hyperlink" Target="https://www.ancestry.co.uk/discoveryui-matches/list/8955cf51-8070-4a51-8674-b7f01b347aed?searchsurname=munden" TargetMode="External"/><Relationship Id="rId78" Type="http://schemas.openxmlformats.org/officeDocument/2006/relationships/hyperlink" Target="https://www.ancestry.co.uk/discoveryui-matches/list/50a7c5ef-9e94-44be-a86a-5736956a97f2?sortby=date&amp;searchsurname=nichols" TargetMode="External"/><Relationship Id="rId94" Type="http://schemas.openxmlformats.org/officeDocument/2006/relationships/hyperlink" Target="https://www.ancestry.co.uk/discoveryui-matches/list/50a7c5ef-9e94-44be-a86a-5736956a97f2?sortby=date&amp;searchsurname=singleton" TargetMode="External"/><Relationship Id="rId99" Type="http://schemas.openxmlformats.org/officeDocument/2006/relationships/hyperlink" Target="https://www.ancestry.co.uk/discoveryui-matches/list/50a7c5ef-9e94-44be-a86a-5736956a97f2?sortby=date&amp;searchsurname=styleman" TargetMode="External"/><Relationship Id="rId101" Type="http://schemas.openxmlformats.org/officeDocument/2006/relationships/hyperlink" Target="https://www.ancestry.co.uk/discoveryui-matches/list/8955cf51-8070-4a51-8674-b7f01b347aed?searchsurname=town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ncestry.co.uk/family-tree/tree/163868056/family?cfpid=342132992964" TargetMode="External"/><Relationship Id="rId3" Type="http://schemas.openxmlformats.org/officeDocument/2006/relationships/hyperlink" Target="https://www.ancestry.co.uk/discoveryui-matches/compare/50a7c5ef-9e94-44be-a86a-5736956a97f2/with/f125a03d-659f-43ab-9880-e20ae8e79206" TargetMode="External"/><Relationship Id="rId7" Type="http://schemas.openxmlformats.org/officeDocument/2006/relationships/hyperlink" Target="https://www.ancestry.co.uk/family-tree/tree/163868056/family/pedigree?cfpid=342570353615" TargetMode="External"/><Relationship Id="rId2" Type="http://schemas.openxmlformats.org/officeDocument/2006/relationships/hyperlink" Target="https://www.ancestry.co.uk/family-tree/person/tree/163868056/person/342132992970/facts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www.ancestry.co.uk/family-tree/person/tree/163868056/person/342145713486/story" TargetMode="External"/><Relationship Id="rId5" Type="http://schemas.openxmlformats.org/officeDocument/2006/relationships/hyperlink" Target="https://www.ancestry.co.uk/family-tree/person/tree/163868056/person/342145713485/story" TargetMode="External"/><Relationship Id="rId4" Type="http://schemas.openxmlformats.org/officeDocument/2006/relationships/hyperlink" Target="https://dnapainter.com/tools/sharedcmv4/11?fbclid=IwAR3wqfKWVRq1DI_x4i7OjYx5ayGhdwQu5Tj-9K3u_CVvBxgEWwX7fHipJPs" TargetMode="External"/><Relationship Id="rId9" Type="http://schemas.openxmlformats.org/officeDocument/2006/relationships/hyperlink" Target="https://dnapainter.com/tools/sharedcmv4/18?fbclid=IwAR3wqfKWVRq1DI_x4i7OjYx5ayGhdwQu5Tj-9K3u_CVvBxgEWwX7fHipJP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ncestry.co.uk/family-tree/person/tree/163868056/person/342133415920/facts" TargetMode="External"/><Relationship Id="rId13" Type="http://schemas.openxmlformats.org/officeDocument/2006/relationships/hyperlink" Target="https://dnapainter.com/tools/sharedcmv4/358?fbclid=IwAR3wqfKWVRq1DI_x4i7OjYx5ayGhdwQu5Tj-9K3u_CVvBxgEWwX7fHipJPs" TargetMode="External"/><Relationship Id="rId18" Type="http://schemas.openxmlformats.org/officeDocument/2006/relationships/hyperlink" Target="https://www.ancestry.co.uk/discoveryui-matches/compare/50a7c5ef-9e94-44be-a86a-5736956a97f2/with/66427da7-bffd-4f70-b33f-cd5ea241157e" TargetMode="External"/><Relationship Id="rId3" Type="http://schemas.openxmlformats.org/officeDocument/2006/relationships/hyperlink" Target="https://www.ancestry.co.uk/family-tree/person/tree/163868056/person/342132992964/facts" TargetMode="External"/><Relationship Id="rId21" Type="http://schemas.openxmlformats.org/officeDocument/2006/relationships/printerSettings" Target="../printerSettings/printerSettings2.bin"/><Relationship Id="rId7" Type="http://schemas.openxmlformats.org/officeDocument/2006/relationships/hyperlink" Target="https://www.ancestry.co.uk/family-tree/person/tree/163868056/person/342133415920/facts" TargetMode="External"/><Relationship Id="rId12" Type="http://schemas.openxmlformats.org/officeDocument/2006/relationships/hyperlink" Target="https://www.ancestry.co.uk/family-tree/person/tree/163868056/person/342362154416/hints" TargetMode="External"/><Relationship Id="rId17" Type="http://schemas.openxmlformats.org/officeDocument/2006/relationships/hyperlink" Target="https://www.ancestry.co.uk/family-tree/person/tree/163868056/person/342133415920/facts" TargetMode="External"/><Relationship Id="rId2" Type="http://schemas.openxmlformats.org/officeDocument/2006/relationships/hyperlink" Target="https://www.ancestry.co.uk/family-tree/person/tree/163868056/person/342132992964/facts" TargetMode="External"/><Relationship Id="rId16" Type="http://schemas.openxmlformats.org/officeDocument/2006/relationships/hyperlink" Target="https://www.ancestry.co.uk/family-tree/person/tree/163868056/person/342133415917/facts" TargetMode="External"/><Relationship Id="rId20" Type="http://schemas.openxmlformats.org/officeDocument/2006/relationships/hyperlink" Target="https://www.ancestry.co.uk/family-tree/tree/163868056/family/pedigree?cfpid=342304872352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www.ancestry.co.uk/family-tree/person/tree/163868056/person/342133415917/facts" TargetMode="External"/><Relationship Id="rId11" Type="http://schemas.openxmlformats.org/officeDocument/2006/relationships/hyperlink" Target="https://www.ancestry.co.uk/family-tree/tree/163868056/family?cfpid=342362154416" TargetMode="External"/><Relationship Id="rId5" Type="http://schemas.openxmlformats.org/officeDocument/2006/relationships/hyperlink" Target="https://www.ancestry.co.uk/family-tree/person/tree/163868056/person/342133415917/facts" TargetMode="External"/><Relationship Id="rId15" Type="http://schemas.openxmlformats.org/officeDocument/2006/relationships/hyperlink" Target="https://www.ancestry.co.uk/family-tree/person/tree/163868056/person/342132992964/facts" TargetMode="External"/><Relationship Id="rId10" Type="http://schemas.openxmlformats.org/officeDocument/2006/relationships/hyperlink" Target="https://www.ancestry.co.uk/family-tree/tree/163868056/family?cfpid=342304872413" TargetMode="External"/><Relationship Id="rId19" Type="http://schemas.openxmlformats.org/officeDocument/2006/relationships/hyperlink" Target="https://dnapainter.com/tools/sharedcmv4/358?fbclid=IwAR3wqfKWVRq1DI_x4i7OjYx5ayGhdwQu5Tj-9K3u_CVvBxgEWwX7fHipJPs" TargetMode="External"/><Relationship Id="rId4" Type="http://schemas.openxmlformats.org/officeDocument/2006/relationships/hyperlink" Target="https://www.ancestry.co.uk/family-tree/person/tree/163868056/person/342132992970/facts" TargetMode="External"/><Relationship Id="rId9" Type="http://schemas.openxmlformats.org/officeDocument/2006/relationships/hyperlink" Target="https://www.ancestry.co.uk/discoveryui-matches/compare/50a7c5ef-9e94-44be-a86a-5736956a97f2/with/56b3f721-1b3f-4681-947c-a993f430ab20" TargetMode="External"/><Relationship Id="rId14" Type="http://schemas.openxmlformats.org/officeDocument/2006/relationships/hyperlink" Target="https://dnapainter.com/tools/sharedcmv4/358?fbclid=IwAR3wqfKWVRq1DI_x4i7OjYx5ayGhdwQu5Tj-9K3u_CVvBxgEWwX7fHipJPs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ncestry.co.uk/family-tree/tree/163868056/family/pedigree?cfpid=342513201135" TargetMode="External"/><Relationship Id="rId13" Type="http://schemas.openxmlformats.org/officeDocument/2006/relationships/hyperlink" Target="https://www.ancestry.co.uk/family-tree/person/tree/163868056/person/342420167243/facts" TargetMode="External"/><Relationship Id="rId18" Type="http://schemas.openxmlformats.org/officeDocument/2006/relationships/hyperlink" Target="https://dnapainter.com/tools/sharedcmv4/10?fbclid=IwAR3wqfKWVRq1DI_x4i7OjYx5ayGhdwQu5Tj-9K3u_CVvBxgEWwX7fHipJPs" TargetMode="External"/><Relationship Id="rId3" Type="http://schemas.openxmlformats.org/officeDocument/2006/relationships/hyperlink" Target="https://www.ancestry.co.uk/family-tree/person/tree/163868056/person/342132992970/facts" TargetMode="External"/><Relationship Id="rId7" Type="http://schemas.openxmlformats.org/officeDocument/2006/relationships/hyperlink" Target="https://dnapainter.com/tools/sharedcmv4/14?fbclid=IwAR3wqfKWVRq1DI_x4i7OjYx5ayGhdwQu5Tj-9K3u_CVvBxgEWwX7fHipJPs" TargetMode="External"/><Relationship Id="rId12" Type="http://schemas.openxmlformats.org/officeDocument/2006/relationships/hyperlink" Target="https://www.ancestry.co.uk/family-tree/person/tree/163868056/person/342132992964/facts" TargetMode="External"/><Relationship Id="rId17" Type="http://schemas.openxmlformats.org/officeDocument/2006/relationships/hyperlink" Target="https://www.ancestry.co.uk/discoveryui-matches/compare/50a7c5ef-9e94-44be-a86a-5736956a97f2/with/6e803cf9-a6a0-4ab0-9ac8-ce6e14e6f3fd" TargetMode="External"/><Relationship Id="rId2" Type="http://schemas.openxmlformats.org/officeDocument/2006/relationships/hyperlink" Target="https://www.ancestry.co.uk/family-tree/person/tree/163868056/person/342132992964/facts" TargetMode="External"/><Relationship Id="rId16" Type="http://schemas.openxmlformats.org/officeDocument/2006/relationships/hyperlink" Target="https://www.ancestry.co.uk/family-tree/person/tree/163868056/person/342462241816/facts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www.ancestry.co.uk/discoveryui-matches/compare/50a7c5ef-9e94-44be-a86a-5736956a97f2/with/db81aecd-1d7e-4777-95ee-978f8518f514" TargetMode="External"/><Relationship Id="rId11" Type="http://schemas.openxmlformats.org/officeDocument/2006/relationships/hyperlink" Target="https://www.ancestry.co.uk/family-tree/tree/163868056/family/pedigree?cfpid=342556216899" TargetMode="External"/><Relationship Id="rId5" Type="http://schemas.openxmlformats.org/officeDocument/2006/relationships/hyperlink" Target="https://www.ancestry.co.uk/family-tree/person/tree/163868056/person/342462241816/facts" TargetMode="External"/><Relationship Id="rId15" Type="http://schemas.openxmlformats.org/officeDocument/2006/relationships/hyperlink" Target="https://www.ancestry.co.uk/family-tree/person/tree/163868056/person/342420166767/facts" TargetMode="External"/><Relationship Id="rId10" Type="http://schemas.openxmlformats.org/officeDocument/2006/relationships/hyperlink" Target="https://www.ancestry.co.uk/discoveryui-matches/compare/50a7c5ef-9e94-44be-a86a-5736956a97f2/with/7c2c52fa-85cc-4fba-9597-e04252157401" TargetMode="External"/><Relationship Id="rId19" Type="http://schemas.openxmlformats.org/officeDocument/2006/relationships/hyperlink" Target="https://www.ancestry.co.uk/family-tree/tree/163868056/family/pedigree?cfpid=342637348580" TargetMode="External"/><Relationship Id="rId4" Type="http://schemas.openxmlformats.org/officeDocument/2006/relationships/hyperlink" Target="https://www.ancestry.co.uk/family-tree/person/tree/163868056/person/342420166767/facts" TargetMode="External"/><Relationship Id="rId9" Type="http://schemas.openxmlformats.org/officeDocument/2006/relationships/hyperlink" Target="https://www.ancestry.co.uk/family-tree/person/tree/163868056/person/342420166767/facts" TargetMode="External"/><Relationship Id="rId14" Type="http://schemas.openxmlformats.org/officeDocument/2006/relationships/hyperlink" Target="https://www.ancestry.co.uk/family-tree/person/tree/163868056/person/342132992964/facts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ncestry.co.uk/discoveryui-matches/compare/50a7c5ef-9e94-44be-a86a-5736956a97f2/with/4c97093c-4425-452d-89e6-e71529b6a62b" TargetMode="External"/><Relationship Id="rId21" Type="http://schemas.openxmlformats.org/officeDocument/2006/relationships/hyperlink" Target="https://www.ancestry.co.uk/family-tree/person/tree/163868056/person/342132993170/facts" TargetMode="External"/><Relationship Id="rId42" Type="http://schemas.openxmlformats.org/officeDocument/2006/relationships/hyperlink" Target="https://www.ancestry.co.uk/family-tree/tree/163868056/family?cfpid=342171131762" TargetMode="External"/><Relationship Id="rId63" Type="http://schemas.openxmlformats.org/officeDocument/2006/relationships/hyperlink" Target="https://dnapainter.com/tools/sharedcmv4/63?fbclid=IwAR3wqfKWVRq1DI_x4i7OjYx5ayGhdwQu5Tj-9K3u_CVvBxgEWwX7fHipJPs" TargetMode="External"/><Relationship Id="rId84" Type="http://schemas.openxmlformats.org/officeDocument/2006/relationships/hyperlink" Target="https://dnapainter.com/tools/sharedcmv4/22?fbclid=IwAR3wqfKWVRq1DI_x4i7OjYx5ayGhdwQu5Tj-9K3u_CVvBxgEWwX7fHipJPs" TargetMode="External"/><Relationship Id="rId138" Type="http://schemas.openxmlformats.org/officeDocument/2006/relationships/hyperlink" Target="https://www.ancestry.co.uk/family-tree/person/tree/163868056/person/342132993170/facts" TargetMode="External"/><Relationship Id="rId159" Type="http://schemas.openxmlformats.org/officeDocument/2006/relationships/hyperlink" Target="https://www.ancestry.co.uk/family-tree/person/tree/163868056/person/342132992964/facts" TargetMode="External"/><Relationship Id="rId170" Type="http://schemas.openxmlformats.org/officeDocument/2006/relationships/hyperlink" Target="https://www.ancestry.co.uk/family-tree/person/tree/163868056/person/342144496772/facts" TargetMode="External"/><Relationship Id="rId191" Type="http://schemas.openxmlformats.org/officeDocument/2006/relationships/hyperlink" Target="https://www.ancestry.co.uk/discoveryui-matches/compare/50a7c5ef-9e94-44be-a86a-5736956a97f2/with/88369720-cca7-4500-bebc-294c02c355b2" TargetMode="External"/><Relationship Id="rId205" Type="http://schemas.openxmlformats.org/officeDocument/2006/relationships/hyperlink" Target="https://www.ancestry.co.uk/family-tree/tree/163868056/family?cfpid=342633984099" TargetMode="External"/><Relationship Id="rId226" Type="http://schemas.openxmlformats.org/officeDocument/2006/relationships/hyperlink" Target="https://www.ancestry.co.uk/family-tree/person/tree/163868056/person/342144496772/facts" TargetMode="External"/><Relationship Id="rId107" Type="http://schemas.openxmlformats.org/officeDocument/2006/relationships/hyperlink" Target="https://www.ancestry.co.uk/family-tree/tree/163868056/family/pedigree?cfpid=342566340593" TargetMode="External"/><Relationship Id="rId11" Type="http://schemas.openxmlformats.org/officeDocument/2006/relationships/hyperlink" Target="https://www.ancestry.co.uk/family-tree/person/tree/163868056/person/342132992964/facts" TargetMode="External"/><Relationship Id="rId32" Type="http://schemas.openxmlformats.org/officeDocument/2006/relationships/hyperlink" Target="https://www.ancestry.co.uk/family-tree/person/tree/163868056/person/342132993171/facts" TargetMode="External"/><Relationship Id="rId53" Type="http://schemas.openxmlformats.org/officeDocument/2006/relationships/hyperlink" Target="https://www.ancestry.co.uk/discoveryui-matches/compare/50A7C5EF-9E94-44BE-A86A-5736956A97F2/with/0524A1D3-FF71-4462-B865-D333D3768570" TargetMode="External"/><Relationship Id="rId74" Type="http://schemas.openxmlformats.org/officeDocument/2006/relationships/hyperlink" Target="https://www.ancestry.co.uk/family-tree/person/tree/163868056/person/342132993681/facts" TargetMode="External"/><Relationship Id="rId128" Type="http://schemas.openxmlformats.org/officeDocument/2006/relationships/hyperlink" Target="https://www.ancestry.co.uk/discoveryui-matches/compare/50a7c5ef-9e94-44be-a86a-5736956a97f2/with/2b85c851-4fe5-4995-84e5-3f7a5b7c3cd8" TargetMode="External"/><Relationship Id="rId149" Type="http://schemas.openxmlformats.org/officeDocument/2006/relationships/hyperlink" Target="https://www.ancestry.co.uk/family-tree/tree/163868056/family?cfpid=342572700868" TargetMode="External"/><Relationship Id="rId5" Type="http://schemas.openxmlformats.org/officeDocument/2006/relationships/hyperlink" Target="https://www.ancestry.co.uk/family-tree/person/tree/163868056/person/342132992964/facts" TargetMode="External"/><Relationship Id="rId95" Type="http://schemas.openxmlformats.org/officeDocument/2006/relationships/hyperlink" Target="https://dnapainter.com/tools/sharedcmv4/10?fbclid=IwAR3wqfKWVRq1DI_x4i7OjYx5ayGhdwQu5Tj-9K3u_CVvBxgEWwX7fHipJPs" TargetMode="External"/><Relationship Id="rId160" Type="http://schemas.openxmlformats.org/officeDocument/2006/relationships/hyperlink" Target="https://www.ancestry.co.uk/discoveryui-matches/compare/50a7c5ef-9e94-44be-a86a-5736956a97f2/with/6fff0def-1234-4a00-8ebf-e093537beb77" TargetMode="External"/><Relationship Id="rId181" Type="http://schemas.openxmlformats.org/officeDocument/2006/relationships/hyperlink" Target="https://dnapainter.com/tools/sharedcmv4/27?fbclid=IwAR3wqfKWVRq1DI_x4i7OjYx5ayGhdwQu5Tj-9K3u_CVvBxgEWwX7fHipJPs" TargetMode="External"/><Relationship Id="rId216" Type="http://schemas.openxmlformats.org/officeDocument/2006/relationships/hyperlink" Target="https://dnapainter.com/tools/sharedcmv4/28?fbclid=IwAR3wqfKWVRq1DI_x4i7OjYx5ayGhdwQu5Tj-9K3u_CVvBxgEWwX7fHipJPs" TargetMode="External"/><Relationship Id="rId22" Type="http://schemas.openxmlformats.org/officeDocument/2006/relationships/hyperlink" Target="https://www.ancestry.co.uk/family-tree/person/tree/163868056/person/342132993170/facts" TargetMode="External"/><Relationship Id="rId43" Type="http://schemas.openxmlformats.org/officeDocument/2006/relationships/hyperlink" Target="https://www.ancestry.co.uk/family-tree/tree/163868056/family?cfpid=342424284222" TargetMode="External"/><Relationship Id="rId64" Type="http://schemas.openxmlformats.org/officeDocument/2006/relationships/hyperlink" Target="https://dnapainter.com/tools/sharedcmv4/35?fbclid=IwAR3wqfKWVRq1DI_x4i7OjYx5ayGhdwQu5Tj-9K3u_CVvBxgEWwX7fHipJPs" TargetMode="External"/><Relationship Id="rId118" Type="http://schemas.openxmlformats.org/officeDocument/2006/relationships/hyperlink" Target="https://dnapainter.com/tools/sharedcmv4/11?fbclid=IwAR3wqfKWVRq1DI_x4i7OjYx5ayGhdwQu5Tj-9K3u_CVvBxgEWwX7fHipJPs" TargetMode="External"/><Relationship Id="rId139" Type="http://schemas.openxmlformats.org/officeDocument/2006/relationships/hyperlink" Target="https://www.ancestry.co.uk/family-tree/person/tree/163868056/person/342132993171/facts" TargetMode="External"/><Relationship Id="rId85" Type="http://schemas.openxmlformats.org/officeDocument/2006/relationships/hyperlink" Target="https://www.ancestry.co.uk/family-tree/tree/163868056/family/pedigree?cfpid=342513199799" TargetMode="External"/><Relationship Id="rId150" Type="http://schemas.openxmlformats.org/officeDocument/2006/relationships/hyperlink" Target="https://www.ancestry.co.uk/family-tree/person/tree/163868056/person/342132992964/facts" TargetMode="External"/><Relationship Id="rId171" Type="http://schemas.openxmlformats.org/officeDocument/2006/relationships/hyperlink" Target="https://www.ancestry.co.uk/discoveryui-matches/compare/8955CF51-8070-4A51-8674-B7F01B347AED/with/0DD98578-E219-4A59-9FE5-69BB27C36875/matchesofmatches" TargetMode="External"/><Relationship Id="rId192" Type="http://schemas.openxmlformats.org/officeDocument/2006/relationships/hyperlink" Target="https://www.ancestry.co.uk/family-tree/tree/163868056/family/pedigree?cfpid=342607770899" TargetMode="External"/><Relationship Id="rId206" Type="http://schemas.openxmlformats.org/officeDocument/2006/relationships/hyperlink" Target="https://www.ancestry.co.uk/discoveryui-matches/compare/50a7c5ef-9e94-44be-a86a-5736956a97f2/with/4b320cbf-2a54-4e0d-887b-38ebbe1c85d2" TargetMode="External"/><Relationship Id="rId227" Type="http://schemas.openxmlformats.org/officeDocument/2006/relationships/hyperlink" Target="https://www.ancestry.co.uk/discoveryui-matches/compare/8955cf51-8070-4a51-8674-b7f01b347aed/with/b95d7bba-bb64-4e48-bf79-f9d0afd953ac" TargetMode="External"/><Relationship Id="rId12" Type="http://schemas.openxmlformats.org/officeDocument/2006/relationships/hyperlink" Target="https://www.ancestry.co.uk/family-tree/person/tree/163868056/person/342132992964/facts" TargetMode="External"/><Relationship Id="rId33" Type="http://schemas.openxmlformats.org/officeDocument/2006/relationships/hyperlink" Target="https://www.ancestry.co.uk/family-tree/person/tree/163868056/person/342132993171/facts" TargetMode="External"/><Relationship Id="rId108" Type="http://schemas.openxmlformats.org/officeDocument/2006/relationships/hyperlink" Target="https://www.ancestry.co.uk/discoveryui-matches/compare/50a7c5ef-9e94-44be-a86a-5736956a97f2/with/ddb845b7-e730-4b9f-b47a-3b23fdda85ea" TargetMode="External"/><Relationship Id="rId129" Type="http://schemas.openxmlformats.org/officeDocument/2006/relationships/hyperlink" Target="https://dnapainter.com/tools/sharedcmv4/10?fbclid=IwAR3wqfKWVRq1DI_x4i7OjYx5ayGhdwQu5Tj-9K3u_CVvBxgEWwX7fHipJPs" TargetMode="External"/><Relationship Id="rId54" Type="http://schemas.openxmlformats.org/officeDocument/2006/relationships/hyperlink" Target="https://www.ancestry.co.uk/discoveryui-matches/compare/50A7C5EF-9E94-44BE-A86A-5736956A97F2/with/5B083B83-245F-491A-BB4E-4DD71D0C2602" TargetMode="External"/><Relationship Id="rId75" Type="http://schemas.openxmlformats.org/officeDocument/2006/relationships/hyperlink" Target="https://www.ancestry.co.uk/family-tree/person/tree/163868056/person/342132993170/facts" TargetMode="External"/><Relationship Id="rId96" Type="http://schemas.openxmlformats.org/officeDocument/2006/relationships/hyperlink" Target="https://dnapainter.com/tools/sharedcmv4/10?fbclid=IwAR3wqfKWVRq1DI_x4i7OjYx5ayGhdwQu5Tj-9K3u_CVvBxgEWwX7fHipJPs" TargetMode="External"/><Relationship Id="rId140" Type="http://schemas.openxmlformats.org/officeDocument/2006/relationships/hyperlink" Target="https://www.ancestry.co.uk/discoveryui-matches/compare/50A7C5EF-9E94-44BE-A86A-5736956A97F2/with/0524A1D3-FF71-4462-B865-D333D3768570" TargetMode="External"/><Relationship Id="rId161" Type="http://schemas.openxmlformats.org/officeDocument/2006/relationships/hyperlink" Target="https://www.ancestry.co.uk/family-tree/tree/163868056/family/pedigree?cfpid=342593146088" TargetMode="External"/><Relationship Id="rId182" Type="http://schemas.openxmlformats.org/officeDocument/2006/relationships/hyperlink" Target="https://www.ancestry.co.uk/family-tree/person/tree/163868056/person/342132992964/facts" TargetMode="External"/><Relationship Id="rId217" Type="http://schemas.openxmlformats.org/officeDocument/2006/relationships/hyperlink" Target="https://www.ancestry.co.uk/family-tree/tree/163868056/family/pedigree?cfpid=342635419440" TargetMode="External"/><Relationship Id="rId6" Type="http://schemas.openxmlformats.org/officeDocument/2006/relationships/hyperlink" Target="https://www.ancestry.co.uk/family-tree/person/tree/163868056/person/342132992964/facts" TargetMode="External"/><Relationship Id="rId23" Type="http://schemas.openxmlformats.org/officeDocument/2006/relationships/hyperlink" Target="https://www.ancestry.co.uk/family-tree/person/tree/163868056/person/342132993170/facts" TargetMode="External"/><Relationship Id="rId119" Type="http://schemas.openxmlformats.org/officeDocument/2006/relationships/hyperlink" Target="https://www.ancestry.co.uk/family-tree/person/tree/163868056/person/342568561460/facts" TargetMode="External"/><Relationship Id="rId44" Type="http://schemas.openxmlformats.org/officeDocument/2006/relationships/hyperlink" Target="https://www.ancestry.co.uk/family-tree/tree/163868056/family?cfpid=342159544477" TargetMode="External"/><Relationship Id="rId65" Type="http://schemas.openxmlformats.org/officeDocument/2006/relationships/hyperlink" Target="https://dnapainter.com/tools/sharedcmv4/47?fbclid=IwAR3wqfKWVRq1DI_x4i7OjYx5ayGhdwQu5Tj-9K3u_CVvBxgEWwX7fHipJPs" TargetMode="External"/><Relationship Id="rId86" Type="http://schemas.openxmlformats.org/officeDocument/2006/relationships/hyperlink" Target="https://www.ancestry.co.uk/family-tree/person/tree/163868056/person/342132993681/facts" TargetMode="External"/><Relationship Id="rId130" Type="http://schemas.openxmlformats.org/officeDocument/2006/relationships/hyperlink" Target="https://www.ancestry.co.uk/family-tree/person/tree/163868056/person/342568561458/facts" TargetMode="External"/><Relationship Id="rId151" Type="http://schemas.openxmlformats.org/officeDocument/2006/relationships/hyperlink" Target="https://www.ancestry.co.uk/family-tree/person/tree/163868056/person/342144496771/facts" TargetMode="External"/><Relationship Id="rId172" Type="http://schemas.openxmlformats.org/officeDocument/2006/relationships/hyperlink" Target="https://dnapainter.com/tools/sharedcmv4/15?fbclid=IwAR3wqfKWVRq1DI_x4i7OjYx5ayGhdwQu5Tj-9K3u_CVvBxgEWwX7fHipJPs" TargetMode="External"/><Relationship Id="rId193" Type="http://schemas.openxmlformats.org/officeDocument/2006/relationships/hyperlink" Target="https://dnapainter.com/tools/sharedcmv4/8?fbclid=IwAR3wqfKWVRq1DI_x4i7OjYx5ayGhdwQu5Tj-9K3u_CVvBxgEWwX7fHipJPs" TargetMode="External"/><Relationship Id="rId207" Type="http://schemas.openxmlformats.org/officeDocument/2006/relationships/hyperlink" Target="https://www.ancestry.co.uk/family-tree/person/tree/163868056/person/342132992964/facts" TargetMode="External"/><Relationship Id="rId228" Type="http://schemas.openxmlformats.org/officeDocument/2006/relationships/hyperlink" Target="https://dnapainter.com/tools/sharedcmv4/17?fbclid=IwAR3wqfKWVRq1DI_x4i7OjYx5ayGhdwQu5Tj-9K3u_CVvBxgEWwX7fHipJPs" TargetMode="External"/><Relationship Id="rId13" Type="http://schemas.openxmlformats.org/officeDocument/2006/relationships/hyperlink" Target="https://www.ancestry.co.uk/family-tree/person/tree/163868056/person/342132992964/facts" TargetMode="External"/><Relationship Id="rId109" Type="http://schemas.openxmlformats.org/officeDocument/2006/relationships/hyperlink" Target="https://dnapainter.com/tools/sharedcmv4/32?fbclid=IwAR3wqfKWVRq1DI_x4i7OjYx5ayGhdwQu5Tj-9K3u_CVvBxgEWwX7fHipJPs" TargetMode="External"/><Relationship Id="rId34" Type="http://schemas.openxmlformats.org/officeDocument/2006/relationships/hyperlink" Target="https://www.ancestry.co.uk/family-tree/person/tree/163868056/person/342144496771/facts" TargetMode="External"/><Relationship Id="rId55" Type="http://schemas.openxmlformats.org/officeDocument/2006/relationships/hyperlink" Target="https://www.ancestry.co.uk/discoveryui-matches/compare/50A7C5EF-9E94-44BE-A86A-5736956A97F2/with/341E8326-3A4E-46D7-ACE0-8F959717F45D" TargetMode="External"/><Relationship Id="rId76" Type="http://schemas.openxmlformats.org/officeDocument/2006/relationships/hyperlink" Target="https://www.ancestry.co.uk/family-tree/person/tree/163868056/person/342132993171/facts" TargetMode="External"/><Relationship Id="rId97" Type="http://schemas.openxmlformats.org/officeDocument/2006/relationships/hyperlink" Target="https://www.ancestry.co.uk/family-tree/person/tree/163868056/person/342132992964/facts" TargetMode="External"/><Relationship Id="rId120" Type="http://schemas.openxmlformats.org/officeDocument/2006/relationships/hyperlink" Target="https://www.ancestry.co.uk/family-tree/person/tree/163868056/person/342568561458/facts" TargetMode="External"/><Relationship Id="rId141" Type="http://schemas.openxmlformats.org/officeDocument/2006/relationships/hyperlink" Target="https://dnapainter.com/tools/sharedcmv4/32?fbclid=IwAR3wqfKWVRq1DI_x4i7OjYx5ayGhdwQu5Tj-9K3u_CVvBxgEWwX7fHipJPs" TargetMode="External"/><Relationship Id="rId7" Type="http://schemas.openxmlformats.org/officeDocument/2006/relationships/hyperlink" Target="https://www.ancestry.co.uk/family-tree/person/tree/163868056/person/342132992964/facts" TargetMode="External"/><Relationship Id="rId162" Type="http://schemas.openxmlformats.org/officeDocument/2006/relationships/hyperlink" Target="https://www.ancestry.co.uk/family-tree/person/tree/163868056/person/342132992964/facts" TargetMode="External"/><Relationship Id="rId183" Type="http://schemas.openxmlformats.org/officeDocument/2006/relationships/hyperlink" Target="https://www.ancestry.co.uk/family-tree/person/tree/163868056/person/342144496771/facts" TargetMode="External"/><Relationship Id="rId218" Type="http://schemas.openxmlformats.org/officeDocument/2006/relationships/hyperlink" Target="https://www.ancestry.co.uk/family-tree/person/tree/163868056/person/342132992970/facts" TargetMode="External"/><Relationship Id="rId24" Type="http://schemas.openxmlformats.org/officeDocument/2006/relationships/hyperlink" Target="https://www.ancestry.co.uk/family-tree/person/tree/163868056/person/342132993170/facts" TargetMode="External"/><Relationship Id="rId45" Type="http://schemas.openxmlformats.org/officeDocument/2006/relationships/hyperlink" Target="https://www.ancestry.co.uk/family-tree/tree/163868056/family?cfpid=342332433562" TargetMode="External"/><Relationship Id="rId66" Type="http://schemas.openxmlformats.org/officeDocument/2006/relationships/hyperlink" Target="https://dnapainter.com/tools/sharedcmv4/19?fbclid=IwAR3wqfKWVRq1DI_x4i7OjYx5ayGhdwQu5Tj-9K3u_CVvBxgEWwX7fHipJPs" TargetMode="External"/><Relationship Id="rId87" Type="http://schemas.openxmlformats.org/officeDocument/2006/relationships/hyperlink" Target="https://www.ancestry.co.uk/family-tree/person/tree/163868056/person/342144496771/facts" TargetMode="External"/><Relationship Id="rId110" Type="http://schemas.openxmlformats.org/officeDocument/2006/relationships/hyperlink" Target="https://www.ancestry.co.uk/family-tree/person/tree/163868056/person/342132992964/facts" TargetMode="External"/><Relationship Id="rId131" Type="http://schemas.openxmlformats.org/officeDocument/2006/relationships/hyperlink" Target="https://www.ancestry.co.uk/family-tree/person/tree/163868056/person/342568561460/facts" TargetMode="External"/><Relationship Id="rId152" Type="http://schemas.openxmlformats.org/officeDocument/2006/relationships/hyperlink" Target="https://www.ancestry.co.uk/family-tree/person/tree/163868056/person/342144496772/facts" TargetMode="External"/><Relationship Id="rId173" Type="http://schemas.openxmlformats.org/officeDocument/2006/relationships/hyperlink" Target="https://www.ancestry.co.uk/family-tree/tree/163868056/family/pedigree?cfpid=342607126002" TargetMode="External"/><Relationship Id="rId194" Type="http://schemas.openxmlformats.org/officeDocument/2006/relationships/hyperlink" Target="https://www.ancestry.co.uk/family-tree/person/tree/163868056/person/342132992964/facts" TargetMode="External"/><Relationship Id="rId208" Type="http://schemas.openxmlformats.org/officeDocument/2006/relationships/hyperlink" Target="https://www.ancestry.co.uk/family-tree/tree/163868056/family/pedigree?cfpid=342634569880" TargetMode="External"/><Relationship Id="rId229" Type="http://schemas.openxmlformats.org/officeDocument/2006/relationships/hyperlink" Target="https://www.ancestry.co.uk/family-tree/tree/163868056/family/pedigree?cfpid=342635419513" TargetMode="External"/><Relationship Id="rId14" Type="http://schemas.openxmlformats.org/officeDocument/2006/relationships/hyperlink" Target="https://www.ancestry.co.uk/family-tree/person/tree/163868056/person/342132992970/facts" TargetMode="External"/><Relationship Id="rId35" Type="http://schemas.openxmlformats.org/officeDocument/2006/relationships/hyperlink" Target="https://www.ancestry.co.uk/family-tree/person/tree/163868056/person/342144496771/facts" TargetMode="External"/><Relationship Id="rId56" Type="http://schemas.openxmlformats.org/officeDocument/2006/relationships/hyperlink" Target="https://www.ancestry.co.uk/discoveryui-matches/compare/50A7C5EF-9E94-44BE-A86A-5736956A97F2/with/EAC5BBC3-A31C-434E-BD84-0A7D811D9C4F" TargetMode="External"/><Relationship Id="rId77" Type="http://schemas.openxmlformats.org/officeDocument/2006/relationships/hyperlink" Target="https://www.ancestry.co.uk/discoveryui-matches/compare/7f8d61f6-1fa4-47c1-9a03-3889cc97cc0c/with/a1ae5508-5d6f-478e-863e-1c2676bd0394" TargetMode="External"/><Relationship Id="rId100" Type="http://schemas.openxmlformats.org/officeDocument/2006/relationships/hyperlink" Target="https://www.ancestry.co.uk/discoveryui-matches/compare/50a7c5ef-9e94-44be-a86a-5736956a97f2/with/4a683209-7ca0-11ee-b8bb-0e3f96da1e4d" TargetMode="External"/><Relationship Id="rId8" Type="http://schemas.openxmlformats.org/officeDocument/2006/relationships/hyperlink" Target="https://www.ancestry.co.uk/family-tree/person/tree/163868056/person/342132992964/facts" TargetMode="External"/><Relationship Id="rId98" Type="http://schemas.openxmlformats.org/officeDocument/2006/relationships/hyperlink" Target="https://www.ancestry.co.uk/family-tree/person/tree/163868056/person/342144496771/facts" TargetMode="External"/><Relationship Id="rId121" Type="http://schemas.openxmlformats.org/officeDocument/2006/relationships/hyperlink" Target="https://www.ancestry.co.uk/family-tree/person/tree/163868056/person/342132992964/facts" TargetMode="External"/><Relationship Id="rId142" Type="http://schemas.openxmlformats.org/officeDocument/2006/relationships/hyperlink" Target="https://www.ancestry.co.uk/family-tree/tree/163868056/family?cfpid=342578571477" TargetMode="External"/><Relationship Id="rId163" Type="http://schemas.openxmlformats.org/officeDocument/2006/relationships/hyperlink" Target="https://www.ancestry.co.uk/family-tree/person/tree/163868056/person/342132993170/facts" TargetMode="External"/><Relationship Id="rId184" Type="http://schemas.openxmlformats.org/officeDocument/2006/relationships/hyperlink" Target="https://www.ancestry.co.uk/family-tree/person/tree/163868056/person/342144496772/facts" TargetMode="External"/><Relationship Id="rId219" Type="http://schemas.openxmlformats.org/officeDocument/2006/relationships/hyperlink" Target="https://www.ancestry.co.uk/family-tree/person/tree/163868056/person/342144496771/facts" TargetMode="External"/><Relationship Id="rId230" Type="http://schemas.openxmlformats.org/officeDocument/2006/relationships/hyperlink" Target="https://www.ancestry.co.uk/family-tree/person/tree/163868056/person/342132992970/facts" TargetMode="External"/><Relationship Id="rId25" Type="http://schemas.openxmlformats.org/officeDocument/2006/relationships/hyperlink" Target="https://www.ancestry.co.uk/family-tree/person/tree/163868056/person/342132993171/facts" TargetMode="External"/><Relationship Id="rId46" Type="http://schemas.openxmlformats.org/officeDocument/2006/relationships/hyperlink" Target="https://www.ancestry.co.uk/family-tree/tree/163868056/family?cfpid=342172983090" TargetMode="External"/><Relationship Id="rId67" Type="http://schemas.openxmlformats.org/officeDocument/2006/relationships/hyperlink" Target="https://dnapainter.com/tools/sharedcmv4/33?fbclid=IwAR3wqfKWVRq1DI_x4i7OjYx5ayGhdwQu5Tj-9K3u_CVvBxgEWwX7fHipJPs" TargetMode="External"/><Relationship Id="rId20" Type="http://schemas.openxmlformats.org/officeDocument/2006/relationships/hyperlink" Target="https://www.ancestry.co.uk/family-tree/person/tree/163868056/person/342132993170/facts" TargetMode="External"/><Relationship Id="rId41" Type="http://schemas.openxmlformats.org/officeDocument/2006/relationships/hyperlink" Target="https://www.ancestry.co.uk/family-tree/tree/163868056/family?cfpid=342138040333" TargetMode="External"/><Relationship Id="rId62" Type="http://schemas.openxmlformats.org/officeDocument/2006/relationships/hyperlink" Target="https://dnapainter.com/tools/sharedcmv4/21.5?fbclid=IwAR3wqfKWVRq1DI_x4i7OjYx5ayGhdwQu5Tj-9K3u_CVvBxgEWwX7fHipJPs" TargetMode="External"/><Relationship Id="rId83" Type="http://schemas.openxmlformats.org/officeDocument/2006/relationships/hyperlink" Target="https://www.ancestry.co.uk/discoveryui-matches/compare/50a7c5ef-9e94-44be-a86a-5736956a97f2/with/c0210772-2c08-455d-9a7c-72630fbf8952" TargetMode="External"/><Relationship Id="rId88" Type="http://schemas.openxmlformats.org/officeDocument/2006/relationships/hyperlink" Target="https://www.ancestry.co.uk/family-tree/person/tree/163868056/person/342144496772/facts" TargetMode="External"/><Relationship Id="rId111" Type="http://schemas.openxmlformats.org/officeDocument/2006/relationships/hyperlink" Target="https://www.ancestry.co.uk/family-tree/person/tree/163868056/person/342144496771/facts" TargetMode="External"/><Relationship Id="rId132" Type="http://schemas.openxmlformats.org/officeDocument/2006/relationships/hyperlink" Target="https://www.ancestry.co.uk/family-tree/person/tree/163868056/person/342132992964/facts" TargetMode="External"/><Relationship Id="rId153" Type="http://schemas.openxmlformats.org/officeDocument/2006/relationships/hyperlink" Target="https://www.ancestry.co.uk/discoveryui-matches/compare/50a7c5ef-9e94-44be-a86a-5736956a97f2/with/9b904376-6e8a-451c-bc2b-cf311c19c870" TargetMode="External"/><Relationship Id="rId174" Type="http://schemas.openxmlformats.org/officeDocument/2006/relationships/hyperlink" Target="https://www.ancestry.co.uk/family-tree/person/tree/163868056/person/342132992964/facts" TargetMode="External"/><Relationship Id="rId179" Type="http://schemas.openxmlformats.org/officeDocument/2006/relationships/hyperlink" Target="https://dnapainter.com/tools/sharedcmv4/21?fbclid=IwAR3wqfKWVRq1DI_x4i7OjYx5ayGhdwQu5Tj-9K3u_CVvBxgEWwX7fHipJPs" TargetMode="External"/><Relationship Id="rId195" Type="http://schemas.openxmlformats.org/officeDocument/2006/relationships/hyperlink" Target="https://www.ancestry.co.uk/family-tree/person/tree/163868056/person/342144496771/facts" TargetMode="External"/><Relationship Id="rId209" Type="http://schemas.openxmlformats.org/officeDocument/2006/relationships/hyperlink" Target="https://www.ancestry.co.uk/family-tree/person/tree/163868056/person/342132993170/facts" TargetMode="External"/><Relationship Id="rId190" Type="http://schemas.openxmlformats.org/officeDocument/2006/relationships/hyperlink" Target="https://www.ancestry.co.uk/family-tree/person/tree/163868056/person/342144496772/facts" TargetMode="External"/><Relationship Id="rId204" Type="http://schemas.openxmlformats.org/officeDocument/2006/relationships/hyperlink" Target="https://dnapainter.com/tools/sharedcmv4/45?fbclid=IwAR3wqfKWVRq1DI_x4i7OjYx5ayGhdwQu5Tj-9K3u_CVvBxgEWwX7fHipJPs" TargetMode="External"/><Relationship Id="rId220" Type="http://schemas.openxmlformats.org/officeDocument/2006/relationships/hyperlink" Target="https://www.ancestry.co.uk/family-tree/person/tree/163868056/person/342144496772/facts" TargetMode="External"/><Relationship Id="rId225" Type="http://schemas.openxmlformats.org/officeDocument/2006/relationships/hyperlink" Target="https://www.ancestry.co.uk/family-tree/person/tree/163868056/person/342144496771/facts" TargetMode="External"/><Relationship Id="rId15" Type="http://schemas.openxmlformats.org/officeDocument/2006/relationships/hyperlink" Target="https://www.ancestry.co.uk/family-tree/tree/163868056/family?cfpid=342159576096" TargetMode="External"/><Relationship Id="rId36" Type="http://schemas.openxmlformats.org/officeDocument/2006/relationships/hyperlink" Target="https://www.ancestry.co.uk/family-tree/person/tree/163868056/person/342144496771/facts" TargetMode="External"/><Relationship Id="rId57" Type="http://schemas.openxmlformats.org/officeDocument/2006/relationships/hyperlink" Target="https://www.ancestry.co.uk/discoveryui-matches/compare/8955cf51-8070-4a51-8674-b7f01b347aed/with/60ac80ee-832f-4565-8ea3-f5e149a8414e" TargetMode="External"/><Relationship Id="rId106" Type="http://schemas.openxmlformats.org/officeDocument/2006/relationships/hyperlink" Target="https://www.ancestry.co.uk/family-tree/person/tree/163868056/person/342144496772/facts" TargetMode="External"/><Relationship Id="rId127" Type="http://schemas.openxmlformats.org/officeDocument/2006/relationships/hyperlink" Target="https://www.ancestry.co.uk/family-tree/person/tree/163868056/person/342132992964/facts" TargetMode="External"/><Relationship Id="rId10" Type="http://schemas.openxmlformats.org/officeDocument/2006/relationships/hyperlink" Target="https://www.ancestry.co.uk/family-tree/person/tree/163868056/person/342132992964/facts" TargetMode="External"/><Relationship Id="rId31" Type="http://schemas.openxmlformats.org/officeDocument/2006/relationships/hyperlink" Target="https://www.ancestry.co.uk/family-tree/person/tree/163868056/person/342132993171/facts" TargetMode="External"/><Relationship Id="rId52" Type="http://schemas.openxmlformats.org/officeDocument/2006/relationships/hyperlink" Target="https://www.ancestry.co.uk/discoveryui-matches/compare/50A7C5EF-9E94-44BE-A86A-5736956A97F2/with/6772973E-E7D1-48AF-9FE1-A6F33E8472FC" TargetMode="External"/><Relationship Id="rId73" Type="http://schemas.openxmlformats.org/officeDocument/2006/relationships/hyperlink" Target="https://dnapainter.com/tools/sharedcmv4/28?fbclid=IwAR3wqfKWVRq1DI_x4i7OjYx5ayGhdwQu5Tj-9K3u_CVvBxgEWwX7fHipJPs" TargetMode="External"/><Relationship Id="rId78" Type="http://schemas.openxmlformats.org/officeDocument/2006/relationships/hyperlink" Target="https://dnapainter.com/tools/sharedcmv4/32?fbclid=IwAR3wqfKWVRq1DI_x4i7OjYx5ayGhdwQu5Tj-9K3u_CVvBxgEWwX7fHipJPs" TargetMode="External"/><Relationship Id="rId94" Type="http://schemas.openxmlformats.org/officeDocument/2006/relationships/hyperlink" Target="https://dnapainter.com/tools/sharedcmv4/10?fbclid=IwAR3wqfKWVRq1DI_x4i7OjYx5ayGhdwQu5Tj-9K3u_CVvBxgEWwX7fHipJPs" TargetMode="External"/><Relationship Id="rId99" Type="http://schemas.openxmlformats.org/officeDocument/2006/relationships/hyperlink" Target="https://www.ancestry.co.uk/family-tree/person/tree/163868056/person/342144496772/facts" TargetMode="External"/><Relationship Id="rId101" Type="http://schemas.openxmlformats.org/officeDocument/2006/relationships/hyperlink" Target="https://dnapainter.com/tools/sharedcmv4/42?fbclid=IwAR3wqfKWVRq1DI_x4i7OjYx5ayGhdwQu5Tj-9K3u_CVvBxgEWwX7fHipJPs" TargetMode="External"/><Relationship Id="rId122" Type="http://schemas.openxmlformats.org/officeDocument/2006/relationships/hyperlink" Target="https://www.ancestry.co.uk/family-tree/tree/163868056/family/pedigree?cfpid=342571574632" TargetMode="External"/><Relationship Id="rId143" Type="http://schemas.openxmlformats.org/officeDocument/2006/relationships/hyperlink" Target="https://dnapainter.com/tools/sharedcmv4/17?fbclid=IwAR3wqfKWVRq1DI_x4i7OjYx5ayGhdwQu5Tj-9K3u_CVvBxgEWwX7fHipJPs" TargetMode="External"/><Relationship Id="rId148" Type="http://schemas.openxmlformats.org/officeDocument/2006/relationships/hyperlink" Target="https://www.ancestry.co.uk/family-tree/person/tree/163868056/person/342132993681/facts" TargetMode="External"/><Relationship Id="rId164" Type="http://schemas.openxmlformats.org/officeDocument/2006/relationships/hyperlink" Target="https://www.ancestry.co.uk/family-tree/person/tree/163868056/person/342132993171/facts" TargetMode="External"/><Relationship Id="rId169" Type="http://schemas.openxmlformats.org/officeDocument/2006/relationships/hyperlink" Target="https://www.ancestry.co.uk/family-tree/person/tree/163868056/person/342144496771/facts" TargetMode="External"/><Relationship Id="rId185" Type="http://schemas.openxmlformats.org/officeDocument/2006/relationships/hyperlink" Target="https://www.ancestry.co.uk/family-tree/tree/163868056/family?cfpid=342607529770" TargetMode="External"/><Relationship Id="rId4" Type="http://schemas.openxmlformats.org/officeDocument/2006/relationships/hyperlink" Target="https://www.ancestry.co.uk/family-tree/person/tree/163868056/person/342132992964/facts" TargetMode="External"/><Relationship Id="rId9" Type="http://schemas.openxmlformats.org/officeDocument/2006/relationships/hyperlink" Target="https://www.ancestry.co.uk/family-tree/person/tree/163868056/person/342132992964/facts" TargetMode="External"/><Relationship Id="rId180" Type="http://schemas.openxmlformats.org/officeDocument/2006/relationships/hyperlink" Target="https://dnapainter.com/tools/sharedcmv4/7?fbclid=IwAR3wqfKWVRq1DI_x4i7OjYx5ayGhdwQu5Tj-9K3u_CVvBxgEWwX7fHipJPs" TargetMode="External"/><Relationship Id="rId210" Type="http://schemas.openxmlformats.org/officeDocument/2006/relationships/hyperlink" Target="https://www.ancestry.co.uk/family-tree/person/tree/163868056/person/342132993171/facts" TargetMode="External"/><Relationship Id="rId215" Type="http://schemas.openxmlformats.org/officeDocument/2006/relationships/hyperlink" Target="https://www.ancestry.co.uk/discoveryui-matches/compare/8955cf51-8070-4a51-8674-b7f01b347aed/with/d7205cdb-aa9a-45ac-928d-3e16b6e8c3f4" TargetMode="External"/><Relationship Id="rId236" Type="http://schemas.openxmlformats.org/officeDocument/2006/relationships/printerSettings" Target="../printerSettings/printerSettings3.bin"/><Relationship Id="rId26" Type="http://schemas.openxmlformats.org/officeDocument/2006/relationships/hyperlink" Target="https://www.ancestry.co.uk/family-tree/person/tree/163868056/person/342132993171/facts" TargetMode="External"/><Relationship Id="rId231" Type="http://schemas.openxmlformats.org/officeDocument/2006/relationships/hyperlink" Target="https://www.ancestry.co.uk/family-tree/person/tree/163868056/person/342144496771/facts" TargetMode="External"/><Relationship Id="rId47" Type="http://schemas.openxmlformats.org/officeDocument/2006/relationships/hyperlink" Target="https://www.ancestry.co.uk/family-tree/tree/163868056/family?cfpid=342316398335" TargetMode="External"/><Relationship Id="rId68" Type="http://schemas.openxmlformats.org/officeDocument/2006/relationships/hyperlink" Target="https://dnapainter.com/tools/sharedcmv4/15?fbclid=IwAR3wqfKWVRq1DI_x4i7OjYx5ayGhdwQu5Tj-9K3u_CVvBxgEWwX7fHipJPs" TargetMode="External"/><Relationship Id="rId89" Type="http://schemas.openxmlformats.org/officeDocument/2006/relationships/hyperlink" Target="https://www.ancestry.co.uk/discoveryui-matches/compare/7F8D61F6-1FA4-47C1-9A03-3889CC97CC0C/with/A8F78EE6-A403-41DF-9129-1FDE50C298D1" TargetMode="External"/><Relationship Id="rId112" Type="http://schemas.openxmlformats.org/officeDocument/2006/relationships/hyperlink" Target="https://www.ancestry.co.uk/family-tree/person/tree/163868056/person/342144496772/facts" TargetMode="External"/><Relationship Id="rId133" Type="http://schemas.openxmlformats.org/officeDocument/2006/relationships/hyperlink" Target="https://www.ancestry.co.uk/discoveryui-matches/compare/50A7C5EF-9E94-44BE-A86A-5736956A97F2/with/76544E10-4686-4B0C-AAF2-2D8A3CD31CA6" TargetMode="External"/><Relationship Id="rId154" Type="http://schemas.openxmlformats.org/officeDocument/2006/relationships/hyperlink" Target="https://dnapainter.com/tools/sharedcmv4/42?fbclid=IwAR3wqfKWVRq1DI_x4i7OjYx5ayGhdwQu5Tj-9K3u_CVvBxgEWwX7fHipJPs" TargetMode="External"/><Relationship Id="rId175" Type="http://schemas.openxmlformats.org/officeDocument/2006/relationships/hyperlink" Target="https://www.ancestry.co.uk/family-tree/person/tree/163868056/person/342144496771/facts" TargetMode="External"/><Relationship Id="rId196" Type="http://schemas.openxmlformats.org/officeDocument/2006/relationships/hyperlink" Target="https://www.ancestry.co.uk/family-tree/person/tree/163868056/person/342144496772/facts" TargetMode="External"/><Relationship Id="rId200" Type="http://schemas.openxmlformats.org/officeDocument/2006/relationships/hyperlink" Target="https://www.ancestry.co.uk/family-tree/person/tree/163868056/person/342132992964/facts" TargetMode="External"/><Relationship Id="rId16" Type="http://schemas.openxmlformats.org/officeDocument/2006/relationships/hyperlink" Target="https://www.ancestry.co.uk/family-tree/person/tree/163868056/person/342132993170/facts" TargetMode="External"/><Relationship Id="rId221" Type="http://schemas.openxmlformats.org/officeDocument/2006/relationships/hyperlink" Target="https://www.ancestry.co.uk/discoveryui-matches/compare/8955cf51-8070-4a51-8674-b7f01b347aed/with/bcd8dd34-c30f-44c5-ae25-b2b552a1800e" TargetMode="External"/><Relationship Id="rId37" Type="http://schemas.openxmlformats.org/officeDocument/2006/relationships/hyperlink" Target="https://www.ancestry.co.uk/family-tree/person/tree/163868056/person/342144496772/facts" TargetMode="External"/><Relationship Id="rId58" Type="http://schemas.openxmlformats.org/officeDocument/2006/relationships/hyperlink" Target="https://www.myheritage.com/dna/match/D-F9099B9B-87A1-4274-827C-AF35BD245736-D-94F4B4C1-18A8-44B3-AFCA-9BE447FC0A58/691113321?p=1&amp;ps=10&amp;search=ROBIN%20SAVAGE&amp;sort=total_shared_segments_length_in_cm&amp;memberId=704364871" TargetMode="External"/><Relationship Id="rId79" Type="http://schemas.openxmlformats.org/officeDocument/2006/relationships/hyperlink" Target="https://www.ancestry.co.uk/family-tree/tree/163868056/family?cfpid=342381494093" TargetMode="External"/><Relationship Id="rId102" Type="http://schemas.openxmlformats.org/officeDocument/2006/relationships/hyperlink" Target="https://www.ancestry.co.uk/family-tree/tree/163868056/family/pedigree?cfpid=342381494462" TargetMode="External"/><Relationship Id="rId123" Type="http://schemas.openxmlformats.org/officeDocument/2006/relationships/hyperlink" Target="https://www.ancestry.co.uk/family-tree/tree/163868056/family/pedigree?cfpid=342568559031" TargetMode="External"/><Relationship Id="rId144" Type="http://schemas.openxmlformats.org/officeDocument/2006/relationships/hyperlink" Target="https://www.ancestry.co.uk/family-tree/person/tree/163868056/person/342568561458/facts" TargetMode="External"/><Relationship Id="rId90" Type="http://schemas.openxmlformats.org/officeDocument/2006/relationships/hyperlink" Target="https://www.ancestry.co.uk/family-tree/tree/163868056/family?cfpid=342515484100" TargetMode="External"/><Relationship Id="rId165" Type="http://schemas.openxmlformats.org/officeDocument/2006/relationships/hyperlink" Target="https://www.ancestry.co.uk/discoveryui-matches/compare/8955cf51-8070-4a51-8674-b7f01b347aed/with/12b9bd82-97e6-4c7a-a550-af03ea7aa524" TargetMode="External"/><Relationship Id="rId186" Type="http://schemas.openxmlformats.org/officeDocument/2006/relationships/hyperlink" Target="https://www.ancestry.co.uk/family-tree/tree/163868056/family/pedigree?cfpid=342607125658" TargetMode="External"/><Relationship Id="rId211" Type="http://schemas.openxmlformats.org/officeDocument/2006/relationships/hyperlink" Target="https://dnapainter.com/tools/sharedcmv4/100?fbclid=IwAR3wqfKWVRq1DI_x4i7OjYx5ayGhdwQu5Tj-9K3u_CVvBxgEWwX7fHipJPs" TargetMode="External"/><Relationship Id="rId232" Type="http://schemas.openxmlformats.org/officeDocument/2006/relationships/hyperlink" Target="https://www.ancestry.co.uk/family-tree/person/tree/163868056/person/342144496772/facts" TargetMode="External"/><Relationship Id="rId27" Type="http://schemas.openxmlformats.org/officeDocument/2006/relationships/hyperlink" Target="https://www.ancestry.co.uk/family-tree/person/tree/163868056/person/342132993171/facts" TargetMode="External"/><Relationship Id="rId48" Type="http://schemas.openxmlformats.org/officeDocument/2006/relationships/hyperlink" Target="https://www.ancestry.co.uk/family-tree/tree/163868056/family?cfpid=342231841117" TargetMode="External"/><Relationship Id="rId69" Type="http://schemas.openxmlformats.org/officeDocument/2006/relationships/hyperlink" Target="https://dnapainter.com/tools/sharedcmv4/32?fbclid=IwAR3wqfKWVRq1DI_x4i7OjYx5ayGhdwQu5Tj-9K3u_CVvBxgEWwX7fHipJPs" TargetMode="External"/><Relationship Id="rId113" Type="http://schemas.openxmlformats.org/officeDocument/2006/relationships/hyperlink" Target="https://www.ancestry.co.uk/discoveryui-matches/compare/50A7C5EF-9E94-44BE-A86A-5736956A97F2/with/7AA98328-D538-4F17-8443-67530DED298B" TargetMode="External"/><Relationship Id="rId134" Type="http://schemas.openxmlformats.org/officeDocument/2006/relationships/hyperlink" Target="https://www.ancestry.co.uk/family-tree/tree/163868056/family/pedigree?cfpid=342568559232" TargetMode="External"/><Relationship Id="rId80" Type="http://schemas.openxmlformats.org/officeDocument/2006/relationships/hyperlink" Target="https://www.ancestry.co.uk/family-tree/person/tree/163868056/person/342132992964/facts" TargetMode="External"/><Relationship Id="rId155" Type="http://schemas.openxmlformats.org/officeDocument/2006/relationships/hyperlink" Target="https://www.ancestry.co.uk/family-tree/tree/163868056/family/pedigree?cfpid=342593145361" TargetMode="External"/><Relationship Id="rId176" Type="http://schemas.openxmlformats.org/officeDocument/2006/relationships/hyperlink" Target="https://www.ancestry.co.uk/family-tree/person/tree/163868056/person/342144496772/facts" TargetMode="External"/><Relationship Id="rId197" Type="http://schemas.openxmlformats.org/officeDocument/2006/relationships/hyperlink" Target="https://www.myheritage.com/dna/match/D-F9099B9B-87A1-4274-827C-AF35BD245736-D-3A919786-DE84-4253-B6A7-41F4A7DE5579/691113321?p=1&amp;ps=10&amp;sort=creation_time&amp;memberId=704364871&amp;index=5" TargetMode="External"/><Relationship Id="rId201" Type="http://schemas.openxmlformats.org/officeDocument/2006/relationships/hyperlink" Target="https://www.ancestry.co.uk/family-tree/person/tree/163868056/person/342144496771/facts" TargetMode="External"/><Relationship Id="rId222" Type="http://schemas.openxmlformats.org/officeDocument/2006/relationships/hyperlink" Target="https://dnapainter.com/tools/sharedcmv4/19?fbclid=IwAR3wqfKWVRq1DI_x4i7OjYx5ayGhdwQu5Tj-9K3u_CVvBxgEWwX7fHipJPs" TargetMode="External"/><Relationship Id="rId17" Type="http://schemas.openxmlformats.org/officeDocument/2006/relationships/hyperlink" Target="https://www.ancestry.co.uk/family-tree/person/tree/163868056/person/342132993170/facts" TargetMode="External"/><Relationship Id="rId38" Type="http://schemas.openxmlformats.org/officeDocument/2006/relationships/hyperlink" Target="https://www.ancestry.co.uk/family-tree/person/tree/163868056/person/342144496772/facts" TargetMode="External"/><Relationship Id="rId59" Type="http://schemas.openxmlformats.org/officeDocument/2006/relationships/hyperlink" Target="https://dnapainter.com/tools/sharedcmv4/108?fbclid=IwAR3wqfKWVRq1DI_x4i7OjYx5ayGhdwQu5Tj-9K3u_CVvBxgEWwX7fHipJPs" TargetMode="External"/><Relationship Id="rId103" Type="http://schemas.openxmlformats.org/officeDocument/2006/relationships/hyperlink" Target="https://www.ancestry.co.uk/family-tree/tree/163868056/family/pedigree?cfpid=342538288727" TargetMode="External"/><Relationship Id="rId124" Type="http://schemas.openxmlformats.org/officeDocument/2006/relationships/hyperlink" Target="https://dnapainter.com/tools/sharedcmv4/10?fbclid=IwAR3wqfKWVRq1DI_x4i7OjYx5ayGhdwQu5Tj-9K3u_CVvBxgEWwX7fHipJPs" TargetMode="External"/><Relationship Id="rId70" Type="http://schemas.openxmlformats.org/officeDocument/2006/relationships/hyperlink" Target="https://dnapainter.com/tools/sharedcmv4/26?fbclid=IwAR3wqfKWVRq1DI_x4i7OjYx5ayGhdwQu5Tj-9K3u_CVvBxgEWwX7fHipJPs" TargetMode="External"/><Relationship Id="rId91" Type="http://schemas.openxmlformats.org/officeDocument/2006/relationships/hyperlink" Target="https://dnapainter.com/tools/sharedcmv4/16?fbclid=IwAR3wqfKWVRq1DI_x4i7OjYx5ayGhdwQu5Tj-9K3u_CVvBxgEWwX7fHipJPs" TargetMode="External"/><Relationship Id="rId145" Type="http://schemas.openxmlformats.org/officeDocument/2006/relationships/hyperlink" Target="https://www.ancestry.co.uk/family-tree/person/tree/163868056/person/342568561460/facts" TargetMode="External"/><Relationship Id="rId166" Type="http://schemas.openxmlformats.org/officeDocument/2006/relationships/hyperlink" Target="https://dnapainter.com/tools/sharedcmv4/32?fbclid=IwAR3wqfKWVRq1DI_x4i7OjYx5ayGhdwQu5Tj-9K3u_CVvBxgEWwX7fHipJPs" TargetMode="External"/><Relationship Id="rId187" Type="http://schemas.openxmlformats.org/officeDocument/2006/relationships/hyperlink" Target="https://dnapainter.com/tools/sharedcmv4/13?fbclid=IwAR3wqfKWVRq1DI_x4i7OjYx5ayGhdwQu5Tj-9K3u_CVvBxgEWwX7fHipJPs" TargetMode="External"/><Relationship Id="rId1" Type="http://schemas.openxmlformats.org/officeDocument/2006/relationships/hyperlink" Target="https://www.ancestry.co.uk/discoveryui-matches/compare/50A7C5EF-9E94-44BE-A86A-5736956A97F2/with/A679707F-5475-4712-8F20-7AC9B283C74A" TargetMode="External"/><Relationship Id="rId212" Type="http://schemas.openxmlformats.org/officeDocument/2006/relationships/hyperlink" Target="https://www.ancestry.co.uk/family-tree/person/tree/163868056/person/342132992970/facts" TargetMode="External"/><Relationship Id="rId233" Type="http://schemas.openxmlformats.org/officeDocument/2006/relationships/hyperlink" Target="https://www.ancestry.co.uk/discoveryui-matches/compare/8955cf51-8070-4a51-8674-b7f01b347aed/with/caadbb1f-b939-474f-b040-fd4337c942f4" TargetMode="External"/><Relationship Id="rId28" Type="http://schemas.openxmlformats.org/officeDocument/2006/relationships/hyperlink" Target="https://www.ancestry.co.uk/family-tree/person/tree/163868056/person/342132993171/facts" TargetMode="External"/><Relationship Id="rId49" Type="http://schemas.openxmlformats.org/officeDocument/2006/relationships/hyperlink" Target="https://www.ancestry.co.uk/family-tree/tree/163868056/family?cfpid=342259532494" TargetMode="External"/><Relationship Id="rId114" Type="http://schemas.openxmlformats.org/officeDocument/2006/relationships/hyperlink" Target="https://dnapainter.com/tools/sharedcmv4/12?fbclid=IwAR3wqfKWVRq1DI_x4i7OjYx5ayGhdwQu5Tj-9K3u_CVvBxgEWwX7fHipJPs" TargetMode="External"/><Relationship Id="rId60" Type="http://schemas.openxmlformats.org/officeDocument/2006/relationships/hyperlink" Target="https://dnapainter.com/tools/sharedcmv4/55?fbclid=IwAR3wqfKWVRq1DI_x4i7OjYx5ayGhdwQu5Tj-9K3u_CVvBxgEWwX7fHipJPs" TargetMode="External"/><Relationship Id="rId81" Type="http://schemas.openxmlformats.org/officeDocument/2006/relationships/hyperlink" Target="https://www.ancestry.co.uk/family-tree/person/tree/163868056/person/342144496771/facts" TargetMode="External"/><Relationship Id="rId135" Type="http://schemas.openxmlformats.org/officeDocument/2006/relationships/hyperlink" Target="https://dnapainter.com/tools/sharedcmv4/13?fbclid=IwAR3wqfKWVRq1DI_x4i7OjYx5ayGhdwQu5Tj-9K3u_CVvBxgEWwX7fHipJPs" TargetMode="External"/><Relationship Id="rId156" Type="http://schemas.openxmlformats.org/officeDocument/2006/relationships/hyperlink" Target="https://dnapainter.com/tools/sharedcmv4/10?fbclid=IwAR3wqfKWVRq1DI_x4i7OjYx5ayGhdwQu5Tj-9K3u_CVvBxgEWwX7fHipJPs" TargetMode="External"/><Relationship Id="rId177" Type="http://schemas.openxmlformats.org/officeDocument/2006/relationships/hyperlink" Target="https://www.ancestry.co.uk/discoveryui-matches/compare/8955cf51-8070-4a51-8674-b7f01b347aed/with/0eaef054-6ce4-410d-84ee-14fec02a8976" TargetMode="External"/><Relationship Id="rId198" Type="http://schemas.openxmlformats.org/officeDocument/2006/relationships/hyperlink" Target="https://dnapainter.com/tools/sharedcmv4/41?fbclid=IwAR3wqfKWVRq1DI_x4i7OjYx5ayGhdwQu5Tj-9K3u_CVvBxgEWwX7fHipJPs" TargetMode="External"/><Relationship Id="rId202" Type="http://schemas.openxmlformats.org/officeDocument/2006/relationships/hyperlink" Target="https://www.ancestry.co.uk/family-tree/person/tree/163868056/person/342144496772/facts" TargetMode="External"/><Relationship Id="rId223" Type="http://schemas.openxmlformats.org/officeDocument/2006/relationships/hyperlink" Target="https://www.ancestry.co.uk/family-tree/tree/163868056/family/pedigree?cfpid=342635424267" TargetMode="External"/><Relationship Id="rId18" Type="http://schemas.openxmlformats.org/officeDocument/2006/relationships/hyperlink" Target="https://www.ancestry.co.uk/family-tree/person/tree/163868056/person/342132993170/facts" TargetMode="External"/><Relationship Id="rId39" Type="http://schemas.openxmlformats.org/officeDocument/2006/relationships/hyperlink" Target="https://www.ancestry.co.uk/family-tree/person/tree/163868056/person/342144496772/facts" TargetMode="External"/><Relationship Id="rId50" Type="http://schemas.openxmlformats.org/officeDocument/2006/relationships/hyperlink" Target="https://www.ancestry.co.uk/discoveryui-matches/compare/50A7C5EF-9E94-44BE-A86A-5736956A97F2/with/3F7DE125-8532-4B80-89B9-C1D92C84DEDF" TargetMode="External"/><Relationship Id="rId104" Type="http://schemas.openxmlformats.org/officeDocument/2006/relationships/hyperlink" Target="https://dnapainter.com/tools/sharedcmv4/19?fbclid=IwAR3wqfKWVRq1DI_x4i7OjYx5ayGhdwQu5Tj-9K3u_CVvBxgEWwX7fHipJPs" TargetMode="External"/><Relationship Id="rId125" Type="http://schemas.openxmlformats.org/officeDocument/2006/relationships/hyperlink" Target="https://www.ancestry.co.uk/family-tree/person/tree/163868056/person/342568561458/facts" TargetMode="External"/><Relationship Id="rId146" Type="http://schemas.openxmlformats.org/officeDocument/2006/relationships/hyperlink" Target="https://www.ancestry.co.uk/discoveryui-matches/compare/7F8D61F6-1FA4-47C1-9A03-3889CC97CC0C/with/CF74C8D8-8932-4D95-BE9F-9BF6B18D720C" TargetMode="External"/><Relationship Id="rId167" Type="http://schemas.openxmlformats.org/officeDocument/2006/relationships/hyperlink" Target="https://www.ancestry.co.uk/family-tree/tree/163868056/family/pedigree?cfpid=342604045856" TargetMode="External"/><Relationship Id="rId188" Type="http://schemas.openxmlformats.org/officeDocument/2006/relationships/hyperlink" Target="https://www.ancestry.co.uk/family-tree/person/tree/163868056/person/342132993681/facts" TargetMode="External"/><Relationship Id="rId71" Type="http://schemas.openxmlformats.org/officeDocument/2006/relationships/hyperlink" Target="https://dnapainter.com/tools/sharedcmv4/28?fbclid=IwAR3wqfKWVRq1DI_x4i7OjYx5ayGhdwQu5Tj-9K3u_CVvBxgEWwX7fHipJPs" TargetMode="External"/><Relationship Id="rId92" Type="http://schemas.openxmlformats.org/officeDocument/2006/relationships/hyperlink" Target="https://dnapainter.com/tools/sharedcmv4/15?fbclid=IwAR3wqfKWVRq1DI_x4i7OjYx5ayGhdwQu5Tj-9K3u_CVvBxgEWwX7fHipJPs" TargetMode="External"/><Relationship Id="rId213" Type="http://schemas.openxmlformats.org/officeDocument/2006/relationships/hyperlink" Target="https://www.ancestry.co.uk/family-tree/person/tree/163868056/person/342144496771/facts" TargetMode="External"/><Relationship Id="rId234" Type="http://schemas.openxmlformats.org/officeDocument/2006/relationships/hyperlink" Target="https://dnapainter.com/tools/sharedcmv4/10?fbclid=IwAR3wqfKWVRq1DI_x4i7OjYx5ayGhdwQu5Tj-9K3u_CVvBxgEWwX7fHipJPs" TargetMode="External"/><Relationship Id="rId2" Type="http://schemas.openxmlformats.org/officeDocument/2006/relationships/hyperlink" Target="https://www.myheritage.com/dna/match/D-F9099B9B-87A1-4274-827C-AF35BD245736-D-C9AC653F-C3FB-44EA-8BE1-D30BB37B2F35/691113321?p=1&amp;ps=10&amp;search=gail&amp;sort=total_shared_segments_length_in_cm&amp;memberId=704364871" TargetMode="External"/><Relationship Id="rId29" Type="http://schemas.openxmlformats.org/officeDocument/2006/relationships/hyperlink" Target="https://www.ancestry.co.uk/family-tree/person/tree/163868056/person/342132993171/facts" TargetMode="External"/><Relationship Id="rId40" Type="http://schemas.openxmlformats.org/officeDocument/2006/relationships/hyperlink" Target="https://www.ancestry.co.uk/family-tree/tree/163868056/family?cfpid=342170764132" TargetMode="External"/><Relationship Id="rId115" Type="http://schemas.openxmlformats.org/officeDocument/2006/relationships/hyperlink" Target="https://www.ancestry.co.uk/family-tree/person/tree/163868056/person/342132992964/facts" TargetMode="External"/><Relationship Id="rId136" Type="http://schemas.openxmlformats.org/officeDocument/2006/relationships/hyperlink" Target="https://dnapainter.com/tools/sharedcmv4/13?fbclid=IwAR3wqfKWVRq1DI_x4i7OjYx5ayGhdwQu5Tj-9K3u_CVvBxgEWwX7fHipJPs" TargetMode="External"/><Relationship Id="rId157" Type="http://schemas.openxmlformats.org/officeDocument/2006/relationships/hyperlink" Target="https://www.ancestry.co.uk/family-tree/person/tree/163868056/person/342568561458/facts" TargetMode="External"/><Relationship Id="rId178" Type="http://schemas.openxmlformats.org/officeDocument/2006/relationships/hyperlink" Target="https://www.ancestry.co.uk/family-tree/tree/163868056/family/pedigree?cfpid=342607125658" TargetMode="External"/><Relationship Id="rId61" Type="http://schemas.openxmlformats.org/officeDocument/2006/relationships/hyperlink" Target="https://dnapainter.com/tools/sharedcmv4/63.9?fbclid=IwAR3wqfKWVRq1DI_x4i7OjYx5ayGhdwQu5Tj-9K3u_CVvBxgEWwX7fHipJPs" TargetMode="External"/><Relationship Id="rId82" Type="http://schemas.openxmlformats.org/officeDocument/2006/relationships/hyperlink" Target="https://www.ancestry.co.uk/family-tree/person/tree/163868056/person/342144496772/facts" TargetMode="External"/><Relationship Id="rId199" Type="http://schemas.openxmlformats.org/officeDocument/2006/relationships/hyperlink" Target="https://www.ancestry.co.uk/family-tree/tree/163868056/family?cfpid=342633972711" TargetMode="External"/><Relationship Id="rId203" Type="http://schemas.openxmlformats.org/officeDocument/2006/relationships/hyperlink" Target="https://www.myheritage.com/dna/match/D-F9099B9B-87A1-4274-827C-AF35BD245736-D-EB5015DF-A72A-4D4D-AD1F-F5D663DF3390/691113321?mode=shared" TargetMode="External"/><Relationship Id="rId19" Type="http://schemas.openxmlformats.org/officeDocument/2006/relationships/hyperlink" Target="https://www.ancestry.co.uk/family-tree/person/tree/163868056/person/342132993170/facts" TargetMode="External"/><Relationship Id="rId224" Type="http://schemas.openxmlformats.org/officeDocument/2006/relationships/hyperlink" Target="https://www.ancestry.co.uk/family-tree/person/tree/163868056/person/342132992970/facts" TargetMode="External"/><Relationship Id="rId30" Type="http://schemas.openxmlformats.org/officeDocument/2006/relationships/hyperlink" Target="https://www.ancestry.co.uk/family-tree/person/tree/163868056/person/342132993171/facts" TargetMode="External"/><Relationship Id="rId105" Type="http://schemas.openxmlformats.org/officeDocument/2006/relationships/hyperlink" Target="https://www.ancestry.co.uk/family-tree/person/tree/163868056/person/342144496771/facts" TargetMode="External"/><Relationship Id="rId126" Type="http://schemas.openxmlformats.org/officeDocument/2006/relationships/hyperlink" Target="https://www.ancestry.co.uk/family-tree/person/tree/163868056/person/342568561460/facts" TargetMode="External"/><Relationship Id="rId147" Type="http://schemas.openxmlformats.org/officeDocument/2006/relationships/hyperlink" Target="https://dnapainter.com/tools/sharedcmv4/8?fbclid=IwAR3wqfKWVRq1DI_x4i7OjYx5ayGhdwQu5Tj-9K3u_CVvBxgEWwX7fHipJPs" TargetMode="External"/><Relationship Id="rId168" Type="http://schemas.openxmlformats.org/officeDocument/2006/relationships/hyperlink" Target="https://www.ancestry.co.uk/family-tree/person/tree/163868056/person/342132992964/facts" TargetMode="External"/><Relationship Id="rId51" Type="http://schemas.openxmlformats.org/officeDocument/2006/relationships/hyperlink" Target="https://www.ancestry.co.uk/discoveryui-matches/compare/50A7C5EF-9E94-44BE-A86A-5736956A97F2/with/43F577BD-0140-4BE7-AE06-FF215F73723F" TargetMode="External"/><Relationship Id="rId72" Type="http://schemas.openxmlformats.org/officeDocument/2006/relationships/hyperlink" Target="https://dnapainter.com/tools/sharedcmv4/11?fbclid=IwAR3wqfKWVRq1DI_x4i7OjYx5ayGhdwQu5Tj-9K3u_CVvBxgEWwX7fHipJPs" TargetMode="External"/><Relationship Id="rId93" Type="http://schemas.openxmlformats.org/officeDocument/2006/relationships/hyperlink" Target="https://dnapainter.com/tools/sharedcmv4/14?fbclid=IwAR3wqfKWVRq1DI_x4i7OjYx5ayGhdwQu5Tj-9K3u_CVvBxgEWwX7fHipJPs" TargetMode="External"/><Relationship Id="rId189" Type="http://schemas.openxmlformats.org/officeDocument/2006/relationships/hyperlink" Target="https://www.ancestry.co.uk/family-tree/person/tree/163868056/person/342144496771/facts" TargetMode="External"/><Relationship Id="rId3" Type="http://schemas.openxmlformats.org/officeDocument/2006/relationships/hyperlink" Target="https://www.ancestry.co.uk/family-tree/person/tree/163868056/person/342132992964/facts" TargetMode="External"/><Relationship Id="rId214" Type="http://schemas.openxmlformats.org/officeDocument/2006/relationships/hyperlink" Target="https://www.ancestry.co.uk/family-tree/person/tree/163868056/person/342144496772/facts" TargetMode="External"/><Relationship Id="rId235" Type="http://schemas.openxmlformats.org/officeDocument/2006/relationships/hyperlink" Target="https://www.ancestry.co.uk/family-tree/tree/163868056/family/pedigree?cfpid=342635420381" TargetMode="External"/><Relationship Id="rId116" Type="http://schemas.openxmlformats.org/officeDocument/2006/relationships/hyperlink" Target="https://www.ancestry.co.uk/family-tree/tree/163868056/family/pedigree?cfpid=342566340453" TargetMode="External"/><Relationship Id="rId137" Type="http://schemas.openxmlformats.org/officeDocument/2006/relationships/hyperlink" Target="https://www.ancestry.co.uk/family-tree/person/tree/163868056/person/342132992964/facts" TargetMode="External"/><Relationship Id="rId158" Type="http://schemas.openxmlformats.org/officeDocument/2006/relationships/hyperlink" Target="https://www.ancestry.co.uk/family-tree/person/tree/163868056/person/342568561460/facts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ncestry.co.uk/family-tree/person/tree/163868056/person/342132993904/facts" TargetMode="External"/><Relationship Id="rId21" Type="http://schemas.openxmlformats.org/officeDocument/2006/relationships/hyperlink" Target="https://www.ancestry.co.uk/family-tree/person/tree/163868056/person/342132993904/facts" TargetMode="External"/><Relationship Id="rId42" Type="http://schemas.openxmlformats.org/officeDocument/2006/relationships/hyperlink" Target="https://www.ancestry.co.uk/family-tree/person/tree/163868056/person/342132993903/facts" TargetMode="External"/><Relationship Id="rId63" Type="http://schemas.openxmlformats.org/officeDocument/2006/relationships/hyperlink" Target="https://www.ancestry.co.uk/family-tree/tree/163868056/family?cfpid=342213367947" TargetMode="External"/><Relationship Id="rId84" Type="http://schemas.openxmlformats.org/officeDocument/2006/relationships/hyperlink" Target="https://dnapainter.com/tools/sharedcmv4/28?fbclid=IwAR3wqfKWVRq1DI_x4i7OjYx5ayGhdwQu5Tj-9K3u_CVvBxgEWwX7fHipJPs" TargetMode="External"/><Relationship Id="rId138" Type="http://schemas.openxmlformats.org/officeDocument/2006/relationships/hyperlink" Target="https://dnapainter.com/tools/sharedcmv4/16?fbclid=IwAR3wqfKWVRq1DI_x4i7OjYx5ayGhdwQu5Tj-9K3u_CVvBxgEWwX7fHipJPs" TargetMode="External"/><Relationship Id="rId159" Type="http://schemas.openxmlformats.org/officeDocument/2006/relationships/hyperlink" Target="https://www.ancestry.co.uk/family-tree/person/tree/163868056/person/342132993904/facts" TargetMode="External"/><Relationship Id="rId170" Type="http://schemas.openxmlformats.org/officeDocument/2006/relationships/hyperlink" Target="https://www.ancestry.co.uk/family-tree/person/tree/163868056/person/342132992964/facts" TargetMode="External"/><Relationship Id="rId191" Type="http://schemas.openxmlformats.org/officeDocument/2006/relationships/hyperlink" Target="https://www.ancestry.co.uk/discoveryui-matches/compare/50a7c5ef-9e94-44be-a86a-5736956a97f2/with/bbaaa017-91de-48b9-afda-9824c27254fe" TargetMode="External"/><Relationship Id="rId205" Type="http://schemas.openxmlformats.org/officeDocument/2006/relationships/hyperlink" Target="https://www.myheritage.com/dna/match/D-F9099B9B-87A1-4274-827C-AF35BD245736-D-F52ED5D4-CB49-49D0-96A2-D1920EEC8EA6/691113321?p=1&amp;ps=10&amp;search=jay&amp;sort=creation_time&amp;filter_by_labels=favorite&amp;memberId=704364871&amp;index=0" TargetMode="External"/><Relationship Id="rId107" Type="http://schemas.openxmlformats.org/officeDocument/2006/relationships/hyperlink" Target="https://www.ancestry.co.uk/family-tree/tree/163868056/family/pedigree?cfpid=342513203983" TargetMode="External"/><Relationship Id="rId11" Type="http://schemas.openxmlformats.org/officeDocument/2006/relationships/hyperlink" Target="https://www.ancestry.co.uk/family-tree/person/tree/163868056/person/342132992964/facts" TargetMode="External"/><Relationship Id="rId32" Type="http://schemas.openxmlformats.org/officeDocument/2006/relationships/hyperlink" Target="https://www.ancestry.co.uk/family-tree/person/tree/163868056/person/342132993905/facts" TargetMode="External"/><Relationship Id="rId53" Type="http://schemas.openxmlformats.org/officeDocument/2006/relationships/hyperlink" Target="https://www.ancestry.co.uk/discoveryui-matches/compare/50a7c5ef-9e94-44be-a86a-5736956a97f2/with/601aaf2d-bc30-4fbf-b533-786b0047fe65" TargetMode="External"/><Relationship Id="rId74" Type="http://schemas.openxmlformats.org/officeDocument/2006/relationships/hyperlink" Target="https://www.ancestry.co.uk/discoveryui-matches/compare/50a7c5ef-9e94-44be-a86a-5736956a97f2/with/b4afcce4-c699-4a63-9ad3-23a72a085111" TargetMode="External"/><Relationship Id="rId128" Type="http://schemas.openxmlformats.org/officeDocument/2006/relationships/hyperlink" Target="https://www.ancestry.co.uk/family-tree/person/tree/163868056/person/342132992964/facts" TargetMode="External"/><Relationship Id="rId149" Type="http://schemas.openxmlformats.org/officeDocument/2006/relationships/hyperlink" Target="https://www.ancestry.co.uk/discoveryui-matches/compare/50a7c5ef-9e94-44be-a86a-5736956a97f2/with/578000e4-7eed-11ee-b8bb-0e3f96da1e4d" TargetMode="External"/><Relationship Id="rId5" Type="http://schemas.openxmlformats.org/officeDocument/2006/relationships/hyperlink" Target="https://www.ancestry.co.uk/family-tree/person/tree/163868056/person/342132992964/facts" TargetMode="External"/><Relationship Id="rId95" Type="http://schemas.openxmlformats.org/officeDocument/2006/relationships/hyperlink" Target="https://dnapainter.com/tools/sharedcmv4/10?fbclid=IwAR3wqfKWVRq1DI_x4i7OjYx5ayGhdwQu5Tj-9K3u_CVvBxgEWwX7fHipJPs" TargetMode="External"/><Relationship Id="rId160" Type="http://schemas.openxmlformats.org/officeDocument/2006/relationships/hyperlink" Target="https://www.ancestry.co.uk/family-tree/person/tree/163868056/person/342132993905/facts" TargetMode="External"/><Relationship Id="rId181" Type="http://schemas.openxmlformats.org/officeDocument/2006/relationships/hyperlink" Target="https://www.ancestry.co.uk/family-tree/tree/163868056/family/pedigree?cfpid=342593147546" TargetMode="External"/><Relationship Id="rId216" Type="http://schemas.openxmlformats.org/officeDocument/2006/relationships/hyperlink" Target="https://www.ancestry.co.uk/family-tree/person/tree/163868056/person/342132993904/facts" TargetMode="External"/><Relationship Id="rId22" Type="http://schemas.openxmlformats.org/officeDocument/2006/relationships/hyperlink" Target="https://www.ancestry.co.uk/family-tree/person/tree/163868056/person/342132993904/facts" TargetMode="External"/><Relationship Id="rId43" Type="http://schemas.openxmlformats.org/officeDocument/2006/relationships/hyperlink" Target="https://www.ancestry.co.uk/family-tree/person/tree/163868056/person/342132993903/facts" TargetMode="External"/><Relationship Id="rId64" Type="http://schemas.openxmlformats.org/officeDocument/2006/relationships/hyperlink" Target="https://www.ancestry.co.uk/discoveryui-matches/compare/8955cf51-8070-4a51-8674-b7f01b347aed/with/5747545c-32e5-4148-b41e-eb0ada9ec8b5" TargetMode="External"/><Relationship Id="rId118" Type="http://schemas.openxmlformats.org/officeDocument/2006/relationships/hyperlink" Target="https://www.ancestry.co.uk/family-tree/tree/163868056/family/pedigree?cfpid=342529719772" TargetMode="External"/><Relationship Id="rId139" Type="http://schemas.openxmlformats.org/officeDocument/2006/relationships/hyperlink" Target="https://www.ancestry.co.uk/family-tree/tree/163868056/family/pedigree?cfpid=342599071208" TargetMode="External"/><Relationship Id="rId85" Type="http://schemas.openxmlformats.org/officeDocument/2006/relationships/hyperlink" Target="https://dnapainter.com/tools/sharedcmv4/27?fbclid=IwAR3wqfKWVRq1DI_x4i7OjYx5ayGhdwQu5Tj-9K3u_CVvBxgEWwX7fHipJPs" TargetMode="External"/><Relationship Id="rId150" Type="http://schemas.openxmlformats.org/officeDocument/2006/relationships/hyperlink" Target="https://dnapainter.com/tools/sharedcmv4/13?fbclid=IwAR3wqfKWVRq1DI_x4i7OjYx5ayGhdwQu5Tj-9K3u_CVvBxgEWwX7fHipJPs" TargetMode="External"/><Relationship Id="rId171" Type="http://schemas.openxmlformats.org/officeDocument/2006/relationships/hyperlink" Target="https://www.ancestry.co.uk/family-tree/person/tree/163868056/person/342132993904/facts" TargetMode="External"/><Relationship Id="rId192" Type="http://schemas.openxmlformats.org/officeDocument/2006/relationships/hyperlink" Target="https://dnapainter.com/tools/sharedcmv4/16?fbclid=IwAR3wqfKWVRq1DI_x4i7OjYx5ayGhdwQu5Tj-9K3u_CVvBxgEWwX7fHipJPs" TargetMode="External"/><Relationship Id="rId206" Type="http://schemas.openxmlformats.org/officeDocument/2006/relationships/hyperlink" Target="https://dnapainter.com/tools/sharedcmv4/13?fbclid=IwAR3wqfKWVRq1DI_x4i7OjYx5ayGhdwQu5Tj-9K3u_CVvBxgEWwX7fHipJPs" TargetMode="External"/><Relationship Id="rId12" Type="http://schemas.openxmlformats.org/officeDocument/2006/relationships/hyperlink" Target="https://www.ancestry.co.uk/family-tree/person/tree/163868056/person/342132992964/facts" TargetMode="External"/><Relationship Id="rId33" Type="http://schemas.openxmlformats.org/officeDocument/2006/relationships/hyperlink" Target="https://www.ancestry.co.uk/family-tree/person/tree/163868056/person/342132993905/facts" TargetMode="External"/><Relationship Id="rId108" Type="http://schemas.openxmlformats.org/officeDocument/2006/relationships/hyperlink" Target="https://www.ancestry.co.uk/discoveryui-matches/compare/50a7c5ef-9e94-44be-a86a-5736956a97f2/with/b9dd2f39-48ed-4bee-a288-d856baa82799" TargetMode="External"/><Relationship Id="rId129" Type="http://schemas.openxmlformats.org/officeDocument/2006/relationships/hyperlink" Target="https://www.ancestry.co.uk/family-tree/person/tree/163868056/person/342132993904/facts" TargetMode="External"/><Relationship Id="rId54" Type="http://schemas.openxmlformats.org/officeDocument/2006/relationships/hyperlink" Target="https://www.ancestry.co.uk/family-tree/tree/163868056/family?cfpid=342260364767" TargetMode="External"/><Relationship Id="rId75" Type="http://schemas.openxmlformats.org/officeDocument/2006/relationships/hyperlink" Target="https://www.ancestry.co.uk/family-tree/tree/163868056/family/pedigree?cfpid=342355383133" TargetMode="External"/><Relationship Id="rId96" Type="http://schemas.openxmlformats.org/officeDocument/2006/relationships/hyperlink" Target="https://dnapainter.com/tools/sharedcmv4/10?fbclid=IwAR3wqfKWVRq1DI_x4i7OjYx5ayGhdwQu5Tj-9K3u_CVvBxgEWwX7fHipJPs" TargetMode="External"/><Relationship Id="rId140" Type="http://schemas.openxmlformats.org/officeDocument/2006/relationships/hyperlink" Target="https://www.ancestry.co.uk/family-tree/person/tree/163868056/person/342132992970/facts" TargetMode="External"/><Relationship Id="rId161" Type="http://schemas.openxmlformats.org/officeDocument/2006/relationships/hyperlink" Target="https://www.ancestry.co.uk/family-tree/tree/163868056/family/pedigree?cfpid=342593147120" TargetMode="External"/><Relationship Id="rId182" Type="http://schemas.openxmlformats.org/officeDocument/2006/relationships/hyperlink" Target="https://www.ancestry.co.uk/family-tree/person/tree/163868056/person/342132992964/facts" TargetMode="External"/><Relationship Id="rId217" Type="http://schemas.openxmlformats.org/officeDocument/2006/relationships/hyperlink" Target="https://www.ancestry.co.uk/family-tree/person/tree/163868056/person/342132993905/facts" TargetMode="External"/><Relationship Id="rId6" Type="http://schemas.openxmlformats.org/officeDocument/2006/relationships/hyperlink" Target="https://www.ancestry.co.uk/family-tree/person/tree/163868056/person/342132992964/facts" TargetMode="External"/><Relationship Id="rId23" Type="http://schemas.openxmlformats.org/officeDocument/2006/relationships/hyperlink" Target="https://www.ancestry.co.uk/family-tree/person/tree/163868056/person/342132993904/facts" TargetMode="External"/><Relationship Id="rId119" Type="http://schemas.openxmlformats.org/officeDocument/2006/relationships/hyperlink" Target="https://www.ancestry.co.uk/discoveryui-matches/compare/50a7c5ef-9e94-44be-a86a-5736956a97f2/with/811d5899-6293-11ee-b8bb-0e3f96da1e4d" TargetMode="External"/><Relationship Id="rId44" Type="http://schemas.openxmlformats.org/officeDocument/2006/relationships/hyperlink" Target="https://www.ancestry.co.uk/family-tree/person/tree/163868056/person/342132993906/facts" TargetMode="External"/><Relationship Id="rId65" Type="http://schemas.openxmlformats.org/officeDocument/2006/relationships/hyperlink" Target="https://www.ancestry.co.uk/family-tree/tree/163868056/family?cfpid=342153863183" TargetMode="External"/><Relationship Id="rId86" Type="http://schemas.openxmlformats.org/officeDocument/2006/relationships/hyperlink" Target="https://dnapainter.com/tools/sharedcmv4/13?fbclid=IwAR3wqfKWVRq1DI_x4i7OjYx5ayGhdwQu5Tj-9K3u_CVvBxgEWwX7fHipJPs" TargetMode="External"/><Relationship Id="rId130" Type="http://schemas.openxmlformats.org/officeDocument/2006/relationships/hyperlink" Target="https://www.ancestry.co.uk/family-tree/person/tree/163868056/person/342132993905/facts" TargetMode="External"/><Relationship Id="rId151" Type="http://schemas.openxmlformats.org/officeDocument/2006/relationships/hyperlink" Target="https://www.ancestry.co.uk/family-tree/tree/163868056/family/pedigree?cfpid=342593149789" TargetMode="External"/><Relationship Id="rId172" Type="http://schemas.openxmlformats.org/officeDocument/2006/relationships/hyperlink" Target="https://www.ancestry.co.uk/discoveryui-matches/compare/50a7c5ef-9e94-44be-a86a-5736956a97f2/with/1f017d75-6ae6-4975-9fee-e94e36fab365" TargetMode="External"/><Relationship Id="rId193" Type="http://schemas.openxmlformats.org/officeDocument/2006/relationships/hyperlink" Target="https://www.ancestry.co.uk/family-tree/tree/163868056/family/pedigree?cfpid=342604036236" TargetMode="External"/><Relationship Id="rId207" Type="http://schemas.openxmlformats.org/officeDocument/2006/relationships/hyperlink" Target="https://www.ancestry.co.uk/family-tree/tree/163868056/family?cfpid=342621206340" TargetMode="External"/><Relationship Id="rId13" Type="http://schemas.openxmlformats.org/officeDocument/2006/relationships/hyperlink" Target="https://www.ancestry.co.uk/family-tree/person/tree/163868056/person/342132992964/facts" TargetMode="External"/><Relationship Id="rId109" Type="http://schemas.openxmlformats.org/officeDocument/2006/relationships/hyperlink" Target="https://dnapainter.com/tools/sharedcmv4/10?fbclid=IwAR3wqfKWVRq1DI_x4i7OjYx5ayGhdwQu5Tj-9K3u_CVvBxgEWwX7fHipJPs" TargetMode="External"/><Relationship Id="rId34" Type="http://schemas.openxmlformats.org/officeDocument/2006/relationships/hyperlink" Target="https://www.ancestry.co.uk/family-tree/person/tree/163868056/person/342132993905/facts" TargetMode="External"/><Relationship Id="rId55" Type="http://schemas.openxmlformats.org/officeDocument/2006/relationships/hyperlink" Target="https://www.ancestry.co.uk/discoveryui-matches/compare/50a7c5ef-9e94-44be-a86a-5736956a97f2/with/c222a9b0-95d5-4ba8-8fa7-da3e5078ea20" TargetMode="External"/><Relationship Id="rId76" Type="http://schemas.openxmlformats.org/officeDocument/2006/relationships/hyperlink" Target="https://www.ancestry.co.uk/discoveryui-matches/compare/50a7c5ef-9e94-44be-a86a-5736956a97f2/with/f94b4daa-180f-47d8-a5da-2563303f2019" TargetMode="External"/><Relationship Id="rId97" Type="http://schemas.openxmlformats.org/officeDocument/2006/relationships/hyperlink" Target="https://dnapainter.com/tools/sharedcmv4/11?fbclid=IwAR3wqfKWVRq1DI_x4i7OjYx5ayGhdwQu5Tj-9K3u_CVvBxgEWwX7fHipJPs" TargetMode="External"/><Relationship Id="rId120" Type="http://schemas.openxmlformats.org/officeDocument/2006/relationships/hyperlink" Target="https://www.ancestry.co.uk/family-tree/person/tree/163868056/person/342132993905/facts" TargetMode="External"/><Relationship Id="rId141" Type="http://schemas.openxmlformats.org/officeDocument/2006/relationships/hyperlink" Target="https://www.ancestry.co.uk/family-tree/person/tree/163868056/person/342132993904/facts" TargetMode="External"/><Relationship Id="rId7" Type="http://schemas.openxmlformats.org/officeDocument/2006/relationships/hyperlink" Target="https://www.ancestry.co.uk/family-tree/person/tree/163868056/person/342132992964/facts" TargetMode="External"/><Relationship Id="rId162" Type="http://schemas.openxmlformats.org/officeDocument/2006/relationships/hyperlink" Target="https://www.ancestry.co.uk/discoveryui-matches/compare/50a7c5ef-9e94-44be-a86a-5736956a97f2/with/453998e1-10cf-485c-b633-b92661787f0a" TargetMode="External"/><Relationship Id="rId183" Type="http://schemas.openxmlformats.org/officeDocument/2006/relationships/hyperlink" Target="https://www.ancestry.co.uk/family-tree/person/tree/163868056/person/342132993904/facts" TargetMode="External"/><Relationship Id="rId218" Type="http://schemas.openxmlformats.org/officeDocument/2006/relationships/hyperlink" Target="https://www.ancestry.co.uk/family-tree/tree/163868056/family/pedigree?cfpid=342599071208" TargetMode="External"/><Relationship Id="rId24" Type="http://schemas.openxmlformats.org/officeDocument/2006/relationships/hyperlink" Target="https://www.ancestry.co.uk/family-tree/person/tree/163868056/person/342132993904/facts" TargetMode="External"/><Relationship Id="rId45" Type="http://schemas.openxmlformats.org/officeDocument/2006/relationships/hyperlink" Target="https://www.ancestry.co.uk/family-tree/person/tree/163868056/person/342132993906/facts" TargetMode="External"/><Relationship Id="rId66" Type="http://schemas.openxmlformats.org/officeDocument/2006/relationships/hyperlink" Target="https://www.ancestry.co.uk/discoveryui-matches/compare/50a7c5ef-9e94-44be-a86a-5736956a97f2/with/ef21790a-cd99-42d0-8df1-ccbe8a1fdd04" TargetMode="External"/><Relationship Id="rId87" Type="http://schemas.openxmlformats.org/officeDocument/2006/relationships/hyperlink" Target="https://dnapainter.com/tools/sharedcmv4/26.2?fbclid=IwAR3wqfKWVRq1DI_x4i7OjYx5ayGhdwQu5Tj-9K3u_CVvBxgEWwX7fHipJPs" TargetMode="External"/><Relationship Id="rId110" Type="http://schemas.openxmlformats.org/officeDocument/2006/relationships/hyperlink" Target="https://www.ancestry.co.uk/family-tree/person/tree/163868056/person/342132992964/facts" TargetMode="External"/><Relationship Id="rId131" Type="http://schemas.openxmlformats.org/officeDocument/2006/relationships/hyperlink" Target="https://www.ancestry.co.uk/discoveryui-matches/compare/8955cf51-8070-4a51-8674-b7f01b347aed/with/c36f3d24-f102-4048-9a7b-196208e25fd7" TargetMode="External"/><Relationship Id="rId152" Type="http://schemas.openxmlformats.org/officeDocument/2006/relationships/hyperlink" Target="https://www.ancestry.co.uk/family-tree/person/tree/163868056/person/342132992964/facts" TargetMode="External"/><Relationship Id="rId173" Type="http://schemas.openxmlformats.org/officeDocument/2006/relationships/hyperlink" Target="https://www.ancestry.co.uk/family-tree/person/tree/163868056/person/342132993905/facts" TargetMode="External"/><Relationship Id="rId194" Type="http://schemas.openxmlformats.org/officeDocument/2006/relationships/hyperlink" Target="https://dnapainter.com/tools/sharedcmv4/16?fbclid=IwAR3wqfKWVRq1DI_x4i7OjYx5ayGhdwQu5Tj-9K3u_CVvBxgEWwX7fHipJPs" TargetMode="External"/><Relationship Id="rId208" Type="http://schemas.openxmlformats.org/officeDocument/2006/relationships/hyperlink" Target="https://www.ancestry.co.uk/family-tree/person/tree/163868056/person/342132992970/facts" TargetMode="External"/><Relationship Id="rId14" Type="http://schemas.openxmlformats.org/officeDocument/2006/relationships/hyperlink" Target="https://www.ancestry.co.uk/family-tree/person/tree/163868056/person/342132992964/facts" TargetMode="External"/><Relationship Id="rId35" Type="http://schemas.openxmlformats.org/officeDocument/2006/relationships/hyperlink" Target="https://www.ancestry.co.uk/family-tree/person/tree/163868056/person/342132993905/facts" TargetMode="External"/><Relationship Id="rId56" Type="http://schemas.openxmlformats.org/officeDocument/2006/relationships/hyperlink" Target="https://www.myheritage.com/dna/match/D-F9099B9B-87A1-4274-827C-AF35BD245736-D-FCD4088C-F1B5-425A-814E-054FBA7134CC/691113321?p=1&amp;ps=10&amp;search=ROGER%20FARRER&amp;sort=total_shared_segments_length_in_cm&amp;memberId=704364871" TargetMode="External"/><Relationship Id="rId77" Type="http://schemas.openxmlformats.org/officeDocument/2006/relationships/hyperlink" Target="https://www.ancestry.co.uk/family-tree/tree/163868056/family/pedigree?cfpid=342153994198" TargetMode="External"/><Relationship Id="rId100" Type="http://schemas.openxmlformats.org/officeDocument/2006/relationships/hyperlink" Target="https://dnapainter.com/tools/sharedcmv4/9?fbclid=IwAR3wqfKWVRq1DI_x4i7OjYx5ayGhdwQu5Tj-9K3u_CVvBxgEWwX7fHipJPs" TargetMode="External"/><Relationship Id="rId8" Type="http://schemas.openxmlformats.org/officeDocument/2006/relationships/hyperlink" Target="https://www.ancestry.co.uk/family-tree/person/tree/163868056/person/342132992964/facts" TargetMode="External"/><Relationship Id="rId51" Type="http://schemas.openxmlformats.org/officeDocument/2006/relationships/hyperlink" Target="https://www.ancestry.co.uk/discoveryui-matches/compare/50a7c5ef-9e94-44be-a86a-5736956a97f2/with/1fa6f233-e4c3-4658-93cd-6bd8a1204aa6" TargetMode="External"/><Relationship Id="rId72" Type="http://schemas.openxmlformats.org/officeDocument/2006/relationships/hyperlink" Target="https://www.ancestry.co.uk/discoveryui-matches/compare/50a7c5ef-9e94-44be-a86a-5736956a97f2/with/57a0fd00-a02a-4e48-b58d-2e4cbe3277b3" TargetMode="External"/><Relationship Id="rId93" Type="http://schemas.openxmlformats.org/officeDocument/2006/relationships/hyperlink" Target="https://dnapainter.com/tools/sharedcmv4/10?fbclid=IwAR3wqfKWVRq1DI_x4i7OjYx5ayGhdwQu5Tj-9K3u_CVvBxgEWwX7fHipJPs" TargetMode="External"/><Relationship Id="rId98" Type="http://schemas.openxmlformats.org/officeDocument/2006/relationships/hyperlink" Target="https://dnapainter.com/tools/sharedcmv4/11?fbclid=IwAR3wqfKWVRq1DI_x4i7OjYx5ayGhdwQu5Tj-9K3u_CVvBxgEWwX7fHipJPs" TargetMode="External"/><Relationship Id="rId121" Type="http://schemas.openxmlformats.org/officeDocument/2006/relationships/hyperlink" Target="https://dnapainter.com/tools/sharedcmv4/8?fbclid=IwAR3wqfKWVRq1DI_x4i7OjYx5ayGhdwQu5Tj-9K3u_CVvBxgEWwX7fHipJPs" TargetMode="External"/><Relationship Id="rId142" Type="http://schemas.openxmlformats.org/officeDocument/2006/relationships/hyperlink" Target="https://www.ancestry.co.uk/family-tree/person/tree/163868056/person/342132993905/facts" TargetMode="External"/><Relationship Id="rId163" Type="http://schemas.openxmlformats.org/officeDocument/2006/relationships/hyperlink" Target="https://dnapainter.com/tools/sharedcmv4/10?fbclid=IwAR3wqfKWVRq1DI_x4i7OjYx5ayGhdwQu5Tj-9K3u_CVvBxgEWwX7fHipJPs" TargetMode="External"/><Relationship Id="rId184" Type="http://schemas.openxmlformats.org/officeDocument/2006/relationships/hyperlink" Target="https://www.ancestry.co.uk/discoveryui-matches/compare/50a7c5ef-9e94-44be-a86a-5736956a97f2/with/06764d3a-66c6-4547-83f8-7506099389c3" TargetMode="External"/><Relationship Id="rId189" Type="http://schemas.openxmlformats.org/officeDocument/2006/relationships/hyperlink" Target="https://www.ancestry.co.uk/family-tree/person/tree/163868056/person/342132993904/facts" TargetMode="External"/><Relationship Id="rId219" Type="http://schemas.openxmlformats.org/officeDocument/2006/relationships/hyperlink" Target="https://www.ancestry.co.uk/discoveryui-matches/compare/50a7c5ef-9e94-44be-a86a-5736956a97f2/with/24e828d9-d3f7-4f56-a595-e7c71aa07d5a" TargetMode="External"/><Relationship Id="rId3" Type="http://schemas.openxmlformats.org/officeDocument/2006/relationships/hyperlink" Target="https://www.ancestry.co.uk/family-tree/person/tree/163868056/person/342132992964/facts" TargetMode="External"/><Relationship Id="rId214" Type="http://schemas.openxmlformats.org/officeDocument/2006/relationships/hyperlink" Target="https://dnapainter.com/tools/sharedcmv4/14?fbclid=IwAR3wqfKWVRq1DI_x4i7OjYx5ayGhdwQu5Tj-9K3u_CVvBxgEWwX7fHipJPs" TargetMode="External"/><Relationship Id="rId25" Type="http://schemas.openxmlformats.org/officeDocument/2006/relationships/hyperlink" Target="https://www.ancestry.co.uk/family-tree/person/tree/163868056/person/342132993904/facts" TargetMode="External"/><Relationship Id="rId46" Type="http://schemas.openxmlformats.org/officeDocument/2006/relationships/hyperlink" Target="https://www.ancestry.co.uk/family-tree/person/tree/163868056/person/342145739712/facts" TargetMode="External"/><Relationship Id="rId67" Type="http://schemas.openxmlformats.org/officeDocument/2006/relationships/hyperlink" Target="https://www.ancestry.co.uk/family-tree/tree/163868056/family/pedigree?cfpid=342208648731" TargetMode="External"/><Relationship Id="rId116" Type="http://schemas.openxmlformats.org/officeDocument/2006/relationships/hyperlink" Target="https://www.ancestry.co.uk/family-tree/person/tree/163868056/person/342132992964/facts" TargetMode="External"/><Relationship Id="rId137" Type="http://schemas.openxmlformats.org/officeDocument/2006/relationships/hyperlink" Target="https://www.ancestry.co.uk/discoveryui-matches/compare/8955cf51-8070-4a51-8674-b7f01b347aed/with/24e828d9-d3f7-4f56-a595-e7c71aa07d5a" TargetMode="External"/><Relationship Id="rId158" Type="http://schemas.openxmlformats.org/officeDocument/2006/relationships/hyperlink" Target="https://www.ancestry.co.uk/family-tree/person/tree/163868056/person/342132992964/facts" TargetMode="External"/><Relationship Id="rId20" Type="http://schemas.openxmlformats.org/officeDocument/2006/relationships/hyperlink" Target="https://www.ancestry.co.uk/family-tree/person/tree/163868056/person/342132993904/facts" TargetMode="External"/><Relationship Id="rId41" Type="http://schemas.openxmlformats.org/officeDocument/2006/relationships/hyperlink" Target="https://www.ancestry.co.uk/family-tree/person/tree/163868056/person/342132993905/facts" TargetMode="External"/><Relationship Id="rId62" Type="http://schemas.openxmlformats.org/officeDocument/2006/relationships/hyperlink" Target="https://www.ancestry.co.uk/family-tree/tree/163868056/family/pedigree?cfpid=342244513172" TargetMode="External"/><Relationship Id="rId83" Type="http://schemas.openxmlformats.org/officeDocument/2006/relationships/hyperlink" Target="https://dnapainter.com/tools/sharedcmv4/21?fbclid=IwAR3wqfKWVRq1DI_x4i7OjYx5ayGhdwQu5Tj-9K3u_CVvBxgEWwX7fHipJPs" TargetMode="External"/><Relationship Id="rId88" Type="http://schemas.openxmlformats.org/officeDocument/2006/relationships/hyperlink" Target="https://dnapainter.com/tools/sharedcmv4/17?fbclid=IwAR3wqfKWVRq1DI_x4i7OjYx5ayGhdwQu5Tj-9K3u_CVvBxgEWwX7fHipJPs" TargetMode="External"/><Relationship Id="rId111" Type="http://schemas.openxmlformats.org/officeDocument/2006/relationships/hyperlink" Target="https://www.ancestry.co.uk/family-tree/person/tree/163868056/person/342132993904/facts" TargetMode="External"/><Relationship Id="rId132" Type="http://schemas.openxmlformats.org/officeDocument/2006/relationships/hyperlink" Target="https://dnapainter.com/tools/sharedcmv4/29?fbclid=IwAR3wqfKWVRq1DI_x4i7OjYx5ayGhdwQu5Tj-9K3u_CVvBxgEWwX7fHipJPs" TargetMode="External"/><Relationship Id="rId153" Type="http://schemas.openxmlformats.org/officeDocument/2006/relationships/hyperlink" Target="https://www.ancestry.co.uk/family-tree/person/tree/163868056/person/342132993904/facts" TargetMode="External"/><Relationship Id="rId174" Type="http://schemas.openxmlformats.org/officeDocument/2006/relationships/hyperlink" Target="https://dnapainter.com/tools/sharedcmv4/7?fbclid=IwAR3wqfKWVRq1DI_x4i7OjYx5ayGhdwQu5Tj-9K3u_CVvBxgEWwX7fHipJPs" TargetMode="External"/><Relationship Id="rId179" Type="http://schemas.openxmlformats.org/officeDocument/2006/relationships/hyperlink" Target="https://www.ancestry.co.uk/family-tree/person/tree/163868056/person/342132993905/facts" TargetMode="External"/><Relationship Id="rId195" Type="http://schemas.openxmlformats.org/officeDocument/2006/relationships/hyperlink" Target="https://www.ancestry.co.uk/family-tree/person/tree/163868056/person/342132992970/facts" TargetMode="External"/><Relationship Id="rId209" Type="http://schemas.openxmlformats.org/officeDocument/2006/relationships/hyperlink" Target="https://www.ancestry.co.uk/family-tree/person/tree/163868056/person/342132993904/facts" TargetMode="External"/><Relationship Id="rId190" Type="http://schemas.openxmlformats.org/officeDocument/2006/relationships/hyperlink" Target="https://www.ancestry.co.uk/family-tree/person/tree/163868056/person/342132993905/facts" TargetMode="External"/><Relationship Id="rId204" Type="http://schemas.openxmlformats.org/officeDocument/2006/relationships/hyperlink" Target="https://www.ancestry.co.uk/family-tree/person/tree/163868056/person/342132993905/facts" TargetMode="External"/><Relationship Id="rId220" Type="http://schemas.openxmlformats.org/officeDocument/2006/relationships/hyperlink" Target="https://dnapainter.com/tools/sharedcmv4/19?fbclid=IwAR3wqfKWVRq1DI_x4i7OjYx5ayGhdwQu5Tj-9K3u_CVvBxgEWwX7fHipJPs" TargetMode="External"/><Relationship Id="rId15" Type="http://schemas.openxmlformats.org/officeDocument/2006/relationships/hyperlink" Target="https://www.ancestry.co.uk/family-tree/person/tree/163868056/person/342132992964/facts" TargetMode="External"/><Relationship Id="rId36" Type="http://schemas.openxmlformats.org/officeDocument/2006/relationships/hyperlink" Target="https://www.ancestry.co.uk/family-tree/person/tree/163868056/person/342132993905/facts" TargetMode="External"/><Relationship Id="rId57" Type="http://schemas.openxmlformats.org/officeDocument/2006/relationships/hyperlink" Target="https://www.ancestry.co.uk/family-tree/tree/163868056/family?cfpid=342215794857" TargetMode="External"/><Relationship Id="rId106" Type="http://schemas.openxmlformats.org/officeDocument/2006/relationships/hyperlink" Target="https://www.ancestry.co.uk/family-tree/person/tree/163868056/person/342132993905/facts" TargetMode="External"/><Relationship Id="rId127" Type="http://schemas.openxmlformats.org/officeDocument/2006/relationships/hyperlink" Target="https://www.ancestry.co.uk/family-tree/tree/163868056/family/pedigree?cfpid=342268583411" TargetMode="External"/><Relationship Id="rId10" Type="http://schemas.openxmlformats.org/officeDocument/2006/relationships/hyperlink" Target="https://www.ancestry.co.uk/family-tree/person/tree/163868056/person/342132992964/facts" TargetMode="External"/><Relationship Id="rId31" Type="http://schemas.openxmlformats.org/officeDocument/2006/relationships/hyperlink" Target="https://www.ancestry.co.uk/family-tree/person/tree/163868056/person/342132993905/facts" TargetMode="External"/><Relationship Id="rId52" Type="http://schemas.openxmlformats.org/officeDocument/2006/relationships/hyperlink" Target="https://www.ancestry.co.uk/family-tree/tree/163868056/family?cfpid=342398042840" TargetMode="External"/><Relationship Id="rId73" Type="http://schemas.openxmlformats.org/officeDocument/2006/relationships/hyperlink" Target="https://www.ancestry.co.uk/family-tree/tree/163868056/family/pedigree?cfpid=342280607646" TargetMode="External"/><Relationship Id="rId78" Type="http://schemas.openxmlformats.org/officeDocument/2006/relationships/hyperlink" Target="https://www.ancestry.co.uk/discoveryui-matches/compare/50a7c5ef-9e94-44be-a86a-5736956a97f2/with/1ca2ccfb-d014-43c4-8ad4-98fd23781e73" TargetMode="External"/><Relationship Id="rId94" Type="http://schemas.openxmlformats.org/officeDocument/2006/relationships/hyperlink" Target="https://dnapainter.com/tools/sharedcmv4/10?fbclid=IwAR3wqfKWVRq1DI_x4i7OjYx5ayGhdwQu5Tj-9K3u_CVvBxgEWwX7fHipJPs" TargetMode="External"/><Relationship Id="rId99" Type="http://schemas.openxmlformats.org/officeDocument/2006/relationships/hyperlink" Target="https://dnapainter.com/tools/sharedcmv4/11?fbclid=IwAR3wqfKWVRq1DI_x4i7OjYx5ayGhdwQu5Tj-9K3u_CVvBxgEWwX7fHipJPs" TargetMode="External"/><Relationship Id="rId101" Type="http://schemas.openxmlformats.org/officeDocument/2006/relationships/hyperlink" Target="https://dnapainter.com/tools/sharedcmv4/9?fbclid=IwAR3wqfKWVRq1DI_x4i7OjYx5ayGhdwQu5Tj-9K3u_CVvBxgEWwX7fHipJPs" TargetMode="External"/><Relationship Id="rId122" Type="http://schemas.openxmlformats.org/officeDocument/2006/relationships/hyperlink" Target="https://www.ancestry.co.uk/family-tree/person/tree/163868056/person/342132992970/facts" TargetMode="External"/><Relationship Id="rId143" Type="http://schemas.openxmlformats.org/officeDocument/2006/relationships/hyperlink" Target="https://www.ancestry.co.uk/discoveryui-matches/compare/50a7c5ef-9e94-44be-a86a-5736956a97f2/with/3663c911-fbad-4932-b6cb-d3a2507fc7f6" TargetMode="External"/><Relationship Id="rId148" Type="http://schemas.openxmlformats.org/officeDocument/2006/relationships/hyperlink" Target="https://www.ancestry.co.uk/family-tree/person/tree/163868056/person/342132993905/facts" TargetMode="External"/><Relationship Id="rId164" Type="http://schemas.openxmlformats.org/officeDocument/2006/relationships/hyperlink" Target="https://www.ancestry.co.uk/family-tree/person/tree/163868056/person/342132992964/facts" TargetMode="External"/><Relationship Id="rId169" Type="http://schemas.openxmlformats.org/officeDocument/2006/relationships/hyperlink" Target="https://www.ancestry.co.uk/family-tree/tree/163868056/family/pedigree?cfpid=342593147236" TargetMode="External"/><Relationship Id="rId185" Type="http://schemas.openxmlformats.org/officeDocument/2006/relationships/hyperlink" Target="https://www.ancestry.co.uk/family-tree/person/tree/163868056/person/342132993905/facts" TargetMode="External"/><Relationship Id="rId4" Type="http://schemas.openxmlformats.org/officeDocument/2006/relationships/hyperlink" Target="https://www.ancestry.co.uk/family-tree/person/tree/163868056/person/342132992964/facts" TargetMode="External"/><Relationship Id="rId9" Type="http://schemas.openxmlformats.org/officeDocument/2006/relationships/hyperlink" Target="https://www.ancestry.co.uk/family-tree/person/tree/163868056/person/342132992964/facts" TargetMode="External"/><Relationship Id="rId180" Type="http://schemas.openxmlformats.org/officeDocument/2006/relationships/hyperlink" Target="https://dnapainter.com/tools/sharedcmv4/7?fbclid=IwAR3wqfKWVRq1DI_x4i7OjYx5ayGhdwQu5Tj-9K3u_CVvBxgEWwX7fHipJPs" TargetMode="External"/><Relationship Id="rId210" Type="http://schemas.openxmlformats.org/officeDocument/2006/relationships/hyperlink" Target="https://www.ancestry.co.uk/family-tree/person/tree/163868056/person/342132993905/facts" TargetMode="External"/><Relationship Id="rId215" Type="http://schemas.openxmlformats.org/officeDocument/2006/relationships/hyperlink" Target="https://www.ancestry.co.uk/family-tree/person/tree/163868056/person/342132992964/facts" TargetMode="External"/><Relationship Id="rId26" Type="http://schemas.openxmlformats.org/officeDocument/2006/relationships/hyperlink" Target="https://www.ancestry.co.uk/family-tree/person/tree/163868056/person/342132993904/facts" TargetMode="External"/><Relationship Id="rId47" Type="http://schemas.openxmlformats.org/officeDocument/2006/relationships/hyperlink" Target="https://www.ancestry.co.uk/family-tree/person/tree/163868056/person/342145739714/facts" TargetMode="External"/><Relationship Id="rId68" Type="http://schemas.openxmlformats.org/officeDocument/2006/relationships/hyperlink" Target="https://www.ancestry.co.uk/discoveryui-matches/compare/50a7c5ef-9e94-44be-a86a-5736956a97f2/with/4829eeaa-ebef-46a2-a4b3-30edc2b4d575" TargetMode="External"/><Relationship Id="rId89" Type="http://schemas.openxmlformats.org/officeDocument/2006/relationships/hyperlink" Target="https://dnapainter.com/tools/sharedcmv4/17?fbclid=IwAR3wqfKWVRq1DI_x4i7OjYx5ayGhdwQu5Tj-9K3u_CVvBxgEWwX7fHipJPs" TargetMode="External"/><Relationship Id="rId112" Type="http://schemas.openxmlformats.org/officeDocument/2006/relationships/hyperlink" Target="https://www.ancestry.co.uk/family-tree/person/tree/163868056/person/342132993905/facts" TargetMode="External"/><Relationship Id="rId133" Type="http://schemas.openxmlformats.org/officeDocument/2006/relationships/hyperlink" Target="https://www.ancestry.co.uk/family-tree/tree/163868056/family/pedigree?cfpid=342593146891" TargetMode="External"/><Relationship Id="rId154" Type="http://schemas.openxmlformats.org/officeDocument/2006/relationships/hyperlink" Target="https://www.ancestry.co.uk/family-tree/person/tree/163868056/person/342132993905/facts" TargetMode="External"/><Relationship Id="rId175" Type="http://schemas.openxmlformats.org/officeDocument/2006/relationships/hyperlink" Target="https://www.ancestry.co.uk/family-tree/tree/163868056/family/pedigree?cfpid=342593150234" TargetMode="External"/><Relationship Id="rId196" Type="http://schemas.openxmlformats.org/officeDocument/2006/relationships/hyperlink" Target="https://www.ancestry.co.uk/family-tree/person/tree/163868056/person/342132993904/facts" TargetMode="External"/><Relationship Id="rId200" Type="http://schemas.openxmlformats.org/officeDocument/2006/relationships/hyperlink" Target="https://www.ancestry.co.uk/family-tree/tree/163868056/family/pedigree?cfpid=342260370261" TargetMode="External"/><Relationship Id="rId16" Type="http://schemas.openxmlformats.org/officeDocument/2006/relationships/hyperlink" Target="https://www.ancestry.co.uk/family-tree/person/tree/163868056/person/342132992970/facts" TargetMode="External"/><Relationship Id="rId221" Type="http://schemas.openxmlformats.org/officeDocument/2006/relationships/hyperlink" Target="https://dnapainter.com/tools/sharedcmv4/13?fbclid=IwAR3wqfKWVRq1DI_x4i7OjYx5ayGhdwQu5Tj-9K3u_CVvBxgEWwX7fHipJPs" TargetMode="External"/><Relationship Id="rId37" Type="http://schemas.openxmlformats.org/officeDocument/2006/relationships/hyperlink" Target="https://www.ancestry.co.uk/family-tree/person/tree/163868056/person/342132993905/facts" TargetMode="External"/><Relationship Id="rId58" Type="http://schemas.openxmlformats.org/officeDocument/2006/relationships/hyperlink" Target="https://www.ancestry.co.uk/family-tree/tree/163868056/family?cfpid=342234912315" TargetMode="External"/><Relationship Id="rId79" Type="http://schemas.openxmlformats.org/officeDocument/2006/relationships/hyperlink" Target="https://www.ancestry.co.uk/family-tree/person/tree/163868056/person/342132993905/facts" TargetMode="External"/><Relationship Id="rId102" Type="http://schemas.openxmlformats.org/officeDocument/2006/relationships/hyperlink" Target="https://dnapainter.com/tools/sharedcmv4/8?fbclid=IwAR3wqfKWVRq1DI_x4i7OjYx5ayGhdwQu5Tj-9K3u_CVvBxgEWwX7fHipJPs" TargetMode="External"/><Relationship Id="rId123" Type="http://schemas.openxmlformats.org/officeDocument/2006/relationships/hyperlink" Target="https://www.ancestry.co.uk/family-tree/person/tree/163868056/person/342132993904/facts" TargetMode="External"/><Relationship Id="rId144" Type="http://schemas.openxmlformats.org/officeDocument/2006/relationships/hyperlink" Target="https://dnapainter.com/tools/sharedcmv4/13?fbclid=IwAR3wqfKWVRq1DI_x4i7OjYx5ayGhdwQu5Tj-9K3u_CVvBxgEWwX7fHipJPs" TargetMode="External"/><Relationship Id="rId90" Type="http://schemas.openxmlformats.org/officeDocument/2006/relationships/hyperlink" Target="https://dnapainter.com/tools/sharedcmv4/12?fbclid=IwAR3wqfKWVRq1DI_x4i7OjYx5ayGhdwQu5Tj-9K3u_CVvBxgEWwX7fHipJPs" TargetMode="External"/><Relationship Id="rId165" Type="http://schemas.openxmlformats.org/officeDocument/2006/relationships/hyperlink" Target="https://www.ancestry.co.uk/family-tree/person/tree/163868056/person/342132993904/facts" TargetMode="External"/><Relationship Id="rId186" Type="http://schemas.openxmlformats.org/officeDocument/2006/relationships/hyperlink" Target="https://dnapainter.com/tools/sharedcmv4/7?fbclid=IwAR3wqfKWVRq1DI_x4i7OjYx5ayGhdwQu5Tj-9K3u_CVvBxgEWwX7fHipJPs" TargetMode="External"/><Relationship Id="rId211" Type="http://schemas.openxmlformats.org/officeDocument/2006/relationships/hyperlink" Target="https://www.ancestry.co.uk/discoveryui-matches/compare/50a7c5ef-9e94-44be-a86a-5736956a97f2/with/b74b7072-25df-47d8-8ccf-355ee47e7d9e" TargetMode="External"/><Relationship Id="rId27" Type="http://schemas.openxmlformats.org/officeDocument/2006/relationships/hyperlink" Target="https://www.ancestry.co.uk/family-tree/person/tree/163868056/person/342132993904/facts" TargetMode="External"/><Relationship Id="rId48" Type="http://schemas.openxmlformats.org/officeDocument/2006/relationships/hyperlink" Target="https://www.ancestry.co.uk/family-tree/tree/163868056/family?cfpid=342153446725" TargetMode="External"/><Relationship Id="rId69" Type="http://schemas.openxmlformats.org/officeDocument/2006/relationships/hyperlink" Target="https://www.ancestry.co.uk/family-tree/tree/163868056/family?cfpid=342153866337" TargetMode="External"/><Relationship Id="rId113" Type="http://schemas.openxmlformats.org/officeDocument/2006/relationships/hyperlink" Target="https://www.ancestry.co.uk/discoveryui-matches/compare/50a7c5ef-9e94-44be-a86a-5736956a97f2/with/751d27a2-0760-42d8-9347-d11a9a9723d7" TargetMode="External"/><Relationship Id="rId134" Type="http://schemas.openxmlformats.org/officeDocument/2006/relationships/hyperlink" Target="https://www.ancestry.co.uk/family-tree/person/tree/163868056/person/342132992970/facts" TargetMode="External"/><Relationship Id="rId80" Type="http://schemas.openxmlformats.org/officeDocument/2006/relationships/hyperlink" Target="https://dnapainter.com/tools/sharedcmv4/42?fbclid=IwAR3wqfKWVRq1DI_x4i7OjYx5ayGhdwQu5Tj-9K3u_CVvBxgEWwX7fHipJPs" TargetMode="External"/><Relationship Id="rId155" Type="http://schemas.openxmlformats.org/officeDocument/2006/relationships/hyperlink" Target="https://www.ancestry.co.uk/discoveryui-matches/compare/50a7c5ef-9e94-44be-a86a-5736956a97f2/with/b23b594a-a17a-4906-b5a2-0bc7398e3c17" TargetMode="External"/><Relationship Id="rId176" Type="http://schemas.openxmlformats.org/officeDocument/2006/relationships/hyperlink" Target="https://www.ancestry.co.uk/family-tree/person/tree/163868056/person/342132992964/facts" TargetMode="External"/><Relationship Id="rId197" Type="http://schemas.openxmlformats.org/officeDocument/2006/relationships/hyperlink" Target="https://www.ancestry.co.uk/family-tree/person/tree/163868056/person/342132993905/facts" TargetMode="External"/><Relationship Id="rId201" Type="http://schemas.openxmlformats.org/officeDocument/2006/relationships/hyperlink" Target="https://www.myheritage.com/dna/match/D-F9099B9B-87A1-4274-827C-AF35BD245736-D-CE86C82C-B307-41D6-B991-2FCA108305F1/691113321?p=1&amp;ps=10&amp;search=ALEX%20HAWKINS&amp;sort=total_shared_segments_length_in_cm&amp;memberId=704364871&amp;index=3" TargetMode="External"/><Relationship Id="rId222" Type="http://schemas.openxmlformats.org/officeDocument/2006/relationships/hyperlink" Target="https://dnapainter.com/tools/sharedcmv4/13?fbclid=IwAR3wqfKWVRq1DI_x4i7OjYx5ayGhdwQu5Tj-9K3u_CVvBxgEWwX7fHipJPs" TargetMode="External"/><Relationship Id="rId17" Type="http://schemas.openxmlformats.org/officeDocument/2006/relationships/hyperlink" Target="https://www.ancestry.co.uk/family-tree/person/tree/163868056/person/342132993904/facts" TargetMode="External"/><Relationship Id="rId38" Type="http://schemas.openxmlformats.org/officeDocument/2006/relationships/hyperlink" Target="https://www.ancestry.co.uk/family-tree/person/tree/163868056/person/342132993905/facts" TargetMode="External"/><Relationship Id="rId59" Type="http://schemas.openxmlformats.org/officeDocument/2006/relationships/hyperlink" Target="https://www.ancestry.co.uk/discoveryui-matches/compare/50a7c5ef-9e94-44be-a86a-5736956a97f2/with/4617ac68-1e3e-47ae-8383-0156f229c485" TargetMode="External"/><Relationship Id="rId103" Type="http://schemas.openxmlformats.org/officeDocument/2006/relationships/hyperlink" Target="https://dnapainter.com/tools/sharedcmv4/7?fbclid=IwAR3wqfKWVRq1DI_x4i7OjYx5ayGhdwQu5Tj-9K3u_CVvBxgEWwX7fHipJPs" TargetMode="External"/><Relationship Id="rId124" Type="http://schemas.openxmlformats.org/officeDocument/2006/relationships/hyperlink" Target="https://www.ancestry.co.uk/family-tree/person/tree/163868056/person/342132993905/facts" TargetMode="External"/><Relationship Id="rId70" Type="http://schemas.openxmlformats.org/officeDocument/2006/relationships/hyperlink" Target="https://www.ancestry.co.uk/discoveryui-matches/compare/50a7c5ef-9e94-44be-a86a-5736956a97f2/with/6552ea11-e1ce-4bc1-80b4-ceaa181cf59f" TargetMode="External"/><Relationship Id="rId91" Type="http://schemas.openxmlformats.org/officeDocument/2006/relationships/hyperlink" Target="https://dnapainter.com/tools/sharedcmv4/12?fbclid=IwAR3wqfKWVRq1DI_x4i7OjYx5ayGhdwQu5Tj-9K3u_CVvBxgEWwX7fHipJPs" TargetMode="External"/><Relationship Id="rId145" Type="http://schemas.openxmlformats.org/officeDocument/2006/relationships/hyperlink" Target="https://www.ancestry.co.uk/family-tree/tree/163868056/family/pedigree?cfpid=342593149751" TargetMode="External"/><Relationship Id="rId166" Type="http://schemas.openxmlformats.org/officeDocument/2006/relationships/hyperlink" Target="https://www.ancestry.co.uk/discoveryui-matches/compare/50a7c5ef-9e94-44be-a86a-5736956a97f2/with/7a022d2f-5ed5-495d-b7c8-6d49c9ffdb2e" TargetMode="External"/><Relationship Id="rId187" Type="http://schemas.openxmlformats.org/officeDocument/2006/relationships/hyperlink" Target="https://www.ancestry.co.uk/family-tree/tree/163868056/family/pedigree?cfpid=342601092164" TargetMode="External"/><Relationship Id="rId1" Type="http://schemas.openxmlformats.org/officeDocument/2006/relationships/hyperlink" Target="https://www.ancestry.co.uk/family-tree/person/tree/163868056/person/342132992964/facts" TargetMode="External"/><Relationship Id="rId212" Type="http://schemas.openxmlformats.org/officeDocument/2006/relationships/hyperlink" Target="https://dnapainter.com/tools/sharedcmv4/14?fbclid=IwAR3wqfKWVRq1DI_x4i7OjYx5ayGhdwQu5Tj-9K3u_CVvBxgEWwX7fHipJPs" TargetMode="External"/><Relationship Id="rId28" Type="http://schemas.openxmlformats.org/officeDocument/2006/relationships/hyperlink" Target="https://www.ancestry.co.uk/family-tree/person/tree/163868056/person/342132993904/facts" TargetMode="External"/><Relationship Id="rId49" Type="http://schemas.openxmlformats.org/officeDocument/2006/relationships/hyperlink" Target="https://www.ancestry.co.uk/discoveryui-matches/compare/8955cf51-8070-4a51-8674-b7f01b347aed/with/3f1cc309-87e3-45ca-9731-412c381ca6bf" TargetMode="External"/><Relationship Id="rId114" Type="http://schemas.openxmlformats.org/officeDocument/2006/relationships/hyperlink" Target="https://dnapainter.com/tools/sharedcmv4/9?fbclid=IwAR3wqfKWVRq1DI_x4i7OjYx5ayGhdwQu5Tj-9K3u_CVvBxgEWwX7fHipJPs" TargetMode="External"/><Relationship Id="rId60" Type="http://schemas.openxmlformats.org/officeDocument/2006/relationships/hyperlink" Target="https://www.ancestry.co.uk/family-tree/tree/163868056/family?cfpid=342268583444" TargetMode="External"/><Relationship Id="rId81" Type="http://schemas.openxmlformats.org/officeDocument/2006/relationships/hyperlink" Target="https://dnapainter.com/tools/sharedcmv4/29?fbclid=IwAR3wqfKWVRq1DI_x4i7OjYx5ayGhdwQu5Tj-9K3u_CVvBxgEWwX7fHipJPs" TargetMode="External"/><Relationship Id="rId135" Type="http://schemas.openxmlformats.org/officeDocument/2006/relationships/hyperlink" Target="https://www.ancestry.co.uk/family-tree/person/tree/163868056/person/342132993904/facts" TargetMode="External"/><Relationship Id="rId156" Type="http://schemas.openxmlformats.org/officeDocument/2006/relationships/hyperlink" Target="https://dnapainter.com/tools/sharedcmv4/11?fbclid=IwAR3wqfKWVRq1DI_x4i7OjYx5ayGhdwQu5Tj-9K3u_CVvBxgEWwX7fHipJPs" TargetMode="External"/><Relationship Id="rId177" Type="http://schemas.openxmlformats.org/officeDocument/2006/relationships/hyperlink" Target="https://www.ancestry.co.uk/family-tree/person/tree/163868056/person/342132993904/facts" TargetMode="External"/><Relationship Id="rId198" Type="http://schemas.openxmlformats.org/officeDocument/2006/relationships/hyperlink" Target="https://www.myheritage.com/dna/match/D-F9099B9B-87A1-4274-827C-AF35BD245736-D-09FF5414-9787-4376-8471-E576AFACBE84/691113321?p=1&amp;ps=10&amp;search=kayleigh&amp;sort=creation_time&amp;memberId=704364871&amp;index=1" TargetMode="External"/><Relationship Id="rId202" Type="http://schemas.openxmlformats.org/officeDocument/2006/relationships/hyperlink" Target="https://www.ancestry.co.uk/family-tree/person/tree/163868056/person/342132992970/facts" TargetMode="External"/><Relationship Id="rId18" Type="http://schemas.openxmlformats.org/officeDocument/2006/relationships/hyperlink" Target="https://www.ancestry.co.uk/family-tree/person/tree/163868056/person/342132993904/facts" TargetMode="External"/><Relationship Id="rId39" Type="http://schemas.openxmlformats.org/officeDocument/2006/relationships/hyperlink" Target="https://www.ancestry.co.uk/family-tree/person/tree/163868056/person/342132993905/facts" TargetMode="External"/><Relationship Id="rId50" Type="http://schemas.openxmlformats.org/officeDocument/2006/relationships/hyperlink" Target="https://www.ancestry.co.uk/family-tree/tree/163868056/family/pedigree?cfpid=342285930377" TargetMode="External"/><Relationship Id="rId104" Type="http://schemas.openxmlformats.org/officeDocument/2006/relationships/hyperlink" Target="https://www.ancestry.co.uk/family-tree/person/tree/163868056/person/342132992964/facts" TargetMode="External"/><Relationship Id="rId125" Type="http://schemas.openxmlformats.org/officeDocument/2006/relationships/hyperlink" Target="https://www.ancestry.co.uk/discoveryui-matches/compare/8955CF51-8070-4A51-8674-B7F01B347AED/with/56B8DA93-3C54-40AF-A30D-ED495ED59BA0" TargetMode="External"/><Relationship Id="rId146" Type="http://schemas.openxmlformats.org/officeDocument/2006/relationships/hyperlink" Target="https://www.ancestry.co.uk/family-tree/person/tree/163868056/person/342132992970/facts" TargetMode="External"/><Relationship Id="rId167" Type="http://schemas.openxmlformats.org/officeDocument/2006/relationships/hyperlink" Target="https://www.ancestry.co.uk/family-tree/person/tree/163868056/person/342132993905/facts" TargetMode="External"/><Relationship Id="rId188" Type="http://schemas.openxmlformats.org/officeDocument/2006/relationships/hyperlink" Target="https://www.ancestry.co.uk/family-tree/person/tree/163868056/person/342132992970/facts" TargetMode="External"/><Relationship Id="rId71" Type="http://schemas.openxmlformats.org/officeDocument/2006/relationships/hyperlink" Target="https://www.ancestry.co.uk/family-tree/tree/163868056/family?cfpid=342268599397" TargetMode="External"/><Relationship Id="rId92" Type="http://schemas.openxmlformats.org/officeDocument/2006/relationships/hyperlink" Target="https://dnapainter.com/tools/sharedcmv4/10?fbclid=IwAR3wqfKWVRq1DI_x4i7OjYx5ayGhdwQu5Tj-9K3u_CVvBxgEWwX7fHipJPs" TargetMode="External"/><Relationship Id="rId213" Type="http://schemas.openxmlformats.org/officeDocument/2006/relationships/hyperlink" Target="https://www.ancestry.co.uk/family-tree/tree/163868056/family/pedigree?cfpid=342628425691" TargetMode="External"/><Relationship Id="rId2" Type="http://schemas.openxmlformats.org/officeDocument/2006/relationships/hyperlink" Target="https://www.ancestry.co.uk/family-tree/person/tree/163868056/person/342132992964/facts" TargetMode="External"/><Relationship Id="rId29" Type="http://schemas.openxmlformats.org/officeDocument/2006/relationships/hyperlink" Target="https://www.ancestry.co.uk/family-tree/person/tree/163868056/person/342132993904/facts" TargetMode="External"/><Relationship Id="rId40" Type="http://schemas.openxmlformats.org/officeDocument/2006/relationships/hyperlink" Target="https://www.ancestry.co.uk/family-tree/person/tree/163868056/person/342132993905/facts" TargetMode="External"/><Relationship Id="rId115" Type="http://schemas.openxmlformats.org/officeDocument/2006/relationships/hyperlink" Target="https://www.ancestry.co.uk/family-tree/tree/163868056/family/pedigree?cfpid=342355383096" TargetMode="External"/><Relationship Id="rId136" Type="http://schemas.openxmlformats.org/officeDocument/2006/relationships/hyperlink" Target="https://www.ancestry.co.uk/family-tree/person/tree/163868056/person/342132993905/facts" TargetMode="External"/><Relationship Id="rId157" Type="http://schemas.openxmlformats.org/officeDocument/2006/relationships/hyperlink" Target="https://www.ancestry.co.uk/family-tree/tree/163868056/family/pedigree?cfpid=342600806763" TargetMode="External"/><Relationship Id="rId178" Type="http://schemas.openxmlformats.org/officeDocument/2006/relationships/hyperlink" Target="https://www.ancestry.co.uk/discoveryui-matches/compare/50a7c5ef-9e94-44be-a86a-5736956a97f2/with/7ef08bfa-17dd-4ae8-9177-fbdcce1e9746" TargetMode="External"/><Relationship Id="rId61" Type="http://schemas.openxmlformats.org/officeDocument/2006/relationships/hyperlink" Target="https://www.ancestry.co.uk/discoveryui-matches/compare/8955CF51-8070-4A51-8674-B7F01B347AED/with/56B8DA93-3C54-40AF-A30D-ED495ED59BA0" TargetMode="External"/><Relationship Id="rId82" Type="http://schemas.openxmlformats.org/officeDocument/2006/relationships/hyperlink" Target="https://dnapainter.com/tools/sharedcmv4/37?fbclid=IwAR3wqfKWVRq1DI_x4i7OjYx5ayGhdwQu5Tj-9K3u_CVvBxgEWwX7fHipJPs" TargetMode="External"/><Relationship Id="rId199" Type="http://schemas.openxmlformats.org/officeDocument/2006/relationships/hyperlink" Target="https://dnapainter.com/tools/sharedcmv4/15?fbclid=IwAR3wqfKWVRq1DI_x4i7OjYx5ayGhdwQu5Tj-9K3u_CVvBxgEWwX7fHipJPs" TargetMode="External"/><Relationship Id="rId203" Type="http://schemas.openxmlformats.org/officeDocument/2006/relationships/hyperlink" Target="https://www.ancestry.co.uk/family-tree/person/tree/163868056/person/342132993904/facts" TargetMode="External"/><Relationship Id="rId19" Type="http://schemas.openxmlformats.org/officeDocument/2006/relationships/hyperlink" Target="https://www.ancestry.co.uk/family-tree/person/tree/163868056/person/342132993904/facts" TargetMode="External"/><Relationship Id="rId30" Type="http://schemas.openxmlformats.org/officeDocument/2006/relationships/hyperlink" Target="https://www.ancestry.co.uk/family-tree/person/tree/163868056/person/342132993905/facts" TargetMode="External"/><Relationship Id="rId105" Type="http://schemas.openxmlformats.org/officeDocument/2006/relationships/hyperlink" Target="https://www.ancestry.co.uk/family-tree/person/tree/163868056/person/342132993904/facts" TargetMode="External"/><Relationship Id="rId126" Type="http://schemas.openxmlformats.org/officeDocument/2006/relationships/hyperlink" Target="https://dnapainter.com/tools/sharedcmv4/14?fbclid=IwAR3wqfKWVRq1DI_x4i7OjYx5ayGhdwQu5Tj-9K3u_CVvBxgEWwX7fHipJPs" TargetMode="External"/><Relationship Id="rId147" Type="http://schemas.openxmlformats.org/officeDocument/2006/relationships/hyperlink" Target="https://www.ancestry.co.uk/family-tree/person/tree/163868056/person/342132993904/facts" TargetMode="External"/><Relationship Id="rId168" Type="http://schemas.openxmlformats.org/officeDocument/2006/relationships/hyperlink" Target="https://dnapainter.com/tools/sharedcmv4/8?fbclid=IwAR3wqfKWVRq1DI_x4i7OjYx5ayGhdwQu5Tj-9K3u_CVvBxgEWwX7fHipJPs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ncestry.co.uk/discoveryui-matches/compare/50a7c5ef-9e94-44be-a86a-5736956a97f2/with/74d0e211-b6de-4ec8-9402-26eaa46438c6" TargetMode="External"/><Relationship Id="rId7" Type="http://schemas.openxmlformats.org/officeDocument/2006/relationships/hyperlink" Target="https://dnapainter.com/tools/sharedcmv4/10?fbclid=IwAR3wqfKWVRq1DI_x4i7OjYx5ayGhdwQu5Tj-9K3u_CVvBxgEWwX7fHipJPs" TargetMode="External"/><Relationship Id="rId2" Type="http://schemas.openxmlformats.org/officeDocument/2006/relationships/hyperlink" Target="https://www.ancestry.co.uk/family-tree/tree/163868056/family/pedigree?cfpid=342270655747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dnapainter.com/tools/sharedcmv4/12?fbclid=IwAR3wqfKWVRq1DI_x4i7OjYx5ayGhdwQu5Tj-9K3u_CVvBxgEWwX7fHipJPs" TargetMode="External"/><Relationship Id="rId5" Type="http://schemas.openxmlformats.org/officeDocument/2006/relationships/hyperlink" Target="https://www.ancestry.co.uk/family-tree/person/tree/163868056/person/342175144317/facts" TargetMode="External"/><Relationship Id="rId4" Type="http://schemas.openxmlformats.org/officeDocument/2006/relationships/hyperlink" Target="https://www.ancestry.co.uk/family-tree/person/tree/163868056/person/342175144328/facts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yheritage.com/dna/match/D-F9099B9B-87A1-4274-827C-AF35BD245736-D-C3D5775B-0E10-449E-82E5-A2DCF435C569/691113321?p=1&amp;ps=10&amp;search=sharon&amp;sort=total_shared_segments_length_in_cm&amp;filter=smart_matches&amp;memberId=704364871&amp;index=0" TargetMode="External"/><Relationship Id="rId21" Type="http://schemas.openxmlformats.org/officeDocument/2006/relationships/hyperlink" Target="https://www.ancestry.co.uk/family-tree/person/tree/163868056/person/342132997826/facts" TargetMode="External"/><Relationship Id="rId42" Type="http://schemas.openxmlformats.org/officeDocument/2006/relationships/hyperlink" Target="https://dnapainter.com/tools/sharedcmv4/17?fbclid=IwAR3wqfKWVRq1DI_x4i7OjYx5ayGhdwQu5Tj-9K3u_CVvBxgEWwX7fHipJPs" TargetMode="External"/><Relationship Id="rId63" Type="http://schemas.openxmlformats.org/officeDocument/2006/relationships/hyperlink" Target="https://www.ancestry.co.uk/family-tree/tree/163868056/family/pedigree?cfpid=342593153304" TargetMode="External"/><Relationship Id="rId84" Type="http://schemas.openxmlformats.org/officeDocument/2006/relationships/hyperlink" Target="https://www.ancestry.co.uk/family-tree/person/tree/163868056/person/342132992964/facts" TargetMode="External"/><Relationship Id="rId16" Type="http://schemas.openxmlformats.org/officeDocument/2006/relationships/hyperlink" Target="https://www.ancestry.co.uk/family-tree/person/tree/163868056/person/342132994747/facts" TargetMode="External"/><Relationship Id="rId107" Type="http://schemas.openxmlformats.org/officeDocument/2006/relationships/hyperlink" Target="https://dnapainter.com/tools/sharedcmv4/8?fbclid=IwAR3wqfKWVRq1DI_x4i7OjYx5ayGhdwQu5Tj-9K3u_CVvBxgEWwX7fHipJPs" TargetMode="External"/><Relationship Id="rId11" Type="http://schemas.openxmlformats.org/officeDocument/2006/relationships/hyperlink" Target="https://www.ancestry.co.uk/family-tree/person/tree/163868056/person/342132994746/facts" TargetMode="External"/><Relationship Id="rId32" Type="http://schemas.openxmlformats.org/officeDocument/2006/relationships/hyperlink" Target="https://www.ancestry.co.uk/family-tree/tree/163868056/family?cfpid=342362154674" TargetMode="External"/><Relationship Id="rId37" Type="http://schemas.openxmlformats.org/officeDocument/2006/relationships/hyperlink" Target="https://dnapainter.com/tools/sharedcmv4/8?fbclid=IwAR3wqfKWVRq1DI_x4i7OjYx5ayGhdwQu5Tj-9K3u_CVvBxgEWwX7fHipJPs" TargetMode="External"/><Relationship Id="rId53" Type="http://schemas.openxmlformats.org/officeDocument/2006/relationships/hyperlink" Target="https://www.ancestry.co.uk/family-tree/tree/163868056/family/pedigree?cfpid=342569892280" TargetMode="External"/><Relationship Id="rId58" Type="http://schemas.openxmlformats.org/officeDocument/2006/relationships/hyperlink" Target="https://www.ancestry.co.uk/discoveryui-matches/compare/50a7c5ef-9e94-44be-a86a-5736956a97f2/with/32d4d1c4-9002-4f46-ab84-8aa984a37a17" TargetMode="External"/><Relationship Id="rId74" Type="http://schemas.openxmlformats.org/officeDocument/2006/relationships/hyperlink" Target="https://www.ancestry.co.uk/family-tree/person/tree/163868056/person/342132994747/facts" TargetMode="External"/><Relationship Id="rId79" Type="http://schemas.openxmlformats.org/officeDocument/2006/relationships/hyperlink" Target="https://www.ancestry.co.uk/family-tree/person/tree/163868056/person/342132994746/facts" TargetMode="External"/><Relationship Id="rId102" Type="http://schemas.openxmlformats.org/officeDocument/2006/relationships/hyperlink" Target="https://www.ancestry.co.uk/family-tree/person/tree/163868056/person/342132992964/facts" TargetMode="External"/><Relationship Id="rId123" Type="http://schemas.openxmlformats.org/officeDocument/2006/relationships/hyperlink" Target="https://dnapainter.com/tools/sharedcmv4/9?fbclid=IwAR3wqfKWVRq1DI_x4i7OjYx5ayGhdwQu5Tj-9K3u_CVvBxgEWwX7fHipJPs" TargetMode="External"/><Relationship Id="rId128" Type="http://schemas.openxmlformats.org/officeDocument/2006/relationships/hyperlink" Target="https://www.ancestry.co.uk/discoveryui-matches/compare/50a7c5ef-9e94-44be-a86a-5736956a97f2/with/115ff95f-48cf-4a0c-8e5d-8fd22d9790f4" TargetMode="External"/><Relationship Id="rId5" Type="http://schemas.openxmlformats.org/officeDocument/2006/relationships/hyperlink" Target="https://www.ancestry.co.uk/family-tree/person/tree/163868056/person/342132992964/facts" TargetMode="External"/><Relationship Id="rId90" Type="http://schemas.openxmlformats.org/officeDocument/2006/relationships/hyperlink" Target="https://www.ancestry.co.uk/family-tree/person/tree/163868056/person/342132992964/facts" TargetMode="External"/><Relationship Id="rId95" Type="http://schemas.openxmlformats.org/officeDocument/2006/relationships/hyperlink" Target="https://www.ancestry.co.uk/family-tree/tree/163868056/family/pedigree?cfpid=342600661278" TargetMode="External"/><Relationship Id="rId22" Type="http://schemas.openxmlformats.org/officeDocument/2006/relationships/hyperlink" Target="https://www.ancestry.co.uk/family-tree/tree/163868056/family?cfpid=342362754968" TargetMode="External"/><Relationship Id="rId27" Type="http://schemas.openxmlformats.org/officeDocument/2006/relationships/hyperlink" Target="https://www.ancestry.co.uk/discoveryui-matches/compare/50a7c5ef-9e94-44be-a86a-5736956a97f2/with/f149ed2d-4185-4a0a-8ddc-044a1820df59" TargetMode="External"/><Relationship Id="rId43" Type="http://schemas.openxmlformats.org/officeDocument/2006/relationships/hyperlink" Target="https://dnapainter.com/tools/sharedcmv4/12?fbclid=IwAR3wqfKWVRq1DI_x4i7OjYx5ayGhdwQu5Tj-9K3u_CVvBxgEWwX7fHipJPs" TargetMode="External"/><Relationship Id="rId48" Type="http://schemas.openxmlformats.org/officeDocument/2006/relationships/hyperlink" Target="https://www.ancestry.co.uk/family-tree/person/tree/163868056/person/342132992964/facts" TargetMode="External"/><Relationship Id="rId64" Type="http://schemas.openxmlformats.org/officeDocument/2006/relationships/hyperlink" Target="https://www.ancestry.co.uk/discoveryui-matches/compare/50a7c5ef-9e94-44be-a86a-5736956a97f2/with/592bf9a8-508c-45e5-a6b8-1fb7b952883f" TargetMode="External"/><Relationship Id="rId69" Type="http://schemas.openxmlformats.org/officeDocument/2006/relationships/hyperlink" Target="https://www.ancestry.co.uk/family-tree/tree/163868056/family/pedigree?cfpid=342593153304" TargetMode="External"/><Relationship Id="rId113" Type="http://schemas.openxmlformats.org/officeDocument/2006/relationships/hyperlink" Target="https://www.ancestry.co.uk/family-tree/person/tree/163868056/person/342132992964/facts" TargetMode="External"/><Relationship Id="rId118" Type="http://schemas.openxmlformats.org/officeDocument/2006/relationships/hyperlink" Target="https://www.ancestry.co.uk/family-tree/tree/163868056/family?cfpid=342621224065" TargetMode="External"/><Relationship Id="rId134" Type="http://schemas.openxmlformats.org/officeDocument/2006/relationships/hyperlink" Target="https://www.ancestry.co.uk/discoveryui-matches/compare/50a7c5ef-9e94-44be-a86a-5736956a97f2/with/5ce3f16e-b7c0-4165-9fb3-caf27ad040c7" TargetMode="External"/><Relationship Id="rId80" Type="http://schemas.openxmlformats.org/officeDocument/2006/relationships/hyperlink" Target="https://www.ancestry.co.uk/family-tree/person/tree/163868056/person/342132994747/facts" TargetMode="External"/><Relationship Id="rId85" Type="http://schemas.openxmlformats.org/officeDocument/2006/relationships/hyperlink" Target="https://www.ancestry.co.uk/family-tree/person/tree/163868056/person/342132994746/facts" TargetMode="External"/><Relationship Id="rId12" Type="http://schemas.openxmlformats.org/officeDocument/2006/relationships/hyperlink" Target="https://www.ancestry.co.uk/family-tree/person/tree/163868056/person/342132994746/facts" TargetMode="External"/><Relationship Id="rId17" Type="http://schemas.openxmlformats.org/officeDocument/2006/relationships/hyperlink" Target="https://www.ancestry.co.uk/family-tree/person/tree/163868056/person/342132994747/facts" TargetMode="External"/><Relationship Id="rId33" Type="http://schemas.openxmlformats.org/officeDocument/2006/relationships/hyperlink" Target="https://www.ancestry.co.uk/discoveryui-matches/compare/50a7c5ef-9e94-44be-a86a-5736956a97f2/with/eb1637da-e225-4797-bd5a-71afe8709cbb" TargetMode="External"/><Relationship Id="rId38" Type="http://schemas.openxmlformats.org/officeDocument/2006/relationships/hyperlink" Target="https://dnapainter.com/tools/sharedcmv4/8?fbclid=IwAR3wqfKWVRq1DI_x4i7OjYx5ayGhdwQu5Tj-9K3u_CVvBxgEWwX7fHipJPs" TargetMode="External"/><Relationship Id="rId59" Type="http://schemas.openxmlformats.org/officeDocument/2006/relationships/hyperlink" Target="https://dnapainter.com/tools/sharedcmv4/17?fbclid=IwAR3wqfKWVRq1DI_x4i7OjYx5ayGhdwQu5Tj-9K3u_CVvBxgEWwX7fHipJPs" TargetMode="External"/><Relationship Id="rId103" Type="http://schemas.openxmlformats.org/officeDocument/2006/relationships/hyperlink" Target="https://www.ancestry.co.uk/family-tree/person/tree/163868056/person/342132994746/facts" TargetMode="External"/><Relationship Id="rId108" Type="http://schemas.openxmlformats.org/officeDocument/2006/relationships/hyperlink" Target="https://www.ancestry.co.uk/family-tree/person/tree/163868056/person/342132992964/facts" TargetMode="External"/><Relationship Id="rId124" Type="http://schemas.openxmlformats.org/officeDocument/2006/relationships/hyperlink" Target="https://www.ancestry.co.uk/family-tree/tree/163868056/family/pedigree?cfpid=342633841949" TargetMode="External"/><Relationship Id="rId129" Type="http://schemas.openxmlformats.org/officeDocument/2006/relationships/hyperlink" Target="https://dnapainter.com/tools/sharedcmv4/8?fbclid=IwAR3wqfKWVRq1DI_x4i7OjYx5ayGhdwQu5Tj-9K3u_CVvBxgEWwX7fHipJPs" TargetMode="External"/><Relationship Id="rId54" Type="http://schemas.openxmlformats.org/officeDocument/2006/relationships/hyperlink" Target="https://www.ancestry.co.uk/family-tree/person/tree/163868056/person/342132992964/facts" TargetMode="External"/><Relationship Id="rId70" Type="http://schemas.openxmlformats.org/officeDocument/2006/relationships/hyperlink" Target="https://www.ancestry.co.uk/discoveryui-matches/compare/50a7c5ef-9e94-44be-a86a-5736956a97f2/with/592bf9a8-508c-45e5-a6b8-1fb7b952883f" TargetMode="External"/><Relationship Id="rId75" Type="http://schemas.openxmlformats.org/officeDocument/2006/relationships/hyperlink" Target="https://www.ancestry.co.uk/family-tree/tree/163868056/family/pedigree?cfpid=342593153773" TargetMode="External"/><Relationship Id="rId91" Type="http://schemas.openxmlformats.org/officeDocument/2006/relationships/hyperlink" Target="https://www.ancestry.co.uk/family-tree/person/tree/163868056/person/342132994746/facts" TargetMode="External"/><Relationship Id="rId96" Type="http://schemas.openxmlformats.org/officeDocument/2006/relationships/hyperlink" Target="https://www.ancestry.co.uk/family-tree/person/tree/163868056/person/342132992964/facts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www.ancestry.co.uk/family-tree/person/tree/163868056/person/342132992964/facts" TargetMode="External"/><Relationship Id="rId23" Type="http://schemas.openxmlformats.org/officeDocument/2006/relationships/hyperlink" Target="https://www.ancestry.co.uk/discoveryui-matches/compare/50a7c5ef-9e94-44be-a86a-5736956a97f2/with/2f6b8b17-a2ac-4bf4-8f39-906f491799d2" TargetMode="External"/><Relationship Id="rId28" Type="http://schemas.openxmlformats.org/officeDocument/2006/relationships/hyperlink" Target="https://www.ancestry.co.uk/family-tree/tree/163868056/family?cfpid=342257778960" TargetMode="External"/><Relationship Id="rId49" Type="http://schemas.openxmlformats.org/officeDocument/2006/relationships/hyperlink" Target="https://www.ancestry.co.uk/family-tree/person/tree/163868056/person/342132994746/facts" TargetMode="External"/><Relationship Id="rId114" Type="http://schemas.openxmlformats.org/officeDocument/2006/relationships/hyperlink" Target="https://www.ancestry.co.uk/family-tree/person/tree/163868056/person/342133003359/story" TargetMode="External"/><Relationship Id="rId119" Type="http://schemas.openxmlformats.org/officeDocument/2006/relationships/hyperlink" Target="https://www.ancestry.co.uk/family-tree/person/tree/163868056/person/342132992964/facts" TargetMode="External"/><Relationship Id="rId44" Type="http://schemas.openxmlformats.org/officeDocument/2006/relationships/hyperlink" Target="https://dnapainter.com/tools/sharedcmv4/12?fbclid=IwAR3wqfKWVRq1DI_x4i7OjYx5ayGhdwQu5Tj-9K3u_CVvBxgEWwX7fHipJPs" TargetMode="External"/><Relationship Id="rId60" Type="http://schemas.openxmlformats.org/officeDocument/2006/relationships/hyperlink" Target="https://www.ancestry.co.uk/family-tree/person/tree/163868056/person/342132992964/facts" TargetMode="External"/><Relationship Id="rId65" Type="http://schemas.openxmlformats.org/officeDocument/2006/relationships/hyperlink" Target="https://dnapainter.com/tools/sharedcmv4/17?fbclid=IwAR3wqfKWVRq1DI_x4i7OjYx5ayGhdwQu5Tj-9K3u_CVvBxgEWwX7fHipJPs" TargetMode="External"/><Relationship Id="rId81" Type="http://schemas.openxmlformats.org/officeDocument/2006/relationships/hyperlink" Target="https://www.ancestry.co.uk/discoveryui-matches/compare/50a7c5ef-9e94-44be-a86a-5736956a97f2/with/6a80ca20-8b26-4a5e-9a48-625458c5e1a5" TargetMode="External"/><Relationship Id="rId86" Type="http://schemas.openxmlformats.org/officeDocument/2006/relationships/hyperlink" Target="https://www.ancestry.co.uk/family-tree/person/tree/163868056/person/342132994747/facts" TargetMode="External"/><Relationship Id="rId130" Type="http://schemas.openxmlformats.org/officeDocument/2006/relationships/hyperlink" Target="https://www.ancestry.co.uk/family-tree/tree/163868056/family/pedigree?cfpid=342633842013" TargetMode="External"/><Relationship Id="rId135" Type="http://schemas.openxmlformats.org/officeDocument/2006/relationships/hyperlink" Target="https://www.ancestry.co.uk/family-tree/tree/163868056/family/pedigree?cfpid=342633842380" TargetMode="External"/><Relationship Id="rId13" Type="http://schemas.openxmlformats.org/officeDocument/2006/relationships/hyperlink" Target="https://www.ancestry.co.uk/family-tree/person/tree/163868056/person/342132994746/facts" TargetMode="External"/><Relationship Id="rId18" Type="http://schemas.openxmlformats.org/officeDocument/2006/relationships/hyperlink" Target="https://www.ancestry.co.uk/family-tree/person/tree/163868056/person/342132994747/facts" TargetMode="External"/><Relationship Id="rId39" Type="http://schemas.openxmlformats.org/officeDocument/2006/relationships/hyperlink" Target="https://dnapainter.com/tools/sharedcmv4/9?fbclid=IwAR3wqfKWVRq1DI_x4i7OjYx5ayGhdwQu5Tj-9K3u_CVvBxgEWwX7fHipJPs" TargetMode="External"/><Relationship Id="rId109" Type="http://schemas.openxmlformats.org/officeDocument/2006/relationships/hyperlink" Target="https://www.ancestry.co.uk/family-tree/tree/163868056/family?cfpid=342600681869" TargetMode="External"/><Relationship Id="rId34" Type="http://schemas.openxmlformats.org/officeDocument/2006/relationships/hyperlink" Target="https://www.ancestry.co.uk/family-tree/tree/163868056/family?cfpid=342362738896" TargetMode="External"/><Relationship Id="rId50" Type="http://schemas.openxmlformats.org/officeDocument/2006/relationships/hyperlink" Target="https://www.ancestry.co.uk/family-tree/person/tree/163868056/person/342132994747/facts" TargetMode="External"/><Relationship Id="rId55" Type="http://schemas.openxmlformats.org/officeDocument/2006/relationships/hyperlink" Target="https://www.ancestry.co.uk/family-tree/person/tree/163868056/person/342132994746/facts" TargetMode="External"/><Relationship Id="rId76" Type="http://schemas.openxmlformats.org/officeDocument/2006/relationships/hyperlink" Target="https://www.ancestry.co.uk/discoveryui-matches/compare/50a7c5ef-9e94-44be-a86a-5736956a97f2/with/3940d08d-5eca-4abd-b51d-5feec2924bb4" TargetMode="External"/><Relationship Id="rId97" Type="http://schemas.openxmlformats.org/officeDocument/2006/relationships/hyperlink" Target="https://www.ancestry.co.uk/family-tree/person/tree/163868056/person/342132994746/facts" TargetMode="External"/><Relationship Id="rId104" Type="http://schemas.openxmlformats.org/officeDocument/2006/relationships/hyperlink" Target="https://www.ancestry.co.uk/family-tree/person/tree/163868056/person/342132994747/facts" TargetMode="External"/><Relationship Id="rId120" Type="http://schemas.openxmlformats.org/officeDocument/2006/relationships/hyperlink" Target="https://www.ancestry.co.uk/family-tree/person/tree/163868056/person/342132994746/facts" TargetMode="External"/><Relationship Id="rId125" Type="http://schemas.openxmlformats.org/officeDocument/2006/relationships/hyperlink" Target="https://www.ancestry.co.uk/family-tree/person/tree/163868056/person/342132992964/facts" TargetMode="External"/><Relationship Id="rId7" Type="http://schemas.openxmlformats.org/officeDocument/2006/relationships/hyperlink" Target="https://www.ancestry.co.uk/family-tree/person/tree/163868056/person/342132992964/facts" TargetMode="External"/><Relationship Id="rId71" Type="http://schemas.openxmlformats.org/officeDocument/2006/relationships/hyperlink" Target="https://dnapainter.com/tools/sharedcmv4/17?fbclid=IwAR3wqfKWVRq1DI_x4i7OjYx5ayGhdwQu5Tj-9K3u_CVvBxgEWwX7fHipJPs" TargetMode="External"/><Relationship Id="rId92" Type="http://schemas.openxmlformats.org/officeDocument/2006/relationships/hyperlink" Target="https://www.ancestry.co.uk/family-tree/person/tree/163868056/person/342132994747/facts" TargetMode="External"/><Relationship Id="rId2" Type="http://schemas.openxmlformats.org/officeDocument/2006/relationships/hyperlink" Target="https://www.ancestry.co.uk/family-tree/person/tree/163868056/person/342132992964/facts" TargetMode="External"/><Relationship Id="rId29" Type="http://schemas.openxmlformats.org/officeDocument/2006/relationships/hyperlink" Target="https://www.ancestry.co.uk/discoveryui-matches/compare/50a7c5ef-9e94-44be-a86a-5736956a97f2/with/27edefc4-9dee-4fb1-a602-26a8f7bdab59" TargetMode="External"/><Relationship Id="rId24" Type="http://schemas.openxmlformats.org/officeDocument/2006/relationships/hyperlink" Target="https://www.ancestry.co.uk/family-tree/tree/163868056/family?cfpid=342257790898" TargetMode="External"/><Relationship Id="rId40" Type="http://schemas.openxmlformats.org/officeDocument/2006/relationships/hyperlink" Target="https://dnapainter.com/tools/sharedcmv4/7?fbclid=IwAR3wqfKWVRq1DI_x4i7OjYx5ayGhdwQu5Tj-9K3u_CVvBxgEWwX7fHipJPs" TargetMode="External"/><Relationship Id="rId45" Type="http://schemas.openxmlformats.org/officeDocument/2006/relationships/hyperlink" Target="https://dnapainter.com/tools/sharedcmv4/16?fbclid=IwAR3wqfKWVRq1DI_x4i7OjYx5ayGhdwQu5Tj-9K3u_CVvBxgEWwX7fHipJPs" TargetMode="External"/><Relationship Id="rId66" Type="http://schemas.openxmlformats.org/officeDocument/2006/relationships/hyperlink" Target="https://www.ancestry.co.uk/family-tree/person/tree/163868056/person/342132992964/facts" TargetMode="External"/><Relationship Id="rId87" Type="http://schemas.openxmlformats.org/officeDocument/2006/relationships/hyperlink" Target="https://www.ancestry.co.uk/discoveryui-matches/compare/50a7c5ef-9e94-44be-a86a-5736956a97f2/with/da788a4a-3574-483e-94eb-8516f52cf1c4" TargetMode="External"/><Relationship Id="rId110" Type="http://schemas.openxmlformats.org/officeDocument/2006/relationships/hyperlink" Target="https://www.ancestry.co.uk/discoveryui-matches/compare/50a7c5ef-9e94-44be-a86a-5736956a97f2/with/4b1964fa-d3dd-4e6b-ae5e-2ee632bbc825" TargetMode="External"/><Relationship Id="rId115" Type="http://schemas.openxmlformats.org/officeDocument/2006/relationships/hyperlink" Target="https://www.ancestry.co.uk/family-tree/person/tree/163868056/person/342133003360/story" TargetMode="External"/><Relationship Id="rId131" Type="http://schemas.openxmlformats.org/officeDocument/2006/relationships/hyperlink" Target="https://www.ancestry.co.uk/family-tree/person/tree/163868056/person/342132992964/facts" TargetMode="External"/><Relationship Id="rId136" Type="http://schemas.openxmlformats.org/officeDocument/2006/relationships/hyperlink" Target="https://dnapainter.com/tools/sharedcmv4/8?fbclid=IwAR3wqfKWVRq1DI_x4i7OjYx5ayGhdwQu5Tj-9K3u_CVvBxgEWwX7fHipJPs" TargetMode="External"/><Relationship Id="rId61" Type="http://schemas.openxmlformats.org/officeDocument/2006/relationships/hyperlink" Target="https://www.ancestry.co.uk/family-tree/person/tree/163868056/person/342132994746/facts" TargetMode="External"/><Relationship Id="rId82" Type="http://schemas.openxmlformats.org/officeDocument/2006/relationships/hyperlink" Target="https://dnapainter.com/tools/sharedcmv4/15?fbclid=IwAR3wqfKWVRq1DI_x4i7OjYx5ayGhdwQu5Tj-9K3u_CVvBxgEWwX7fHipJPs" TargetMode="External"/><Relationship Id="rId19" Type="http://schemas.openxmlformats.org/officeDocument/2006/relationships/hyperlink" Target="https://www.ancestry.co.uk/family-tree/person/tree/163868056/person/342132994747/facts" TargetMode="External"/><Relationship Id="rId14" Type="http://schemas.openxmlformats.org/officeDocument/2006/relationships/hyperlink" Target="https://www.ancestry.co.uk/family-tree/person/tree/163868056/person/342132994746/facts" TargetMode="External"/><Relationship Id="rId30" Type="http://schemas.openxmlformats.org/officeDocument/2006/relationships/hyperlink" Target="https://www.ancestry.co.uk/family-tree/tree/163868056/family?cfpid=342362737115" TargetMode="External"/><Relationship Id="rId35" Type="http://schemas.openxmlformats.org/officeDocument/2006/relationships/hyperlink" Target="https://www.ancestry.co.uk/discoveryui-matches/compare/50a7c5ef-9e94-44be-a86a-5736956a97f2/with/aabe418f-ab3c-4ac9-ac6d-5993cd9656df" TargetMode="External"/><Relationship Id="rId56" Type="http://schemas.openxmlformats.org/officeDocument/2006/relationships/hyperlink" Target="https://www.ancestry.co.uk/family-tree/person/tree/163868056/person/342132994747/facts" TargetMode="External"/><Relationship Id="rId77" Type="http://schemas.openxmlformats.org/officeDocument/2006/relationships/hyperlink" Target="https://dnapainter.com/tools/sharedcmv4/15?fbclid=IwAR3wqfKWVRq1DI_x4i7OjYx5ayGhdwQu5Tj-9K3u_CVvBxgEWwX7fHipJPs" TargetMode="External"/><Relationship Id="rId100" Type="http://schemas.openxmlformats.org/officeDocument/2006/relationships/hyperlink" Target="https://dnapainter.com/tools/sharedcmv4/10?fbclid=IwAR3wqfKWVRq1DI_x4i7OjYx5ayGhdwQu5Tj-9K3u_CVvBxgEWwX7fHipJPs" TargetMode="External"/><Relationship Id="rId105" Type="http://schemas.openxmlformats.org/officeDocument/2006/relationships/hyperlink" Target="https://www.ancestry.co.uk/family-tree/tree/163868056/family/pedigree?cfpid=342593154186" TargetMode="External"/><Relationship Id="rId126" Type="http://schemas.openxmlformats.org/officeDocument/2006/relationships/hyperlink" Target="https://www.ancestry.co.uk/family-tree/person/tree/163868056/person/342132994746/facts" TargetMode="External"/><Relationship Id="rId8" Type="http://schemas.openxmlformats.org/officeDocument/2006/relationships/hyperlink" Target="https://www.ancestry.co.uk/family-tree/person/tree/163868056/person/342132997825/facts" TargetMode="External"/><Relationship Id="rId51" Type="http://schemas.openxmlformats.org/officeDocument/2006/relationships/hyperlink" Target="https://www.ancestry.co.uk/discoveryui-matches/compare/50A7C5EF-9E94-44BE-A86A-5736956A97F2/with/C184A68A-5DA8-11EE-B8BB-0E3F96DA1E4D" TargetMode="External"/><Relationship Id="rId72" Type="http://schemas.openxmlformats.org/officeDocument/2006/relationships/hyperlink" Target="https://www.ancestry.co.uk/family-tree/person/tree/163868056/person/342132992964/facts" TargetMode="External"/><Relationship Id="rId93" Type="http://schemas.openxmlformats.org/officeDocument/2006/relationships/hyperlink" Target="https://www.ancestry.co.uk/discoveryui-matches/compare/50a7c5ef-9e94-44be-a86a-5736956a97f2/with/86036432-8a3a-4b66-8732-374330cc8b15" TargetMode="External"/><Relationship Id="rId98" Type="http://schemas.openxmlformats.org/officeDocument/2006/relationships/hyperlink" Target="https://www.ancestry.co.uk/family-tree/person/tree/163868056/person/342132994747/facts" TargetMode="External"/><Relationship Id="rId121" Type="http://schemas.openxmlformats.org/officeDocument/2006/relationships/hyperlink" Target="https://www.ancestry.co.uk/family-tree/person/tree/163868056/person/342132994747/facts" TargetMode="External"/><Relationship Id="rId3" Type="http://schemas.openxmlformats.org/officeDocument/2006/relationships/hyperlink" Target="https://www.ancestry.co.uk/family-tree/person/tree/163868056/person/342132992964/facts" TargetMode="External"/><Relationship Id="rId25" Type="http://schemas.openxmlformats.org/officeDocument/2006/relationships/hyperlink" Target="https://www.ancestry.co.uk/discoveryui-matches/compare/50a7c5ef-9e94-44be-a86a-5736956a97f2/with/4b196a1c-f443-4555-8ffd-35c84465f04a" TargetMode="External"/><Relationship Id="rId46" Type="http://schemas.openxmlformats.org/officeDocument/2006/relationships/hyperlink" Target="https://dnapainter.com/tools/sharedcmv4/15?fbclid=IwAR3wqfKWVRq1DI_x4i7OjYx5ayGhdwQu5Tj-9K3u_CVvBxgEWwX7fHipJPs" TargetMode="External"/><Relationship Id="rId67" Type="http://schemas.openxmlformats.org/officeDocument/2006/relationships/hyperlink" Target="https://www.ancestry.co.uk/family-tree/person/tree/163868056/person/342132994746/facts" TargetMode="External"/><Relationship Id="rId116" Type="http://schemas.openxmlformats.org/officeDocument/2006/relationships/hyperlink" Target="https://dnapainter.com/tools/sharedcmv4/7?fbclid=IwAR3wqfKWVRq1DI_x4i7OjYx5ayGhdwQu5Tj-9K3u_CVvBxgEWwX7fHipJPs" TargetMode="External"/><Relationship Id="rId20" Type="http://schemas.openxmlformats.org/officeDocument/2006/relationships/hyperlink" Target="https://www.ancestry.co.uk/family-tree/person/tree/163868056/person/342132994747/facts" TargetMode="External"/><Relationship Id="rId41" Type="http://schemas.openxmlformats.org/officeDocument/2006/relationships/hyperlink" Target="https://dnapainter.com/tools/sharedcmv4/21?fbclid=IwAR3wqfKWVRq1DI_x4i7OjYx5ayGhdwQu5Tj-9K3u_CVvBxgEWwX7fHipJPs" TargetMode="External"/><Relationship Id="rId62" Type="http://schemas.openxmlformats.org/officeDocument/2006/relationships/hyperlink" Target="https://www.ancestry.co.uk/family-tree/person/tree/163868056/person/342132994747/facts" TargetMode="External"/><Relationship Id="rId83" Type="http://schemas.openxmlformats.org/officeDocument/2006/relationships/hyperlink" Target="https://www.ancestry.co.uk/family-tree/tree/163868056/family/pedigree?cfpid=342593153409" TargetMode="External"/><Relationship Id="rId88" Type="http://schemas.openxmlformats.org/officeDocument/2006/relationships/hyperlink" Target="https://dnapainter.com/tools/sharedcmv4/15?fbclid=IwAR3wqfKWVRq1DI_x4i7OjYx5ayGhdwQu5Tj-9K3u_CVvBxgEWwX7fHipJPs" TargetMode="External"/><Relationship Id="rId111" Type="http://schemas.openxmlformats.org/officeDocument/2006/relationships/hyperlink" Target="https://www.ancestry.co.uk/family-tree/person/tree/163868056/person/342133003325/facts" TargetMode="External"/><Relationship Id="rId132" Type="http://schemas.openxmlformats.org/officeDocument/2006/relationships/hyperlink" Target="https://www.ancestry.co.uk/family-tree/person/tree/163868056/person/342132994746/facts" TargetMode="External"/><Relationship Id="rId15" Type="http://schemas.openxmlformats.org/officeDocument/2006/relationships/hyperlink" Target="https://www.ancestry.co.uk/family-tree/person/tree/163868056/person/342132994747/facts" TargetMode="External"/><Relationship Id="rId36" Type="http://schemas.openxmlformats.org/officeDocument/2006/relationships/hyperlink" Target="https://dnapainter.com/tools/sharedcmv4/10?fbclid=IwAR3wqfKWVRq1DI_x4i7OjYx5ayGhdwQu5Tj-9K3u_CVvBxgEWwX7fHipJPs" TargetMode="External"/><Relationship Id="rId57" Type="http://schemas.openxmlformats.org/officeDocument/2006/relationships/hyperlink" Target="https://www.ancestry.co.uk/family-tree/tree/163868056/family/pedigree?cfpid=342593153304" TargetMode="External"/><Relationship Id="rId106" Type="http://schemas.openxmlformats.org/officeDocument/2006/relationships/hyperlink" Target="https://www.ancestry.co.uk/discoveryui-matches/compare/50a7c5ef-9e94-44be-a86a-5736956a97f2/with/aa278a95-14ab-47d6-a870-9fecc8acbd37" TargetMode="External"/><Relationship Id="rId127" Type="http://schemas.openxmlformats.org/officeDocument/2006/relationships/hyperlink" Target="https://www.ancestry.co.uk/family-tree/person/tree/163868056/person/342132994747/facts" TargetMode="External"/><Relationship Id="rId10" Type="http://schemas.openxmlformats.org/officeDocument/2006/relationships/hyperlink" Target="https://www.ancestry.co.uk/family-tree/person/tree/163868056/person/342132994746/facts" TargetMode="External"/><Relationship Id="rId31" Type="http://schemas.openxmlformats.org/officeDocument/2006/relationships/hyperlink" Target="https://www.ancestry.co.uk/discoveryui-matches/compare/50a7c5ef-9e94-44be-a86a-5736956a97f2/with/b57988b4-e475-4cf8-8e11-ee8b26e052fe" TargetMode="External"/><Relationship Id="rId52" Type="http://schemas.openxmlformats.org/officeDocument/2006/relationships/hyperlink" Target="https://dnapainter.com/tools/sharedcmv4/15?fbclid=IwAR3wqfKWVRq1DI_x4i7OjYx5ayGhdwQu5Tj-9K3u_CVvBxgEWwX7fHipJPs" TargetMode="External"/><Relationship Id="rId73" Type="http://schemas.openxmlformats.org/officeDocument/2006/relationships/hyperlink" Target="https://www.ancestry.co.uk/family-tree/person/tree/163868056/person/342132994746/facts" TargetMode="External"/><Relationship Id="rId78" Type="http://schemas.openxmlformats.org/officeDocument/2006/relationships/hyperlink" Target="https://www.ancestry.co.uk/family-tree/person/tree/163868056/person/342132992964/facts" TargetMode="External"/><Relationship Id="rId94" Type="http://schemas.openxmlformats.org/officeDocument/2006/relationships/hyperlink" Target="https://dnapainter.com/tools/sharedcmv4/15?fbclid=IwAR3wqfKWVRq1DI_x4i7OjYx5ayGhdwQu5Tj-9K3u_CVvBxgEWwX7fHipJPs" TargetMode="External"/><Relationship Id="rId99" Type="http://schemas.openxmlformats.org/officeDocument/2006/relationships/hyperlink" Target="https://www.ancestry.co.uk/discoveryui-matches/compare/50a7c5ef-9e94-44be-a86a-5736956a97f2/with/dd890788-fa81-4ae4-88a5-a97c9b9590ac" TargetMode="External"/><Relationship Id="rId101" Type="http://schemas.openxmlformats.org/officeDocument/2006/relationships/hyperlink" Target="https://www.ancestry.co.uk/family-tree/tree/163868056/family/pedigree?cfpid=342600664569" TargetMode="External"/><Relationship Id="rId122" Type="http://schemas.openxmlformats.org/officeDocument/2006/relationships/hyperlink" Target="https://www.ancestry.co.uk/discoveryui-matches/compare/50a7c5ef-9e94-44be-a86a-5736956a97f2/with/2f9118b6-12a9-430a-9f5c-96860801b2e2" TargetMode="External"/><Relationship Id="rId4" Type="http://schemas.openxmlformats.org/officeDocument/2006/relationships/hyperlink" Target="https://www.ancestry.co.uk/family-tree/person/tree/163868056/person/342132992964/facts" TargetMode="External"/><Relationship Id="rId9" Type="http://schemas.openxmlformats.org/officeDocument/2006/relationships/hyperlink" Target="https://www.ancestry.co.uk/family-tree/person/tree/163868056/person/342132994746/facts" TargetMode="External"/><Relationship Id="rId26" Type="http://schemas.openxmlformats.org/officeDocument/2006/relationships/hyperlink" Target="https://www.ancestry.co.uk/family-tree/tree/163868056/family?cfpid=342257791280" TargetMode="External"/><Relationship Id="rId47" Type="http://schemas.openxmlformats.org/officeDocument/2006/relationships/hyperlink" Target="https://dnapainter.com/tools/sharedcmv4/8?fbclid=IwAR3wqfKWVRq1DI_x4i7OjYx5ayGhdwQu5Tj-9K3u_CVvBxgEWwX7fHipJPs" TargetMode="External"/><Relationship Id="rId68" Type="http://schemas.openxmlformats.org/officeDocument/2006/relationships/hyperlink" Target="https://www.ancestry.co.uk/family-tree/person/tree/163868056/person/342132994747/facts" TargetMode="External"/><Relationship Id="rId89" Type="http://schemas.openxmlformats.org/officeDocument/2006/relationships/hyperlink" Target="https://www.ancestry.co.uk/family-tree/tree/163868056/family/pedigree?cfpid=342593152346" TargetMode="External"/><Relationship Id="rId112" Type="http://schemas.openxmlformats.org/officeDocument/2006/relationships/hyperlink" Target="https://www.ancestry.co.uk/family-tree/person/tree/163868056/person/342133003326/facts" TargetMode="External"/><Relationship Id="rId133" Type="http://schemas.openxmlformats.org/officeDocument/2006/relationships/hyperlink" Target="https://www.ancestry.co.uk/family-tree/person/tree/163868056/person/342132994747/facts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ncestry.co.uk/family-tree/person/tree/163868056/person/342132993824/facts" TargetMode="External"/><Relationship Id="rId21" Type="http://schemas.openxmlformats.org/officeDocument/2006/relationships/hyperlink" Target="https://www.ancestry.co.uk/family-tree/person/tree/163868056/person/342132993824/facts" TargetMode="External"/><Relationship Id="rId42" Type="http://schemas.openxmlformats.org/officeDocument/2006/relationships/hyperlink" Target="https://www.myheritage.com/dna/match/D-F9099B9B-87A1-4274-827C-AF35BD245736-D-361649F4-C5BD-4D63-B576-14F63FAC24F0/691113321?p=1&amp;ps=10&amp;search=david%20wallace&amp;sort=total_shared_segments_length_in_cm&amp;memberId=704364871" TargetMode="External"/><Relationship Id="rId47" Type="http://schemas.openxmlformats.org/officeDocument/2006/relationships/hyperlink" Target="https://www.ancestry.co.uk/family-tree/tree/163868056/family?cfpid=342327902186" TargetMode="External"/><Relationship Id="rId63" Type="http://schemas.openxmlformats.org/officeDocument/2006/relationships/hyperlink" Target="https://dnapainter.com/tools/sharedcmv4/27?fbclid=IwAR3wqfKWVRq1DI_x4i7OjYx5ayGhdwQu5Tj-9K3u_CVvBxgEWwX7fHipJPs" TargetMode="External"/><Relationship Id="rId68" Type="http://schemas.openxmlformats.org/officeDocument/2006/relationships/hyperlink" Target="https://dnapainter.com/tools/sharedcmv4/22?fbclid=IwAR3wqfKWVRq1DI_x4i7OjYx5ayGhdwQu5Tj-9K3u_CVvBxgEWwX7fHipJPs" TargetMode="External"/><Relationship Id="rId84" Type="http://schemas.openxmlformats.org/officeDocument/2006/relationships/hyperlink" Target="https://www.ancestry.co.uk/discoveryui-matches/compare/50a7c5ef-9e94-44be-a86a-5736956a97f2/with/8e338daa-3ab0-4978-aad8-2efe094ebe4e" TargetMode="External"/><Relationship Id="rId89" Type="http://schemas.openxmlformats.org/officeDocument/2006/relationships/hyperlink" Target="https://dnapainter.com/tools/sharedcmv4/19?fbclid=IwAR3wqfKWVRq1DI_x4i7OjYx5ayGhdwQu5Tj-9K3u_CVvBxgEWwX7fHipJPs" TargetMode="External"/><Relationship Id="rId16" Type="http://schemas.openxmlformats.org/officeDocument/2006/relationships/hyperlink" Target="https://www.ancestry.co.uk/family-tree/person/tree/163868056/person/342132993823/facts" TargetMode="External"/><Relationship Id="rId11" Type="http://schemas.openxmlformats.org/officeDocument/2006/relationships/hyperlink" Target="https://www.ancestry.co.uk/family-tree/person/tree/163868056/person/342132992964/facts" TargetMode="External"/><Relationship Id="rId32" Type="http://schemas.openxmlformats.org/officeDocument/2006/relationships/hyperlink" Target="https://www.ancestry.co.uk/family-tree/person/tree/163868056/person/342132993824/facts" TargetMode="External"/><Relationship Id="rId37" Type="http://schemas.openxmlformats.org/officeDocument/2006/relationships/hyperlink" Target="https://www.myheritage.com/dna/match/D-F9099B9B-87A1-4274-827C-AF35BD245736-D-A2A79D5F-D7D5-4DCB-8DA6-7A0475AC57D6/691113321?p=1&amp;ps=10&amp;search=wendy%20harnden&amp;sort=total_shared_segments_length_in_cm&amp;memberId=704364871" TargetMode="External"/><Relationship Id="rId53" Type="http://schemas.openxmlformats.org/officeDocument/2006/relationships/hyperlink" Target="https://www.ancestry.co.uk/family-tree/tree/163868056/family?cfpid=342328106495" TargetMode="External"/><Relationship Id="rId58" Type="http://schemas.openxmlformats.org/officeDocument/2006/relationships/hyperlink" Target="https://www.myheritage.com/dna/match/D-F9099B9B-87A1-4274-827C-AF35BD245736-D-E0A0A25D-3B61-430E-A049-237A7E317588/691113321?p=1&amp;ps=10&amp;search=serena&amp;sort=total_shared_segments_length_in_cm&amp;memberId=704364871" TargetMode="External"/><Relationship Id="rId74" Type="http://schemas.openxmlformats.org/officeDocument/2006/relationships/hyperlink" Target="https://www.ancestry.co.uk/family-tree/person/tree/163868056/person/342132993824/facts" TargetMode="External"/><Relationship Id="rId79" Type="http://schemas.openxmlformats.org/officeDocument/2006/relationships/hyperlink" Target="https://www.ancestry.co.uk/family-tree/tree/163868056/family/pedigree?cfpid=342309028609" TargetMode="External"/><Relationship Id="rId102" Type="http://schemas.openxmlformats.org/officeDocument/2006/relationships/hyperlink" Target="https://www.ancestry.co.uk/family-tree/tree/163868056/family/pedigree?cfpid=342614643800" TargetMode="External"/><Relationship Id="rId5" Type="http://schemas.openxmlformats.org/officeDocument/2006/relationships/hyperlink" Target="https://www.ancestry.co.uk/family-tree/person/tree/163868056/person/342132992964/facts" TargetMode="External"/><Relationship Id="rId90" Type="http://schemas.openxmlformats.org/officeDocument/2006/relationships/hyperlink" Target="https://www.ancestry.co.uk/family-tree/tree/163868056/family/pedigree?cfpid=342602348451" TargetMode="External"/><Relationship Id="rId95" Type="http://schemas.openxmlformats.org/officeDocument/2006/relationships/hyperlink" Target="https://www.ancestry.co.uk/family-tree/person/tree/163868056/person/342132994168/facts" TargetMode="External"/><Relationship Id="rId22" Type="http://schemas.openxmlformats.org/officeDocument/2006/relationships/hyperlink" Target="https://www.ancestry.co.uk/family-tree/person/tree/163868056/person/342132993824/facts" TargetMode="External"/><Relationship Id="rId27" Type="http://schemas.openxmlformats.org/officeDocument/2006/relationships/hyperlink" Target="https://www.ancestry.co.uk/family-tree/person/tree/163868056/person/342132993824/facts" TargetMode="External"/><Relationship Id="rId43" Type="http://schemas.openxmlformats.org/officeDocument/2006/relationships/hyperlink" Target="https://www.myheritage.com/dna/match/D-F9099B9B-87A1-4274-827C-AF35BD245736-D-EA2CE965-E934-4CAE-A245-E7F0192D2599/691113321?p=1&amp;ps=10&amp;search=tim%20jee&amp;sort=total_shared_segments_length_in_cm&amp;memberId=704364871" TargetMode="External"/><Relationship Id="rId48" Type="http://schemas.openxmlformats.org/officeDocument/2006/relationships/hyperlink" Target="https://www.ancestry.co.uk/discoveryui-matches/compare/50a7c5ef-9e94-44be-a86a-5736956a97f2/with/fb3e55f5-b825-403c-978d-78565f20a72a" TargetMode="External"/><Relationship Id="rId64" Type="http://schemas.openxmlformats.org/officeDocument/2006/relationships/hyperlink" Target="https://dnapainter.com/tools/sharedcmv4/26?fbclid=IwAR3wqfKWVRq1DI_x4i7OjYx5ayGhdwQu5Tj-9K3u_CVvBxgEWwX7fHipJPs" TargetMode="External"/><Relationship Id="rId69" Type="http://schemas.openxmlformats.org/officeDocument/2006/relationships/hyperlink" Target="https://dnapainter.com/tools/sharedcmv4/19?fbclid=IwAR3wqfKWVRq1DI_x4i7OjYx5ayGhdwQu5Tj-9K3u_CVvBxgEWwX7fHipJPs" TargetMode="External"/><Relationship Id="rId80" Type="http://schemas.openxmlformats.org/officeDocument/2006/relationships/hyperlink" Target="https://www.ancestry.co.uk/discoveryui-matches/compare/8955cf51-8070-4a51-8674-b7f01b347aed/with/b6fbdda0-793c-4fba-9fe8-1a37ac100dba" TargetMode="External"/><Relationship Id="rId85" Type="http://schemas.openxmlformats.org/officeDocument/2006/relationships/hyperlink" Target="https://www.ancestry.co.uk/discoveryui-matches/compare/50A7C5EF-9E94-44BE-A86A-5736956A97F2/with/D65AB949-4617-4660-9B45-ACEBAA552DAC/matchesofmatches" TargetMode="External"/><Relationship Id="rId12" Type="http://schemas.openxmlformats.org/officeDocument/2006/relationships/hyperlink" Target="https://www.ancestry.co.uk/family-tree/person/tree/163868056/person/342132992964/facts" TargetMode="External"/><Relationship Id="rId17" Type="http://schemas.openxmlformats.org/officeDocument/2006/relationships/hyperlink" Target="https://www.ancestry.co.uk/family-tree/person/tree/163868056/person/342132993823/facts" TargetMode="External"/><Relationship Id="rId25" Type="http://schemas.openxmlformats.org/officeDocument/2006/relationships/hyperlink" Target="https://www.ancestry.co.uk/family-tree/person/tree/163868056/person/342132993824/facts" TargetMode="External"/><Relationship Id="rId33" Type="http://schemas.openxmlformats.org/officeDocument/2006/relationships/hyperlink" Target="https://www.ancestry.co.uk/family-tree/person/tree/163868056/person/342132994100/facts" TargetMode="External"/><Relationship Id="rId38" Type="http://schemas.openxmlformats.org/officeDocument/2006/relationships/hyperlink" Target="https://www.ancestry.co.uk/family-tree/tree/163868056/family?cfpid=342336103102" TargetMode="External"/><Relationship Id="rId46" Type="http://schemas.openxmlformats.org/officeDocument/2006/relationships/hyperlink" Target="https://www.ancestry.co.uk/discoveryui-matches/compare/50a7c5ef-9e94-44be-a86a-5736956a97f2/with/6c887d34-a577-4a03-8fc1-6a514439d432" TargetMode="External"/><Relationship Id="rId59" Type="http://schemas.openxmlformats.org/officeDocument/2006/relationships/hyperlink" Target="https://dnapainter.com/tools/sharedcmv4/77.6?fbclid=IwAR3wqfKWVRq1DI_x4i7OjYx5ayGhdwQu5Tj-9K3u_CVvBxgEWwX7fHipJPs" TargetMode="External"/><Relationship Id="rId67" Type="http://schemas.openxmlformats.org/officeDocument/2006/relationships/hyperlink" Target="https://dnapainter.com/tools/sharedcmv4/22?fbclid=IwAR3wqfKWVRq1DI_x4i7OjYx5ayGhdwQu5Tj-9K3u_CVvBxgEWwX7fHipJPs" TargetMode="External"/><Relationship Id="rId20" Type="http://schemas.openxmlformats.org/officeDocument/2006/relationships/hyperlink" Target="https://www.ancestry.co.uk/family-tree/person/tree/163868056/person/342132993823/facts" TargetMode="External"/><Relationship Id="rId41" Type="http://schemas.openxmlformats.org/officeDocument/2006/relationships/hyperlink" Target="https://www.ancestry.co.uk/family-tree/tree/163868056/family?cfpid=342264362138" TargetMode="External"/><Relationship Id="rId54" Type="http://schemas.openxmlformats.org/officeDocument/2006/relationships/hyperlink" Target="https://www.ancestry.co.uk/discoveryui-matches/compare/50a7c5ef-9e94-44be-a86a-5736956a97f2/with/d5064405-6b5b-4f8e-a3b1-32f2a3b08fa6" TargetMode="External"/><Relationship Id="rId62" Type="http://schemas.openxmlformats.org/officeDocument/2006/relationships/hyperlink" Target="https://dnapainter.com/tools/sharedcmv4/10?fbclid=IwAR3wqfKWVRq1DI_x4i7OjYx5ayGhdwQu5Tj-9K3u_CVvBxgEWwX7fHipJPs" TargetMode="External"/><Relationship Id="rId70" Type="http://schemas.openxmlformats.org/officeDocument/2006/relationships/hyperlink" Target="https://dnapainter.com/tools/sharedcmv4/18?fbclid=IwAR3wqfKWVRq1DI_x4i7OjYx5ayGhdwQu5Tj-9K3u_CVvBxgEWwX7fHipJPs" TargetMode="External"/><Relationship Id="rId75" Type="http://schemas.openxmlformats.org/officeDocument/2006/relationships/hyperlink" Target="https://www.ancestry.co.uk/discoveryui-matches/compare/7F8D61F6-1FA4-47C1-9A03-3889CC97CC0C/with/F33B0215-AEDD-4ED5-888F-3D64640FC7B4" TargetMode="External"/><Relationship Id="rId83" Type="http://schemas.openxmlformats.org/officeDocument/2006/relationships/hyperlink" Target="https://dnapainter.com/tools/sharedcmv4/19?fbclid=IwAR3wqfKWVRq1DI_x4i7OjYx5ayGhdwQu5Tj-9K3u_CVvBxgEWwX7fHipJPs" TargetMode="External"/><Relationship Id="rId88" Type="http://schemas.openxmlformats.org/officeDocument/2006/relationships/hyperlink" Target="https://www.ancestry.co.uk/family-tree/person/tree/163868056/person/342132994168/facts" TargetMode="External"/><Relationship Id="rId91" Type="http://schemas.openxmlformats.org/officeDocument/2006/relationships/hyperlink" Target="https://www.ancestry.co.uk/family-tree/person/tree/163868056/person/342132992964/facts" TargetMode="External"/><Relationship Id="rId96" Type="http://schemas.openxmlformats.org/officeDocument/2006/relationships/hyperlink" Target="https://dnapainter.com/tools/sharedcmv4/23?fbclid=IwAR3wqfKWVRq1DI_x4i7OjYx5ayGhdwQu5Tj-9K3u_CVvBxgEWwX7fHipJPs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www.ancestry.co.uk/family-tree/person/tree/163868056/person/342132992964/facts" TargetMode="External"/><Relationship Id="rId15" Type="http://schemas.openxmlformats.org/officeDocument/2006/relationships/hyperlink" Target="https://www.ancestry.co.uk/family-tree/person/tree/163868056/person/342132993823/facts" TargetMode="External"/><Relationship Id="rId23" Type="http://schemas.openxmlformats.org/officeDocument/2006/relationships/hyperlink" Target="https://www.ancestry.co.uk/family-tree/person/tree/163868056/person/342132993824/facts" TargetMode="External"/><Relationship Id="rId28" Type="http://schemas.openxmlformats.org/officeDocument/2006/relationships/hyperlink" Target="https://www.ancestry.co.uk/family-tree/person/tree/163868056/person/342132994099/facts" TargetMode="External"/><Relationship Id="rId36" Type="http://schemas.openxmlformats.org/officeDocument/2006/relationships/hyperlink" Target="https://www.ancestry.co.uk/family-tree/person/tree/163868056/person/342132994100/facts" TargetMode="External"/><Relationship Id="rId49" Type="http://schemas.openxmlformats.org/officeDocument/2006/relationships/hyperlink" Target="https://www.ancestry.co.uk/family-tree/tree/163868056/family?cfpid=342153445135" TargetMode="External"/><Relationship Id="rId57" Type="http://schemas.openxmlformats.org/officeDocument/2006/relationships/hyperlink" Target="https://www.myheritage.com/dna/match/D-FCAECA02-7114-4F38-B398-0BCC0AEF0669-D-DBDF0F68-E554-464A-BB81-0760DD207B37/691113321?p=1&amp;ps=10&amp;search=hoberecht&amp;sort=total_shared_segments_length_in_cm&amp;memberId=704364871" TargetMode="External"/><Relationship Id="rId10" Type="http://schemas.openxmlformats.org/officeDocument/2006/relationships/hyperlink" Target="https://www.ancestry.co.uk/family-tree/person/tree/163868056/person/342132992964/facts" TargetMode="External"/><Relationship Id="rId31" Type="http://schemas.openxmlformats.org/officeDocument/2006/relationships/hyperlink" Target="https://www.ancestry.co.uk/family-tree/person/tree/163868056/person/342132994099/facts" TargetMode="External"/><Relationship Id="rId44" Type="http://schemas.openxmlformats.org/officeDocument/2006/relationships/hyperlink" Target="https://www.ancestry.co.uk/family-tree/tree/163868056/family?cfpid=342264363196" TargetMode="External"/><Relationship Id="rId52" Type="http://schemas.openxmlformats.org/officeDocument/2006/relationships/hyperlink" Target="https://you.23andme.com/profile/7f92cfc40a7bea5d/" TargetMode="External"/><Relationship Id="rId60" Type="http://schemas.openxmlformats.org/officeDocument/2006/relationships/hyperlink" Target="https://dnapainter.com/tools/sharedcmv4/52.2?fbclid=IwAR3wqfKWVRq1DI_x4i7OjYx5ayGhdwQu5Tj-9K3u_CVvBxgEWwX7fHipJPs" TargetMode="External"/><Relationship Id="rId65" Type="http://schemas.openxmlformats.org/officeDocument/2006/relationships/hyperlink" Target="https://dnapainter.com/tools/sharedcmv4/26?fbclid=IwAR3wqfKWVRq1DI_x4i7OjYx5ayGhdwQu5Tj-9K3u_CVvBxgEWwX7fHipJPs" TargetMode="External"/><Relationship Id="rId73" Type="http://schemas.openxmlformats.org/officeDocument/2006/relationships/hyperlink" Target="https://www.ancestry.co.uk/family-tree/person/tree/163868056/person/342132993823/facts" TargetMode="External"/><Relationship Id="rId78" Type="http://schemas.openxmlformats.org/officeDocument/2006/relationships/hyperlink" Target="https://www.ancestry.co.uk/family-tree/tree/163868056/family?cfpid=342371340194" TargetMode="External"/><Relationship Id="rId81" Type="http://schemas.openxmlformats.org/officeDocument/2006/relationships/hyperlink" Target="https://www.ancestry.co.uk/family-tree/person/tree/163868056/person/342132994167/facts" TargetMode="External"/><Relationship Id="rId86" Type="http://schemas.openxmlformats.org/officeDocument/2006/relationships/hyperlink" Target="https://www.ancestry.co.uk/discoveryui-matches/compare/50a7c5ef-9e94-44be-a86a-5736956a97f2/with/1b9f4576-c895-4c6b-a78d-056f335b658e" TargetMode="External"/><Relationship Id="rId94" Type="http://schemas.openxmlformats.org/officeDocument/2006/relationships/hyperlink" Target="https://www.ancestry.co.uk/family-tree/person/tree/163868056/person/342132994167/facts" TargetMode="External"/><Relationship Id="rId99" Type="http://schemas.openxmlformats.org/officeDocument/2006/relationships/hyperlink" Target="https://www.ancestry.co.uk/family-tree/person/tree/163868056/person/342132994168/facts" TargetMode="External"/><Relationship Id="rId101" Type="http://schemas.openxmlformats.org/officeDocument/2006/relationships/hyperlink" Target="https://www.ancestry.co.uk/family-tree/person/tree/163868056/person/342132992964/facts" TargetMode="External"/><Relationship Id="rId4" Type="http://schemas.openxmlformats.org/officeDocument/2006/relationships/hyperlink" Target="https://www.ancestry.co.uk/family-tree/person/tree/163868056/person/342132992964/facts" TargetMode="External"/><Relationship Id="rId9" Type="http://schemas.openxmlformats.org/officeDocument/2006/relationships/hyperlink" Target="https://www.ancestry.co.uk/family-tree/person/tree/163868056/person/342132992964/facts" TargetMode="External"/><Relationship Id="rId13" Type="http://schemas.openxmlformats.org/officeDocument/2006/relationships/hyperlink" Target="https://www.ancestry.co.uk/family-tree/person/tree/163868056/person/342132993823/facts" TargetMode="External"/><Relationship Id="rId18" Type="http://schemas.openxmlformats.org/officeDocument/2006/relationships/hyperlink" Target="https://www.ancestry.co.uk/family-tree/person/tree/163868056/person/342132993823/facts" TargetMode="External"/><Relationship Id="rId39" Type="http://schemas.openxmlformats.org/officeDocument/2006/relationships/hyperlink" Target="https://www.myheritage.com/dna/match/D-F9099B9B-87A1-4274-827C-AF35BD245736-D-7C89D0E5-01E1-403B-8B4A-820F978F7989/691113321?p=1&amp;ps=10&amp;search=meg%20fahey&amp;sort=total_shared_segments_length_in_cm&amp;memberId=704364871" TargetMode="External"/><Relationship Id="rId34" Type="http://schemas.openxmlformats.org/officeDocument/2006/relationships/hyperlink" Target="https://www.ancestry.co.uk/family-tree/person/tree/163868056/person/342132994100/facts" TargetMode="External"/><Relationship Id="rId50" Type="http://schemas.openxmlformats.org/officeDocument/2006/relationships/hyperlink" Target="https://www.ancestry.co.uk/discoveryui-matches/compare/50a7c5ef-9e94-44be-a86a-5736956a97f2/with/0f61f322-d218-487f-beb2-deb019352a5a" TargetMode="External"/><Relationship Id="rId55" Type="http://schemas.openxmlformats.org/officeDocument/2006/relationships/hyperlink" Target="https://www.ancestry.co.uk/family-tree/tree/163868056/family?cfpid=342264362478" TargetMode="External"/><Relationship Id="rId76" Type="http://schemas.openxmlformats.org/officeDocument/2006/relationships/hyperlink" Target="https://dnapainter.com/tools/sharedcmv4/11?fbclid=IwAR3wqfKWVRq1DI_x4i7OjYx5ayGhdwQu5Tj-9K3u_CVvBxgEWwX7fHipJPs" TargetMode="External"/><Relationship Id="rId97" Type="http://schemas.openxmlformats.org/officeDocument/2006/relationships/hyperlink" Target="https://www.ancestry.co.uk/discoveryui-matches/compare/50a7c5ef-9e94-44be-a86a-5736956a97f2/with/a67814e5-d1e6-4e27-a861-a579d8b96401" TargetMode="External"/><Relationship Id="rId7" Type="http://schemas.openxmlformats.org/officeDocument/2006/relationships/hyperlink" Target="https://www.ancestry.co.uk/family-tree/person/tree/163868056/person/342132992964/facts" TargetMode="External"/><Relationship Id="rId71" Type="http://schemas.openxmlformats.org/officeDocument/2006/relationships/hyperlink" Target="https://dnapainter.com/tools/sharedcmv4/12?fbclid=IwAR3wqfKWVRq1DI_x4i7OjYx5ayGhdwQu5Tj-9K3u_CVvBxgEWwX7fHipJPs" TargetMode="External"/><Relationship Id="rId92" Type="http://schemas.openxmlformats.org/officeDocument/2006/relationships/hyperlink" Target="https://www.ancestry.co.uk/family-tree/tree/163868056/family/pedigree?cfpid=342605331860" TargetMode="External"/><Relationship Id="rId2" Type="http://schemas.openxmlformats.org/officeDocument/2006/relationships/hyperlink" Target="https://www.ancestry.co.uk/family-tree/person/tree/163868056/person/342132992964/facts" TargetMode="External"/><Relationship Id="rId29" Type="http://schemas.openxmlformats.org/officeDocument/2006/relationships/hyperlink" Target="https://www.ancestry.co.uk/family-tree/person/tree/163868056/person/342132994099/facts" TargetMode="External"/><Relationship Id="rId24" Type="http://schemas.openxmlformats.org/officeDocument/2006/relationships/hyperlink" Target="https://www.ancestry.co.uk/family-tree/person/tree/163868056/person/342132993824/facts" TargetMode="External"/><Relationship Id="rId40" Type="http://schemas.openxmlformats.org/officeDocument/2006/relationships/hyperlink" Target="https://www.ancestry.co.uk/family-tree/tree/163868056/family?cfpid=342371332320" TargetMode="External"/><Relationship Id="rId45" Type="http://schemas.openxmlformats.org/officeDocument/2006/relationships/hyperlink" Target="https://www.ancestry.co.uk/family-tree/tree/163868056/family?cfpid=342229084160" TargetMode="External"/><Relationship Id="rId66" Type="http://schemas.openxmlformats.org/officeDocument/2006/relationships/hyperlink" Target="https://dnapainter.com/tools/sharedcmv4/24?fbclid=IwAR3wqfKWVRq1DI_x4i7OjYx5ayGhdwQu5Tj-9K3u_CVvBxgEWwX7fHipJPs" TargetMode="External"/><Relationship Id="rId87" Type="http://schemas.openxmlformats.org/officeDocument/2006/relationships/hyperlink" Target="https://www.ancestry.co.uk/family-tree/person/tree/163868056/person/342132994167/facts" TargetMode="External"/><Relationship Id="rId61" Type="http://schemas.openxmlformats.org/officeDocument/2006/relationships/hyperlink" Target="https://dnapainter.com/tools/sharedcmv4/34?fbclid=IwAR3wqfKWVRq1DI_x4i7OjYx5ayGhdwQu5Tj-9K3u_CVvBxgEWwX7fHipJPs" TargetMode="External"/><Relationship Id="rId82" Type="http://schemas.openxmlformats.org/officeDocument/2006/relationships/hyperlink" Target="https://www.ancestry.co.uk/family-tree/person/tree/163868056/person/342132994168/facts" TargetMode="External"/><Relationship Id="rId19" Type="http://schemas.openxmlformats.org/officeDocument/2006/relationships/hyperlink" Target="https://www.ancestry.co.uk/family-tree/person/tree/163868056/person/342132993823/facts" TargetMode="External"/><Relationship Id="rId14" Type="http://schemas.openxmlformats.org/officeDocument/2006/relationships/hyperlink" Target="https://www.ancestry.co.uk/family-tree/person/tree/163868056/person/342132993823/facts" TargetMode="External"/><Relationship Id="rId30" Type="http://schemas.openxmlformats.org/officeDocument/2006/relationships/hyperlink" Target="https://www.ancestry.co.uk/family-tree/person/tree/163868056/person/342132994099/facts" TargetMode="External"/><Relationship Id="rId35" Type="http://schemas.openxmlformats.org/officeDocument/2006/relationships/hyperlink" Target="https://www.ancestry.co.uk/family-tree/person/tree/163868056/person/342132994100/facts" TargetMode="External"/><Relationship Id="rId56" Type="http://schemas.openxmlformats.org/officeDocument/2006/relationships/hyperlink" Target="https://www.myheritage.com/dna/match/D-F9099B9B-87A1-4274-827C-AF35BD245736-D-AF78AA8B-3566-44DD-A127-C6CA7CBEAA2B/691113321?p=1&amp;ps=10&amp;search=mackenzie%20&amp;sort=total_shared_segments_length_in_cm&amp;filter_by_labels=favorite&amp;memberId=704364871" TargetMode="External"/><Relationship Id="rId77" Type="http://schemas.openxmlformats.org/officeDocument/2006/relationships/hyperlink" Target="https://www.ancestry.co.uk/family-tree/tree/163868056/family?cfpid=342434627677" TargetMode="External"/><Relationship Id="rId100" Type="http://schemas.openxmlformats.org/officeDocument/2006/relationships/hyperlink" Target="https://dnapainter.com/tools/sharedcmv4/9?fbclid=IwAR3wqfKWVRq1DI_x4i7OjYx5ayGhdwQu5Tj-9K3u_CVvBxgEWwX7fHipJPs" TargetMode="External"/><Relationship Id="rId8" Type="http://schemas.openxmlformats.org/officeDocument/2006/relationships/hyperlink" Target="https://www.ancestry.co.uk/family-tree/person/tree/163868056/person/342132992964/facts" TargetMode="External"/><Relationship Id="rId51" Type="http://schemas.openxmlformats.org/officeDocument/2006/relationships/hyperlink" Target="https://www.ancestry.co.uk/family-tree/tree/163868056/family?cfpid=342331952710" TargetMode="External"/><Relationship Id="rId72" Type="http://schemas.openxmlformats.org/officeDocument/2006/relationships/hyperlink" Target="https://www.ancestry.co.uk/family-tree/person/tree/163868056/person/342132993681/facts" TargetMode="External"/><Relationship Id="rId93" Type="http://schemas.openxmlformats.org/officeDocument/2006/relationships/hyperlink" Target="https://www.ancestry.co.uk/discoveryui-matches/compare/50a7c5ef-9e94-44be-a86a-5736956a97f2/with/192bf1f8-cedb-4ace-ad87-6ed843c330e1" TargetMode="External"/><Relationship Id="rId98" Type="http://schemas.openxmlformats.org/officeDocument/2006/relationships/hyperlink" Target="https://www.ancestry.co.uk/family-tree/person/tree/163868056/person/342132994167/facts" TargetMode="External"/><Relationship Id="rId3" Type="http://schemas.openxmlformats.org/officeDocument/2006/relationships/hyperlink" Target="https://www.ancestry.co.uk/family-tree/person/tree/163868056/person/342132992964/facts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dnapainter.com/tools/sharedcmv4/12?fbclid=IwAR3wqfKWVRq1DI_x4i7OjYx5ayGhdwQu5Tj-9K3u_CVvBxgEWwX7fHipJPs" TargetMode="External"/><Relationship Id="rId21" Type="http://schemas.openxmlformats.org/officeDocument/2006/relationships/hyperlink" Target="https://www.ancestry.co.uk/family-tree/person/tree/163868056/person/342132992964/facts" TargetMode="External"/><Relationship Id="rId63" Type="http://schemas.openxmlformats.org/officeDocument/2006/relationships/hyperlink" Target="https://www.ancestry.co.uk/family-tree/person/tree/163868056/person/342132993732/facts" TargetMode="External"/><Relationship Id="rId159" Type="http://schemas.openxmlformats.org/officeDocument/2006/relationships/hyperlink" Target="https://www.ancestry.co.uk/discoveryui-matches/compare/50a7c5ef-9e94-44be-a86a-5736956a97f2/with/7c291ab8-c107-4de3-bd53-c5da008c59d7" TargetMode="External"/><Relationship Id="rId170" Type="http://schemas.openxmlformats.org/officeDocument/2006/relationships/hyperlink" Target="https://www.ancestry.co.uk/family-tree/tree/163868056/family?cfpid=342308691257" TargetMode="External"/><Relationship Id="rId226" Type="http://schemas.openxmlformats.org/officeDocument/2006/relationships/hyperlink" Target="https://www.ancestry.co.uk/family-tree/person/tree/163868056/person/342132993732/facts" TargetMode="External"/><Relationship Id="rId268" Type="http://schemas.openxmlformats.org/officeDocument/2006/relationships/hyperlink" Target="https://www.ancestry.co.uk/family-tree/person/tree/163868056/person/342132993743/facts" TargetMode="External"/><Relationship Id="rId32" Type="http://schemas.openxmlformats.org/officeDocument/2006/relationships/hyperlink" Target="https://www.ancestry.co.uk/family-tree/person/tree/163868056/person/342132992970/facts" TargetMode="External"/><Relationship Id="rId74" Type="http://schemas.openxmlformats.org/officeDocument/2006/relationships/hyperlink" Target="https://www.ancestry.co.uk/family-tree/person/tree/163868056/person/342132993732/facts" TargetMode="External"/><Relationship Id="rId128" Type="http://schemas.openxmlformats.org/officeDocument/2006/relationships/hyperlink" Target="https://dnapainter.com/tools/sharedcmv4/9?fbclid=IwAR3wqfKWVRq1DI_x4i7OjYx5ayGhdwQu5Tj-9K3u_CVvBxgEWwX7fHipJPs" TargetMode="External"/><Relationship Id="rId5" Type="http://schemas.openxmlformats.org/officeDocument/2006/relationships/hyperlink" Target="https://www.ancestry.co.uk/family-tree/person/tree/163868056/person/342132992964/facts" TargetMode="External"/><Relationship Id="rId95" Type="http://schemas.openxmlformats.org/officeDocument/2006/relationships/hyperlink" Target="https://www.ancestry.co.uk/family-tree/person/tree/163868056/person/342132993708/facts" TargetMode="External"/><Relationship Id="rId160" Type="http://schemas.openxmlformats.org/officeDocument/2006/relationships/hyperlink" Target="https://www.ancestry.co.uk/family-tree/tree/163868056/family?cfpid=342306065564" TargetMode="External"/><Relationship Id="rId181" Type="http://schemas.openxmlformats.org/officeDocument/2006/relationships/hyperlink" Target="https://d.docs.live.net/D32613E9A4B09111/Documents/V" TargetMode="External"/><Relationship Id="rId216" Type="http://schemas.openxmlformats.org/officeDocument/2006/relationships/hyperlink" Target="https://www.ancestry.co.uk/family-tree/tree/163868056/family/pedigree?cfpid=342513201711" TargetMode="External"/><Relationship Id="rId237" Type="http://schemas.openxmlformats.org/officeDocument/2006/relationships/hyperlink" Target="https://www.ancestry.co.uk/family-tree/person/tree/163868056/person/342132993729/facts" TargetMode="External"/><Relationship Id="rId258" Type="http://schemas.openxmlformats.org/officeDocument/2006/relationships/hyperlink" Target="https://www.ancestry.co.uk/discoveryui-matches/compare/50a7c5ef-9e94-44be-a86a-5736956a97f2/with/8088e240-b3be-4364-9fbe-ff3b2ed57f14" TargetMode="External"/><Relationship Id="rId22" Type="http://schemas.openxmlformats.org/officeDocument/2006/relationships/hyperlink" Target="https://www.ancestry.co.uk/family-tree/person/tree/163868056/person/342132992964/facts" TargetMode="External"/><Relationship Id="rId43" Type="http://schemas.openxmlformats.org/officeDocument/2006/relationships/hyperlink" Target="https://www.ancestry.co.uk/family-tree/person/tree/163868056/person/342132993729/facts" TargetMode="External"/><Relationship Id="rId64" Type="http://schemas.openxmlformats.org/officeDocument/2006/relationships/hyperlink" Target="https://www.ancestry.co.uk/family-tree/person/tree/163868056/person/342132993732/facts" TargetMode="External"/><Relationship Id="rId118" Type="http://schemas.openxmlformats.org/officeDocument/2006/relationships/hyperlink" Target="https://dnapainter.com/tools/sharedcmv4/10?fbclid=IwAR3wqfKWVRq1DI_x4i7OjYx5ayGhdwQu5Tj-9K3u_CVvBxgEWwX7fHipJPs" TargetMode="External"/><Relationship Id="rId139" Type="http://schemas.openxmlformats.org/officeDocument/2006/relationships/hyperlink" Target="https://dnapainter.com/tools/sharedcmv4/6?fbclid=IwAR3wqfKWVRq1DI_x4i7OjYx5ayGhdwQu5Tj-9K3u_CVvBxgEWwX7fHipJPs" TargetMode="External"/><Relationship Id="rId85" Type="http://schemas.openxmlformats.org/officeDocument/2006/relationships/hyperlink" Target="https://www.ancestry.co.uk/family-tree/person/tree/163868056/person/342132993701/facts" TargetMode="External"/><Relationship Id="rId150" Type="http://schemas.openxmlformats.org/officeDocument/2006/relationships/hyperlink" Target="https://www.ancestry.co.uk/family-tree/tree/163868056/family?cfpid=342153450531" TargetMode="External"/><Relationship Id="rId171" Type="http://schemas.openxmlformats.org/officeDocument/2006/relationships/hyperlink" Target="https://www.ancestry.co.uk/family-tree/tree/163868056/family?cfpid=342133001105" TargetMode="External"/><Relationship Id="rId192" Type="http://schemas.openxmlformats.org/officeDocument/2006/relationships/hyperlink" Target="https://www.ancestry.co.uk/discoveryui-matches/compare/50a7c5ef-9e94-44be-a86a-5736956a97f2/with/06291397-c952-4904-a576-0a67b6b38c55" TargetMode="External"/><Relationship Id="rId206" Type="http://schemas.openxmlformats.org/officeDocument/2006/relationships/hyperlink" Target="https://www.ancestry.co.uk/family-tree/person/tree/163868056/person/342132993733/facts" TargetMode="External"/><Relationship Id="rId227" Type="http://schemas.openxmlformats.org/officeDocument/2006/relationships/hyperlink" Target="https://www.ancestry.co.uk/family-tree/person/tree/163868056/person/342132993729/facts" TargetMode="External"/><Relationship Id="rId248" Type="http://schemas.openxmlformats.org/officeDocument/2006/relationships/hyperlink" Target="https://dnapainter.com/tools/sharedcmv4/16?fbclid=IwAR3wqfKWVRq1DI_x4i7OjYx5ayGhdwQu5Tj-9K3u_CVvBxgEWwX7fHipJPs" TargetMode="External"/><Relationship Id="rId269" Type="http://schemas.openxmlformats.org/officeDocument/2006/relationships/hyperlink" Target="https://dnapainter.com/tools/sharedcmv4/50?fbclid=IwAR3wqfKWVRq1DI_x4i7OjYx5ayGhdwQu5Tj-9K3u_CVvBxgEWwX7fHipJPs" TargetMode="External"/><Relationship Id="rId12" Type="http://schemas.openxmlformats.org/officeDocument/2006/relationships/hyperlink" Target="https://www.ancestry.co.uk/family-tree/person/tree/163868056/person/342132992964/facts" TargetMode="External"/><Relationship Id="rId33" Type="http://schemas.openxmlformats.org/officeDocument/2006/relationships/hyperlink" Target="https://www.ancestry.co.uk/family-tree/person/tree/163868056/person/342132993733/facts" TargetMode="External"/><Relationship Id="rId108" Type="http://schemas.openxmlformats.org/officeDocument/2006/relationships/hyperlink" Target="https://dnapainter.com/tools/sharedcmv4/10?fbclid=IwAR3wqfKWVRq1DI_x4i7OjYx5ayGhdwQu5Tj-9K3u_CVvBxgEWwX7fHipJPs" TargetMode="External"/><Relationship Id="rId129" Type="http://schemas.openxmlformats.org/officeDocument/2006/relationships/hyperlink" Target="https://dnapainter.com/tools/sharedcmv4/9?fbclid=IwAR3wqfKWVRq1DI_x4i7OjYx5ayGhdwQu5Tj-9K3u_CVvBxgEWwX7fHipJPs" TargetMode="External"/><Relationship Id="rId54" Type="http://schemas.openxmlformats.org/officeDocument/2006/relationships/hyperlink" Target="https://www.ancestry.co.uk/family-tree/person/tree/163868056/person/342132993729/facts" TargetMode="External"/><Relationship Id="rId75" Type="http://schemas.openxmlformats.org/officeDocument/2006/relationships/hyperlink" Target="https://www.ancestry.co.uk/family-tree/person/tree/163868056/person/342132993732/facts" TargetMode="External"/><Relationship Id="rId96" Type="http://schemas.openxmlformats.org/officeDocument/2006/relationships/hyperlink" Target="https://www.ancestry.co.uk/family-tree/person/tree/163868056/person/342132993712/facts" TargetMode="External"/><Relationship Id="rId140" Type="http://schemas.openxmlformats.org/officeDocument/2006/relationships/hyperlink" Target="https://dnapainter.com/tools/sharedcmv4/6?fbclid=IwAR3wqfKWVRq1DI_x4i7OjYx5ayGhdwQu5Tj-9K3u_CVvBxgEWwX7fHipJPs" TargetMode="External"/><Relationship Id="rId161" Type="http://schemas.openxmlformats.org/officeDocument/2006/relationships/hyperlink" Target="https://www.ancestry.co.uk/discoveryui-matches/compare/50a7c5ef-9e94-44be-a86a-5736956a97f2/with/eaa38601-2b77-4f61-81ea-672c0d247a26" TargetMode="External"/><Relationship Id="rId182" Type="http://schemas.openxmlformats.org/officeDocument/2006/relationships/hyperlink" Target="https://www.ancestry.co.uk/discoveryui-matches/compare/50a7c5ef-9e94-44be-a86a-5736956a97f2/with/b76555d8-dead-4c09-b183-b00dfa19b741" TargetMode="External"/><Relationship Id="rId217" Type="http://schemas.openxmlformats.org/officeDocument/2006/relationships/hyperlink" Target="https://www.ancestry.co.uk/family-tree/person/tree/163868056/person/342132992970/facts" TargetMode="External"/><Relationship Id="rId6" Type="http://schemas.openxmlformats.org/officeDocument/2006/relationships/hyperlink" Target="https://www.ancestry.co.uk/family-tree/person/tree/163868056/person/342132992964/facts" TargetMode="External"/><Relationship Id="rId238" Type="http://schemas.openxmlformats.org/officeDocument/2006/relationships/hyperlink" Target="https://www.ancestry.co.uk/family-tree/person/tree/163868056/person/342132993732/facts" TargetMode="External"/><Relationship Id="rId259" Type="http://schemas.openxmlformats.org/officeDocument/2006/relationships/hyperlink" Target="https://www.ancestry.co.uk/family-tree/person/tree/163868056/person/342132992970/facts" TargetMode="External"/><Relationship Id="rId23" Type="http://schemas.openxmlformats.org/officeDocument/2006/relationships/hyperlink" Target="https://www.ancestry.co.uk/family-tree/person/tree/163868056/person/342132992964/facts" TargetMode="External"/><Relationship Id="rId119" Type="http://schemas.openxmlformats.org/officeDocument/2006/relationships/hyperlink" Target="https://dnapainter.com/tools/sharedcmv4/10?fbclid=IwAR3wqfKWVRq1DI_x4i7OjYx5ayGhdwQu5Tj-9K3u_CVvBxgEWwX7fHipJPs" TargetMode="External"/><Relationship Id="rId270" Type="http://schemas.openxmlformats.org/officeDocument/2006/relationships/hyperlink" Target="https://www.ancestry.co.uk/discoveryui-matches/compare/8955cf51-8070-4a51-8674-b7f01b347aed/with/46ee5546-8a32-4a5a-8206-c43266f92595" TargetMode="External"/><Relationship Id="rId44" Type="http://schemas.openxmlformats.org/officeDocument/2006/relationships/hyperlink" Target="https://www.ancestry.co.uk/family-tree/person/tree/163868056/person/342132993729/facts" TargetMode="External"/><Relationship Id="rId65" Type="http://schemas.openxmlformats.org/officeDocument/2006/relationships/hyperlink" Target="https://www.ancestry.co.uk/family-tree/person/tree/163868056/person/342132993732/facts" TargetMode="External"/><Relationship Id="rId86" Type="http://schemas.openxmlformats.org/officeDocument/2006/relationships/hyperlink" Target="https://www.ancestry.co.uk/family-tree/person/tree/163868056/person/342132993707/facts" TargetMode="External"/><Relationship Id="rId130" Type="http://schemas.openxmlformats.org/officeDocument/2006/relationships/hyperlink" Target="https://dnapainter.com/tools/sharedcmv4/9?fbclid=IwAR3wqfKWVRq1DI_x4i7OjYx5ayGhdwQu5Tj-9K3u_CVvBxgEWwX7fHipJPs" TargetMode="External"/><Relationship Id="rId151" Type="http://schemas.openxmlformats.org/officeDocument/2006/relationships/hyperlink" Target="https://www.ancestry.co.uk/discoveryui-matches/compare/50a7c5ef-9e94-44be-a86a-5736956a97f2/with/811e74ca-8a2b-456e-bdb4-c55d6331c632" TargetMode="External"/><Relationship Id="rId172" Type="http://schemas.openxmlformats.org/officeDocument/2006/relationships/hyperlink" Target="https://www.ancestry.co.uk/discoveryui-matches/compare/50a7c5ef-9e94-44be-a86a-5736956a97f2/with/97e9cbfe-ef08-4e4e-a985-5b6cc04c57a9" TargetMode="External"/><Relationship Id="rId193" Type="http://schemas.openxmlformats.org/officeDocument/2006/relationships/hyperlink" Target="https://www.ancestry.co.uk/family-tree/tree/163868056/family?cfpid=342153450175" TargetMode="External"/><Relationship Id="rId207" Type="http://schemas.openxmlformats.org/officeDocument/2006/relationships/hyperlink" Target="https://www.ancestry.co.uk/family-tree/person/tree/163868056/person/342132993743/facts" TargetMode="External"/><Relationship Id="rId228" Type="http://schemas.openxmlformats.org/officeDocument/2006/relationships/hyperlink" Target="https://www.ancestry.co.uk/family-tree/tree/163868056/family/pedigree?cfpid=342552749504" TargetMode="External"/><Relationship Id="rId249" Type="http://schemas.openxmlformats.org/officeDocument/2006/relationships/hyperlink" Target="https://www.ancestry.co.uk/discoveryui-matches/compare/8955cf51-8070-4a51-8674-b7f01b347aed/with/8c29d87f-9de4-4c99-98c7-1e946a917d6b" TargetMode="External"/><Relationship Id="rId13" Type="http://schemas.openxmlformats.org/officeDocument/2006/relationships/hyperlink" Target="https://www.ancestry.co.uk/family-tree/person/tree/163868056/person/342132992964/facts" TargetMode="External"/><Relationship Id="rId109" Type="http://schemas.openxmlformats.org/officeDocument/2006/relationships/hyperlink" Target="https://dnapainter.com/tools/sharedcmv4/22?fbclid=IwAR3wqfKWVRq1DI_x4i7OjYx5ayGhdwQu5Tj-9K3u_CVvBxgEWwX7fHipJPs" TargetMode="External"/><Relationship Id="rId260" Type="http://schemas.openxmlformats.org/officeDocument/2006/relationships/hyperlink" Target="https://www.ancestry.co.uk/family-tree/person/tree/163868056/person/342132993729/facts" TargetMode="External"/><Relationship Id="rId34" Type="http://schemas.openxmlformats.org/officeDocument/2006/relationships/hyperlink" Target="https://www.ancestry.co.uk/family-tree/person/tree/163868056/person/342132993733/facts" TargetMode="External"/><Relationship Id="rId55" Type="http://schemas.openxmlformats.org/officeDocument/2006/relationships/hyperlink" Target="https://www.ancestry.co.uk/family-tree/person/tree/163868056/person/342132993729/facts" TargetMode="External"/><Relationship Id="rId76" Type="http://schemas.openxmlformats.org/officeDocument/2006/relationships/hyperlink" Target="https://www.ancestry.co.uk/family-tree/person/tree/163868056/person/342132993732/facts" TargetMode="External"/><Relationship Id="rId97" Type="http://schemas.openxmlformats.org/officeDocument/2006/relationships/hyperlink" Target="https://dnapainter.com/tools/sharedcmv4/34?fbclid=IwAR3wqfKWVRq1DI_x4i7OjYx5ayGhdwQu5Tj-9K3u_CVvBxgEWwX7fHipJPs" TargetMode="External"/><Relationship Id="rId120" Type="http://schemas.openxmlformats.org/officeDocument/2006/relationships/hyperlink" Target="https://dnapainter.com/tools/sharedcmv4/10?fbclid=IwAR3wqfKWVRq1DI_x4i7OjYx5ayGhdwQu5Tj-9K3u_CVvBxgEWwX7fHipJPs" TargetMode="External"/><Relationship Id="rId141" Type="http://schemas.openxmlformats.org/officeDocument/2006/relationships/hyperlink" Target="https://dnapainter.com/tools/sharedcmv4/6?fbclid=IwAR3wqfKWVRq1DI_x4i7OjYx5ayGhdwQu5Tj-9K3u_CVvBxgEWwX7fHipJPs" TargetMode="External"/><Relationship Id="rId7" Type="http://schemas.openxmlformats.org/officeDocument/2006/relationships/hyperlink" Target="https://www.ancestry.co.uk/family-tree/person/tree/163868056/person/342132992964/facts" TargetMode="External"/><Relationship Id="rId162" Type="http://schemas.openxmlformats.org/officeDocument/2006/relationships/hyperlink" Target="https://www.ancestry.co.uk/family-tree/tree/163868056/family?cfpid=342306411446" TargetMode="External"/><Relationship Id="rId183" Type="http://schemas.openxmlformats.org/officeDocument/2006/relationships/hyperlink" Target="https://www.ancestry.co.uk/family-tree/tree/163868056/family?cfpid=342268618008" TargetMode="External"/><Relationship Id="rId218" Type="http://schemas.openxmlformats.org/officeDocument/2006/relationships/hyperlink" Target="https://www.ancestry.co.uk/family-tree/person/tree/163868056/person/342132993729/facts" TargetMode="External"/><Relationship Id="rId239" Type="http://schemas.openxmlformats.org/officeDocument/2006/relationships/hyperlink" Target="https://dnapainter.com/tools/sharedcmv4/14?fbclid=IwAR3wqfKWVRq1DI_x4i7OjYx5ayGhdwQu5Tj-9K3u_CVvBxgEWwX7fHipJPs" TargetMode="External"/><Relationship Id="rId250" Type="http://schemas.openxmlformats.org/officeDocument/2006/relationships/hyperlink" Target="https://www.ancestry.co.uk/family-tree/person/tree/163868056/person/342132993729/facts" TargetMode="External"/><Relationship Id="rId271" Type="http://schemas.openxmlformats.org/officeDocument/2006/relationships/hyperlink" Target="https://www.ancestry.co.uk/family-tree/tree/163868056/family/pedigree?cfpid=342616123413" TargetMode="External"/><Relationship Id="rId24" Type="http://schemas.openxmlformats.org/officeDocument/2006/relationships/hyperlink" Target="https://www.ancestry.co.uk/family-tree/person/tree/163868056/person/342132992964/facts" TargetMode="External"/><Relationship Id="rId45" Type="http://schemas.openxmlformats.org/officeDocument/2006/relationships/hyperlink" Target="https://www.ancestry.co.uk/family-tree/person/tree/163868056/person/342132993729/facts" TargetMode="External"/><Relationship Id="rId66" Type="http://schemas.openxmlformats.org/officeDocument/2006/relationships/hyperlink" Target="https://www.ancestry.co.uk/family-tree/person/tree/163868056/person/342132993732/facts" TargetMode="External"/><Relationship Id="rId87" Type="http://schemas.openxmlformats.org/officeDocument/2006/relationships/hyperlink" Target="https://www.ancestry.co.uk/family-tree/person/tree/163868056/person/342132993707/facts" TargetMode="External"/><Relationship Id="rId110" Type="http://schemas.openxmlformats.org/officeDocument/2006/relationships/hyperlink" Target="https://dnapainter.com/tools/sharedcmv4/22?fbclid=IwAR3wqfKWVRq1DI_x4i7OjYx5ayGhdwQu5Tj-9K3u_CVvBxgEWwX7fHipJPs" TargetMode="External"/><Relationship Id="rId131" Type="http://schemas.openxmlformats.org/officeDocument/2006/relationships/hyperlink" Target="https://dnapainter.com/tools/sharedcmv4/9?fbclid=IwAR3wqfKWVRq1DI_x4i7OjYx5ayGhdwQu5Tj-9K3u_CVvBxgEWwX7fHipJPs" TargetMode="External"/><Relationship Id="rId152" Type="http://schemas.openxmlformats.org/officeDocument/2006/relationships/hyperlink" Target="https://www.ancestry.co.uk/family-tree/tree/163868056/family?cfpid=342242374304" TargetMode="External"/><Relationship Id="rId173" Type="http://schemas.openxmlformats.org/officeDocument/2006/relationships/hyperlink" Target="https://www.ancestry.co.uk/family-tree/tree/163868056/family?cfpid=342268602602" TargetMode="External"/><Relationship Id="rId194" Type="http://schemas.openxmlformats.org/officeDocument/2006/relationships/hyperlink" Target="https://www.ancestry.co.uk/discoveryui-matches/compare/50a7c5ef-9e94-44be-a86a-5736956a97f2/with/2b4125ad-b503-4eda-96a6-eb10a6f61819" TargetMode="External"/><Relationship Id="rId208" Type="http://schemas.openxmlformats.org/officeDocument/2006/relationships/hyperlink" Target="https://dnapainter.com/tools/sharedcmv4/32?fbclid=IwAR3wqfKWVRq1DI_x4i7OjYx5ayGhdwQu5Tj-9K3u_CVvBxgEWwX7fHipJPs" TargetMode="External"/><Relationship Id="rId229" Type="http://schemas.openxmlformats.org/officeDocument/2006/relationships/hyperlink" Target="https://www.ancestry.co.uk/family-tree/person/tree/163868056/person/342132992964/facts" TargetMode="External"/><Relationship Id="rId240" Type="http://schemas.openxmlformats.org/officeDocument/2006/relationships/hyperlink" Target="https://www.ancestry.co.uk/discoveryui-matches/compare/8955CF51-8070-4A51-8674-B7F01B347AED/with/12D6F316-13B1-42AB-AF26-61D0A82E9B12" TargetMode="External"/><Relationship Id="rId261" Type="http://schemas.openxmlformats.org/officeDocument/2006/relationships/hyperlink" Target="https://www.ancestry.co.uk/family-tree/person/tree/163868056/person/342132993732/facts" TargetMode="External"/><Relationship Id="rId14" Type="http://schemas.openxmlformats.org/officeDocument/2006/relationships/hyperlink" Target="https://www.ancestry.co.uk/family-tree/person/tree/163868056/person/342132992964/facts" TargetMode="External"/><Relationship Id="rId35" Type="http://schemas.openxmlformats.org/officeDocument/2006/relationships/hyperlink" Target="https://www.ancestry.co.uk/family-tree/person/tree/163868056/person/342132993733/facts" TargetMode="External"/><Relationship Id="rId56" Type="http://schemas.openxmlformats.org/officeDocument/2006/relationships/hyperlink" Target="https://www.ancestry.co.uk/family-tree/person/tree/163868056/person/342132993729/facts" TargetMode="External"/><Relationship Id="rId77" Type="http://schemas.openxmlformats.org/officeDocument/2006/relationships/hyperlink" Target="https://www.ancestry.co.uk/family-tree/person/tree/163868056/person/342132993701/facts" TargetMode="External"/><Relationship Id="rId100" Type="http://schemas.openxmlformats.org/officeDocument/2006/relationships/hyperlink" Target="https://dnapainter.com/tools/sharedcmv4/24?fbclid=IwAR3wqfKWVRq1DI_x4i7OjYx5ayGhdwQu5Tj-9K3u_CVvBxgEWwX7fHipJPs" TargetMode="External"/><Relationship Id="rId8" Type="http://schemas.openxmlformats.org/officeDocument/2006/relationships/hyperlink" Target="https://www.ancestry.co.uk/family-tree/person/tree/163868056/person/342132992964/facts" TargetMode="External"/><Relationship Id="rId98" Type="http://schemas.openxmlformats.org/officeDocument/2006/relationships/hyperlink" Target="https://dnapainter.com/tools/sharedcmv4/30?fbclid=IwAR3wqfKWVRq1DI_x4i7OjYx5ayGhdwQu5Tj-9K3u_CVvBxgEWwX7fHipJPs" TargetMode="External"/><Relationship Id="rId121" Type="http://schemas.openxmlformats.org/officeDocument/2006/relationships/hyperlink" Target="https://dnapainter.com/tools/sharedcmv4/10?fbclid=IwAR3wqfKWVRq1DI_x4i7OjYx5ayGhdwQu5Tj-9K3u_CVvBxgEWwX7fHipJPs" TargetMode="External"/><Relationship Id="rId142" Type="http://schemas.openxmlformats.org/officeDocument/2006/relationships/hyperlink" Target="https://www.ancestry.co.uk/family-tree/tree/163868056/family?cfpid=342321897122" TargetMode="External"/><Relationship Id="rId163" Type="http://schemas.openxmlformats.org/officeDocument/2006/relationships/hyperlink" Target="https://www.ancestry.co.uk/discoveryui-matches/compare/50a7c5ef-9e94-44be-a86a-5736956a97f2/with/3a22bd34-602e-4023-acce-065fd33b65c0" TargetMode="External"/><Relationship Id="rId184" Type="http://schemas.openxmlformats.org/officeDocument/2006/relationships/hyperlink" Target="https://www.ancestry.co.uk/family-tree/tree/163868056/family?cfpid=342154040950" TargetMode="External"/><Relationship Id="rId219" Type="http://schemas.openxmlformats.org/officeDocument/2006/relationships/hyperlink" Target="https://www.ancestry.co.uk/family-tree/person/tree/163868056/person/342132993732/facts" TargetMode="External"/><Relationship Id="rId230" Type="http://schemas.openxmlformats.org/officeDocument/2006/relationships/hyperlink" Target="https://www.ancestry.co.uk/family-tree/person/tree/163868056/person/342132993733/facts" TargetMode="External"/><Relationship Id="rId251" Type="http://schemas.openxmlformats.org/officeDocument/2006/relationships/hyperlink" Target="https://www.ancestry.co.uk/family-tree/person/tree/163868056/person/342132993732/facts" TargetMode="External"/><Relationship Id="rId25" Type="http://schemas.openxmlformats.org/officeDocument/2006/relationships/hyperlink" Target="https://www.ancestry.co.uk/family-tree/person/tree/163868056/person/342132992964/facts" TargetMode="External"/><Relationship Id="rId46" Type="http://schemas.openxmlformats.org/officeDocument/2006/relationships/hyperlink" Target="https://www.ancestry.co.uk/family-tree/person/tree/163868056/person/342132993729/facts" TargetMode="External"/><Relationship Id="rId67" Type="http://schemas.openxmlformats.org/officeDocument/2006/relationships/hyperlink" Target="https://www.ancestry.co.uk/family-tree/person/tree/163868056/person/342132993732/facts" TargetMode="External"/><Relationship Id="rId272" Type="http://schemas.openxmlformats.org/officeDocument/2006/relationships/hyperlink" Target="https://dnapainter.com/tools/sharedcmv4/33?fbclid=IwAR3wqfKWVRq1DI_x4i7OjYx5ayGhdwQu5Tj-9K3u_CVvBxgEWwX7fHipJPs" TargetMode="External"/><Relationship Id="rId88" Type="http://schemas.openxmlformats.org/officeDocument/2006/relationships/hyperlink" Target="https://www.ancestry.co.uk/family-tree/person/tree/163868056/person/342132993707/facts" TargetMode="External"/><Relationship Id="rId111" Type="http://schemas.openxmlformats.org/officeDocument/2006/relationships/hyperlink" Target="https://dnapainter.com/tools/sharedcmv4/18?fbclid=IwAR3wqfKWVRq1DI_x4i7OjYx5ayGhdwQu5Tj-9K3u_CVvBxgEWwX7fHipJPs" TargetMode="External"/><Relationship Id="rId132" Type="http://schemas.openxmlformats.org/officeDocument/2006/relationships/hyperlink" Target="https://dnapainter.com/tools/sharedcmv4/8?fbclid=IwAR3wqfKWVRq1DI_x4i7OjYx5ayGhdwQu5Tj-9K3u_CVvBxgEWwX7fHipJPs" TargetMode="External"/><Relationship Id="rId153" Type="http://schemas.openxmlformats.org/officeDocument/2006/relationships/hyperlink" Target="https://www.ancestry.co.uk/discoveryui-matches/compare/50a7c5ef-9e94-44be-a86a-5736956a97f2/with/5d7d68ad-9f6b-4900-a2b7-121243922ada" TargetMode="External"/><Relationship Id="rId174" Type="http://schemas.openxmlformats.org/officeDocument/2006/relationships/hyperlink" Target="https://www.ancestry.co.uk/family-tree/tree/163868056/family?cfpid=342133001097" TargetMode="External"/><Relationship Id="rId195" Type="http://schemas.openxmlformats.org/officeDocument/2006/relationships/hyperlink" Target="https://www.ancestry.co.uk/family-tree/tree/163868056/family?cfpid=342154108308" TargetMode="External"/><Relationship Id="rId209" Type="http://schemas.openxmlformats.org/officeDocument/2006/relationships/hyperlink" Target="https://www.myheritage.com/dna/match/D-F9099B9B-87A1-4274-827C-AF35BD245736-D-8E89D25A-341A-4755-ABD8-90E819D3AC4C/691113321?p=2&amp;ps=10&amp;sort=total_shared_segments_length_in_cm&amp;filter=theories_of_family_relativity&amp;memberId=704364871" TargetMode="External"/><Relationship Id="rId220" Type="http://schemas.openxmlformats.org/officeDocument/2006/relationships/hyperlink" Target="https://dnapainter.com/tools/sharedcmv4/9?fbclid=IwAR3wqfKWVRq1DI_x4i7OjYx5ayGhdwQu5Tj-9K3u_CVvBxgEWwX7fHipJPs" TargetMode="External"/><Relationship Id="rId241" Type="http://schemas.openxmlformats.org/officeDocument/2006/relationships/hyperlink" Target="https://www.ancestry.co.uk/family-tree/tree/163868056/family/pedigree?cfpid=342558244365" TargetMode="External"/><Relationship Id="rId15" Type="http://schemas.openxmlformats.org/officeDocument/2006/relationships/hyperlink" Target="https://www.ancestry.co.uk/family-tree/person/tree/163868056/person/342132992964/facts" TargetMode="External"/><Relationship Id="rId36" Type="http://schemas.openxmlformats.org/officeDocument/2006/relationships/hyperlink" Target="https://www.ancestry.co.uk/family-tree/person/tree/163868056/person/342132993733/facts" TargetMode="External"/><Relationship Id="rId57" Type="http://schemas.openxmlformats.org/officeDocument/2006/relationships/hyperlink" Target="https://www.ancestry.co.uk/family-tree/person/tree/163868056/person/342132993729/facts" TargetMode="External"/><Relationship Id="rId262" Type="http://schemas.openxmlformats.org/officeDocument/2006/relationships/hyperlink" Target="https://dnapainter.com/tools/sharedcmv4/9?fbclid=IwAR3wqfKWVRq1DI_x4i7OjYx5ayGhdwQu5Tj-9K3u_CVvBxgEWwX7fHipJPs" TargetMode="External"/><Relationship Id="rId78" Type="http://schemas.openxmlformats.org/officeDocument/2006/relationships/hyperlink" Target="https://www.ancestry.co.uk/family-tree/person/tree/163868056/person/342132993701/facts" TargetMode="External"/><Relationship Id="rId99" Type="http://schemas.openxmlformats.org/officeDocument/2006/relationships/hyperlink" Target="https://dnapainter.com/tools/sharedcmv4/24?fbclid=IwAR3wqfKWVRq1DI_x4i7OjYx5ayGhdwQu5Tj-9K3u_CVvBxgEWwX7fHipJPs" TargetMode="External"/><Relationship Id="rId101" Type="http://schemas.openxmlformats.org/officeDocument/2006/relationships/hyperlink" Target="https://dnapainter.com/tools/sharedcmv4/27?fbclid=IwAR3wqfKWVRq1DI_x4i7OjYx5ayGhdwQu5Tj-9K3u_CVvBxgEWwX7fHipJPs" TargetMode="External"/><Relationship Id="rId122" Type="http://schemas.openxmlformats.org/officeDocument/2006/relationships/hyperlink" Target="https://dnapainter.com/tools/sharedcmv4/9?fbclid=IwAR3wqfKWVRq1DI_x4i7OjYx5ayGhdwQu5Tj-9K3u_CVvBxgEWwX7fHipJPs" TargetMode="External"/><Relationship Id="rId143" Type="http://schemas.openxmlformats.org/officeDocument/2006/relationships/hyperlink" Target="https://www.ancestry.co.uk/discoveryui-matches/compare/50a7c5ef-9e94-44be-a86a-5736956a97f2/with/4ea24ecf-4a99-4e85-b922-3f1c38ff028d" TargetMode="External"/><Relationship Id="rId164" Type="http://schemas.openxmlformats.org/officeDocument/2006/relationships/hyperlink" Target="https://www.ancestry.co.uk/family-tree/tree/163868056/family?cfpid=342461272658" TargetMode="External"/><Relationship Id="rId185" Type="http://schemas.openxmlformats.org/officeDocument/2006/relationships/hyperlink" Target="https://www.ancestry.co.uk/discoveryui-matches/compare/50a7c5ef-9e94-44be-a86a-5736956a97f2/with/3028d90e-9913-4d94-8034-bbe2da0f1bb4" TargetMode="External"/><Relationship Id="rId9" Type="http://schemas.openxmlformats.org/officeDocument/2006/relationships/hyperlink" Target="https://www.ancestry.co.uk/family-tree/person/tree/163868056/person/342132992964/facts" TargetMode="External"/><Relationship Id="rId210" Type="http://schemas.openxmlformats.org/officeDocument/2006/relationships/hyperlink" Target="https://www.ancestry.co.uk/family-tree/tree/163868056/family?cfpid=342486643898" TargetMode="External"/><Relationship Id="rId26" Type="http://schemas.openxmlformats.org/officeDocument/2006/relationships/hyperlink" Target="https://www.ancestry.co.uk/family-tree/person/tree/163868056/person/342132992964/facts" TargetMode="External"/><Relationship Id="rId231" Type="http://schemas.openxmlformats.org/officeDocument/2006/relationships/hyperlink" Target="https://www.ancestry.co.uk/family-tree/person/tree/163868056/person/342132993743/facts" TargetMode="External"/><Relationship Id="rId252" Type="http://schemas.openxmlformats.org/officeDocument/2006/relationships/hyperlink" Target="https://www.ancestry.co.uk/family-tree/tree/163868056/family/pedigree?cfpid=342593182970" TargetMode="External"/><Relationship Id="rId273" Type="http://schemas.openxmlformats.org/officeDocument/2006/relationships/printerSettings" Target="../printerSettings/printerSettings4.bin"/><Relationship Id="rId47" Type="http://schemas.openxmlformats.org/officeDocument/2006/relationships/hyperlink" Target="https://www.ancestry.co.uk/family-tree/person/tree/163868056/person/342132993729/facts" TargetMode="External"/><Relationship Id="rId68" Type="http://schemas.openxmlformats.org/officeDocument/2006/relationships/hyperlink" Target="https://www.ancestry.co.uk/family-tree/person/tree/163868056/person/342132993732/facts" TargetMode="External"/><Relationship Id="rId89" Type="http://schemas.openxmlformats.org/officeDocument/2006/relationships/hyperlink" Target="https://www.ancestry.co.uk/family-tree/person/tree/163868056/person/342132993707/facts" TargetMode="External"/><Relationship Id="rId112" Type="http://schemas.openxmlformats.org/officeDocument/2006/relationships/hyperlink" Target="https://dnapainter.com/tools/sharedcmv4/16?fbclid=IwAR3wqfKWVRq1DI_x4i7OjYx5ayGhdwQu5Tj-9K3u_CVvBxgEWwX7fHipJPs" TargetMode="External"/><Relationship Id="rId133" Type="http://schemas.openxmlformats.org/officeDocument/2006/relationships/hyperlink" Target="https://dnapainter.com/tools/sharedcmv4/8?fbclid=IwAR3wqfKWVRq1DI_x4i7OjYx5ayGhdwQu5Tj-9K3u_CVvBxgEWwX7fHipJPs" TargetMode="External"/><Relationship Id="rId154" Type="http://schemas.openxmlformats.org/officeDocument/2006/relationships/hyperlink" Target="https://www.ancestry.co.uk/family-tree/tree/163868056/family?cfpid=342292763614" TargetMode="External"/><Relationship Id="rId175" Type="http://schemas.openxmlformats.org/officeDocument/2006/relationships/hyperlink" Target="https://www.ancestry.co.uk/family-tree/tree/163868056/family?cfpid=342306403936" TargetMode="External"/><Relationship Id="rId196" Type="http://schemas.openxmlformats.org/officeDocument/2006/relationships/hyperlink" Target="https://www.ancestry.co.uk/discoveryui-matches/compare/50a7c5ef-9e94-44be-a86a-5736956a97f2/with/774613b5-3acb-4793-a258-dadbea5ea2a7" TargetMode="External"/><Relationship Id="rId200" Type="http://schemas.openxmlformats.org/officeDocument/2006/relationships/hyperlink" Target="https://www.ancestry.co.uk/discoveryui-matches/compare/8955CF51-8070-4A51-8674-B7F01B347AED/with/9FEE81B1-9F1A-4907-8C02-2B802116A0E8" TargetMode="External"/><Relationship Id="rId16" Type="http://schemas.openxmlformats.org/officeDocument/2006/relationships/hyperlink" Target="https://www.ancestry.co.uk/family-tree/person/tree/163868056/person/342132992964/facts" TargetMode="External"/><Relationship Id="rId221" Type="http://schemas.openxmlformats.org/officeDocument/2006/relationships/hyperlink" Target="https://www.ancestry.co.uk/discoveryui-matches/compare/50a7c5ef-9e94-44be-a86a-5736956a97f2/with/da60124d-a66b-4000-9a88-8f1d49f4c1a5" TargetMode="External"/><Relationship Id="rId242" Type="http://schemas.openxmlformats.org/officeDocument/2006/relationships/hyperlink" Target="https://www.ancestry.co.uk/family-tree/person/tree/163868056/person/342132992964/facts" TargetMode="External"/><Relationship Id="rId263" Type="http://schemas.openxmlformats.org/officeDocument/2006/relationships/hyperlink" Target="https://dnapainter.com/tools/sharedcmv4/9?fbclid=IwAR3wqfKWVRq1DI_x4i7OjYx5ayGhdwQu5Tj-9K3u_CVvBxgEWwX7fHipJPs" TargetMode="External"/><Relationship Id="rId37" Type="http://schemas.openxmlformats.org/officeDocument/2006/relationships/hyperlink" Target="https://www.ancestry.co.uk/family-tree/person/tree/163868056/person/342132993743/facts" TargetMode="External"/><Relationship Id="rId58" Type="http://schemas.openxmlformats.org/officeDocument/2006/relationships/hyperlink" Target="https://www.ancestry.co.uk/family-tree/person/tree/163868056/person/342132993729/facts" TargetMode="External"/><Relationship Id="rId79" Type="http://schemas.openxmlformats.org/officeDocument/2006/relationships/hyperlink" Target="https://www.ancestry.co.uk/family-tree/person/tree/163868056/person/342132993701/facts" TargetMode="External"/><Relationship Id="rId102" Type="http://schemas.openxmlformats.org/officeDocument/2006/relationships/hyperlink" Target="https://dnapainter.com/tools/sharedcmv4/25?fbclid=IwAR3wqfKWVRq1DI_x4i7OjYx5ayGhdwQu5Tj-9K3u_CVvBxgEWwX7fHipJPs" TargetMode="External"/><Relationship Id="rId123" Type="http://schemas.openxmlformats.org/officeDocument/2006/relationships/hyperlink" Target="https://dnapainter.com/tools/sharedcmv4/9?fbclid=IwAR3wqfKWVRq1DI_x4i7OjYx5ayGhdwQu5Tj-9K3u_CVvBxgEWwX7fHipJPs" TargetMode="External"/><Relationship Id="rId144" Type="http://schemas.openxmlformats.org/officeDocument/2006/relationships/hyperlink" Target="https://www.ancestry.co.uk/family-tree/tree/163868056/family?cfpid=342371330834" TargetMode="External"/><Relationship Id="rId90" Type="http://schemas.openxmlformats.org/officeDocument/2006/relationships/hyperlink" Target="https://www.ancestry.co.uk/family-tree/person/tree/163868056/person/342132993707/facts" TargetMode="External"/><Relationship Id="rId165" Type="http://schemas.openxmlformats.org/officeDocument/2006/relationships/hyperlink" Target="https://www.ancestry.co.uk/discoveryui-matches/compare/50a7c5ef-9e94-44be-a86a-5736956a97f2/with/7a559ea7-22ef-497e-b891-ea8091bf223b" TargetMode="External"/><Relationship Id="rId186" Type="http://schemas.openxmlformats.org/officeDocument/2006/relationships/hyperlink" Target="https://www.ancestry.co.uk/family-tree/tree/163868056/family?cfpid=342180801592" TargetMode="External"/><Relationship Id="rId211" Type="http://schemas.openxmlformats.org/officeDocument/2006/relationships/hyperlink" Target="https://www.ancestry.co.uk/family-tree/person/tree/163868056/person/342132992964/facts" TargetMode="External"/><Relationship Id="rId232" Type="http://schemas.openxmlformats.org/officeDocument/2006/relationships/hyperlink" Target="https://dnapainter.com/tools/sharedcmv4/28?fbclid=IwAR3wqfKWVRq1DI_x4i7OjYx5ayGhdwQu5Tj-9K3u_CVvBxgEWwX7fHipJPs" TargetMode="External"/><Relationship Id="rId253" Type="http://schemas.openxmlformats.org/officeDocument/2006/relationships/hyperlink" Target="https://www.ancestry.co.uk/family-tree/person/tree/163868056/person/342132992970/facts" TargetMode="External"/><Relationship Id="rId27" Type="http://schemas.openxmlformats.org/officeDocument/2006/relationships/hyperlink" Target="https://www.ancestry.co.uk/family-tree/person/tree/163868056/person/342132992964/facts" TargetMode="External"/><Relationship Id="rId48" Type="http://schemas.openxmlformats.org/officeDocument/2006/relationships/hyperlink" Target="https://www.ancestry.co.uk/family-tree/person/tree/163868056/person/342132993729/facts" TargetMode="External"/><Relationship Id="rId69" Type="http://schemas.openxmlformats.org/officeDocument/2006/relationships/hyperlink" Target="https://www.ancestry.co.uk/family-tree/person/tree/163868056/person/342132993732/facts" TargetMode="External"/><Relationship Id="rId113" Type="http://schemas.openxmlformats.org/officeDocument/2006/relationships/hyperlink" Target="https://dnapainter.com/tools/sharedcmv4/15?fbclid=IwAR3wqfKWVRq1DI_x4i7OjYx5ayGhdwQu5Tj-9K3u_CVvBxgEWwX7fHipJPs" TargetMode="External"/><Relationship Id="rId134" Type="http://schemas.openxmlformats.org/officeDocument/2006/relationships/hyperlink" Target="https://dnapainter.com/tools/sharedcmv4/7?fbclid=IwAR3wqfKWVRq1DI_x4i7OjYx5ayGhdwQu5Tj-9K3u_CVvBxgEWwX7fHipJPs" TargetMode="External"/><Relationship Id="rId80" Type="http://schemas.openxmlformats.org/officeDocument/2006/relationships/hyperlink" Target="https://www.ancestry.co.uk/family-tree/person/tree/163868056/person/342132993701/facts" TargetMode="External"/><Relationship Id="rId155" Type="http://schemas.openxmlformats.org/officeDocument/2006/relationships/hyperlink" Target="https://www.ancestry.co.uk/discoveryui-matches/compare/50a7c5ef-9e94-44be-a86a-5736956a97f2/with/425e4b49-9ee7-4a28-baf5-4d125c557382" TargetMode="External"/><Relationship Id="rId176" Type="http://schemas.openxmlformats.org/officeDocument/2006/relationships/hyperlink" Target="https://www.ancestry.co.uk/family-tree/tree/163868056/family?cfpid=342307036460" TargetMode="External"/><Relationship Id="rId197" Type="http://schemas.openxmlformats.org/officeDocument/2006/relationships/hyperlink" Target="https://www.ancestry.co.uk/discoveryui-matches/compare/50A7C5EF-9E94-44BE-A86A-5736956A97F2/with/0FE4A065-01EF-42B4-A31C-FCB9AF0A53A5" TargetMode="External"/><Relationship Id="rId201" Type="http://schemas.openxmlformats.org/officeDocument/2006/relationships/hyperlink" Target="https://www.ancestry.co.uk/discoveryui-matches/compare/8955CF51-8070-4A51-8674-B7F01B347AED/with/6CC7B639-60F8-4088-8110-E8EF3E620AAE" TargetMode="External"/><Relationship Id="rId222" Type="http://schemas.openxmlformats.org/officeDocument/2006/relationships/hyperlink" Target="https://www.ancestry.co.uk/family-tree/tree/163868056/family/pedigree?cfpid=342513229636" TargetMode="External"/><Relationship Id="rId243" Type="http://schemas.openxmlformats.org/officeDocument/2006/relationships/hyperlink" Target="https://dnapainter.com/tools/sharedcmv4/11?fbclid=IwAR3wqfKWVRq1DI_x4i7OjYx5ayGhdwQu5Tj-9K3u_CVvBxgEWwX7fHipJPs" TargetMode="External"/><Relationship Id="rId264" Type="http://schemas.openxmlformats.org/officeDocument/2006/relationships/hyperlink" Target="https://www.ancestry.co.uk/family-tree/tree/163868056/family/pedigree?cfpid=342133001106" TargetMode="External"/><Relationship Id="rId17" Type="http://schemas.openxmlformats.org/officeDocument/2006/relationships/hyperlink" Target="https://www.ancestry.co.uk/family-tree/person/tree/163868056/person/342132992964/facts" TargetMode="External"/><Relationship Id="rId38" Type="http://schemas.openxmlformats.org/officeDocument/2006/relationships/hyperlink" Target="https://www.ancestry.co.uk/family-tree/person/tree/163868056/person/342132993743/facts" TargetMode="External"/><Relationship Id="rId59" Type="http://schemas.openxmlformats.org/officeDocument/2006/relationships/hyperlink" Target="https://www.ancestry.co.uk/family-tree/person/tree/163868056/person/342132993732/facts" TargetMode="External"/><Relationship Id="rId103" Type="http://schemas.openxmlformats.org/officeDocument/2006/relationships/hyperlink" Target="https://dnapainter.com/tools/sharedcmv4/17?fbclid=IwAR3wqfKWVRq1DI_x4i7OjYx5ayGhdwQu5Tj-9K3u_CVvBxgEWwX7fHipJPs" TargetMode="External"/><Relationship Id="rId124" Type="http://schemas.openxmlformats.org/officeDocument/2006/relationships/hyperlink" Target="https://dnapainter.com/tools/sharedcmv4/9?fbclid=IwAR3wqfKWVRq1DI_x4i7OjYx5ayGhdwQu5Tj-9K3u_CVvBxgEWwX7fHipJPs" TargetMode="External"/><Relationship Id="rId70" Type="http://schemas.openxmlformats.org/officeDocument/2006/relationships/hyperlink" Target="https://www.ancestry.co.uk/family-tree/person/tree/163868056/person/342132993732/facts" TargetMode="External"/><Relationship Id="rId91" Type="http://schemas.openxmlformats.org/officeDocument/2006/relationships/hyperlink" Target="https://www.ancestry.co.uk/family-tree/person/tree/163868056/person/342132993707/facts" TargetMode="External"/><Relationship Id="rId145" Type="http://schemas.openxmlformats.org/officeDocument/2006/relationships/hyperlink" Target="https://www.ancestry.co.uk/discoveryui-matches/compare/50a7c5ef-9e94-44be-a86a-5736956a97f2/with/cf1bc135-866d-4596-82d5-1d744d647831" TargetMode="External"/><Relationship Id="rId166" Type="http://schemas.openxmlformats.org/officeDocument/2006/relationships/hyperlink" Target="https://www.ancestry.co.uk/family-tree/tree/163868056/family?cfpid=342161773815" TargetMode="External"/><Relationship Id="rId187" Type="http://schemas.openxmlformats.org/officeDocument/2006/relationships/hyperlink" Target="https://www.ancestry.co.uk/discoveryui-matches/compare/50a7c5ef-9e94-44be-a86a-5736956a97f2/with/52c46e6f-c6ed-406c-8248-ee697b2b6dfd" TargetMode="External"/><Relationship Id="rId1" Type="http://schemas.openxmlformats.org/officeDocument/2006/relationships/hyperlink" Target="https://www.ancestry.co.uk/family-tree/person/tree/163868056/person/342132992964/facts" TargetMode="External"/><Relationship Id="rId212" Type="http://schemas.openxmlformats.org/officeDocument/2006/relationships/hyperlink" Target="https://www.ancestry.co.uk/family-tree/person/tree/163868056/person/342132993729/facts" TargetMode="External"/><Relationship Id="rId233" Type="http://schemas.openxmlformats.org/officeDocument/2006/relationships/hyperlink" Target="https://www.ancestry.co.uk/discoveryui-matches/compare/50a7c5ef-9e94-44be-a86a-5736956a97f2/with/02178891-8ddc-4755-bdd2-cc5d4af759f2" TargetMode="External"/><Relationship Id="rId254" Type="http://schemas.openxmlformats.org/officeDocument/2006/relationships/hyperlink" Target="https://www.ancestry.co.uk/family-tree/person/tree/163868056/person/342132993729/facts" TargetMode="External"/><Relationship Id="rId28" Type="http://schemas.openxmlformats.org/officeDocument/2006/relationships/hyperlink" Target="https://www.ancestry.co.uk/family-tree/person/tree/163868056/person/342132992964/facts" TargetMode="External"/><Relationship Id="rId49" Type="http://schemas.openxmlformats.org/officeDocument/2006/relationships/hyperlink" Target="https://www.ancestry.co.uk/family-tree/person/tree/163868056/person/342132993729/facts" TargetMode="External"/><Relationship Id="rId114" Type="http://schemas.openxmlformats.org/officeDocument/2006/relationships/hyperlink" Target="https://dnapainter.com/tools/sharedcmv4/11?fbclid=IwAR3wqfKWVRq1DI_x4i7OjYx5ayGhdwQu5Tj-9K3u_CVvBxgEWwX7fHipJPs" TargetMode="External"/><Relationship Id="rId60" Type="http://schemas.openxmlformats.org/officeDocument/2006/relationships/hyperlink" Target="https://www.ancestry.co.uk/family-tree/person/tree/163868056/person/342132993732/facts" TargetMode="External"/><Relationship Id="rId81" Type="http://schemas.openxmlformats.org/officeDocument/2006/relationships/hyperlink" Target="https://www.ancestry.co.uk/family-tree/person/tree/163868056/person/342132993701/facts" TargetMode="External"/><Relationship Id="rId135" Type="http://schemas.openxmlformats.org/officeDocument/2006/relationships/hyperlink" Target="https://dnapainter.com/tools/sharedcmv4/7?fbclid=IwAR3wqfKWVRq1DI_x4i7OjYx5ayGhdwQu5Tj-9K3u_CVvBxgEWwX7fHipJPs" TargetMode="External"/><Relationship Id="rId156" Type="http://schemas.openxmlformats.org/officeDocument/2006/relationships/hyperlink" Target="https://www.ancestry.co.uk/family-tree/tree/163868056/family?cfpid=342161512295" TargetMode="External"/><Relationship Id="rId177" Type="http://schemas.openxmlformats.org/officeDocument/2006/relationships/hyperlink" Target="https://www.ancestry.co.uk/family-tree/tree/163868056/family?cfpid=342306365553" TargetMode="External"/><Relationship Id="rId198" Type="http://schemas.openxmlformats.org/officeDocument/2006/relationships/hyperlink" Target="https://www.ancestry.co.uk/discoveryui-matches/compare/8955CF51-8070-4A51-8674-B7F01B347AED/with/7C008465-35FA-49F7-A909-FFD6400558B5" TargetMode="External"/><Relationship Id="rId202" Type="http://schemas.openxmlformats.org/officeDocument/2006/relationships/hyperlink" Target="https://www.ancestry.co.uk/discoveryui-matches/compare/50A7C5EF-9E94-44BE-A86A-5736956A97F2/with/71A2826D-6D3F-4D30-820C-3101F526A5D7" TargetMode="External"/><Relationship Id="rId223" Type="http://schemas.openxmlformats.org/officeDocument/2006/relationships/hyperlink" Target="https://www.ancestry.co.uk/family-tree/person/tree/163868056/person/342132992964/facts" TargetMode="External"/><Relationship Id="rId244" Type="http://schemas.openxmlformats.org/officeDocument/2006/relationships/hyperlink" Target="https://www.ancestry.co.uk/discoveryui-matches/compare/8955cf51-8070-4a51-8674-b7f01b347aed/with/c554b391-9768-11ee-b8bb-0e3f96da1e4d" TargetMode="External"/><Relationship Id="rId18" Type="http://schemas.openxmlformats.org/officeDocument/2006/relationships/hyperlink" Target="https://www.ancestry.co.uk/family-tree/person/tree/163868056/person/342132992964/facts" TargetMode="External"/><Relationship Id="rId39" Type="http://schemas.openxmlformats.org/officeDocument/2006/relationships/hyperlink" Target="https://www.ancestry.co.uk/family-tree/person/tree/163868056/person/342132993743/facts" TargetMode="External"/><Relationship Id="rId265" Type="http://schemas.openxmlformats.org/officeDocument/2006/relationships/hyperlink" Target="https://www.ancestry.co.uk/discoveryui-matches/compare/50a7c5ef-9e94-44be-a86a-5736956a97f2/with/2a54c654-a2ee-4a9f-9f91-3005bf1dc3e4" TargetMode="External"/><Relationship Id="rId50" Type="http://schemas.openxmlformats.org/officeDocument/2006/relationships/hyperlink" Target="https://www.ancestry.co.uk/family-tree/person/tree/163868056/person/342132993729/facts" TargetMode="External"/><Relationship Id="rId104" Type="http://schemas.openxmlformats.org/officeDocument/2006/relationships/hyperlink" Target="https://dnapainter.com/tools/sharedcmv4/13?fbclid=IwAR3wqfKWVRq1DI_x4i7OjYx5ayGhdwQu5Tj-9K3u_CVvBxgEWwX7fHipJPs" TargetMode="External"/><Relationship Id="rId125" Type="http://schemas.openxmlformats.org/officeDocument/2006/relationships/hyperlink" Target="https://dnapainter.com/tools/sharedcmv4/9?fbclid=IwAR3wqfKWVRq1DI_x4i7OjYx5ayGhdwQu5Tj-9K3u_CVvBxgEWwX7fHipJPs" TargetMode="External"/><Relationship Id="rId146" Type="http://schemas.openxmlformats.org/officeDocument/2006/relationships/hyperlink" Target="https://www.ancestry.co.uk/family-tree/tree/163868056/family?cfpid=342153529863" TargetMode="External"/><Relationship Id="rId167" Type="http://schemas.openxmlformats.org/officeDocument/2006/relationships/hyperlink" Target="https://www.ancestry.co.uk/discoveryui-matches/compare/50a7c5ef-9e94-44be-a86a-5736956a97f2/with/393d289b-6289-47eb-8e43-74a471335326" TargetMode="External"/><Relationship Id="rId188" Type="http://schemas.openxmlformats.org/officeDocument/2006/relationships/hyperlink" Target="https://www.ancestry.co.uk/family-tree/tree/163868056/family?cfpid=342306591379" TargetMode="External"/><Relationship Id="rId71" Type="http://schemas.openxmlformats.org/officeDocument/2006/relationships/hyperlink" Target="https://www.ancestry.co.uk/family-tree/person/tree/163868056/person/342132993732/facts" TargetMode="External"/><Relationship Id="rId92" Type="http://schemas.openxmlformats.org/officeDocument/2006/relationships/hyperlink" Target="https://www.ancestry.co.uk/family-tree/person/tree/163868056/person/342132993707/facts" TargetMode="External"/><Relationship Id="rId213" Type="http://schemas.openxmlformats.org/officeDocument/2006/relationships/hyperlink" Target="https://www.ancestry.co.uk/family-tree/person/tree/163868056/person/342132993732/facts" TargetMode="External"/><Relationship Id="rId234" Type="http://schemas.openxmlformats.org/officeDocument/2006/relationships/hyperlink" Target="https://www.ancestry.co.uk/family-tree/tree/163868056/family/pedigree?cfpid=342559200733" TargetMode="External"/><Relationship Id="rId2" Type="http://schemas.openxmlformats.org/officeDocument/2006/relationships/hyperlink" Target="https://www.ancestry.co.uk/family-tree/person/tree/163868056/person/342132992964/facts" TargetMode="External"/><Relationship Id="rId29" Type="http://schemas.openxmlformats.org/officeDocument/2006/relationships/hyperlink" Target="https://www.ancestry.co.uk/family-tree/person/tree/163868056/person/342132992970/facts" TargetMode="External"/><Relationship Id="rId255" Type="http://schemas.openxmlformats.org/officeDocument/2006/relationships/hyperlink" Target="https://www.ancestry.co.uk/family-tree/person/tree/163868056/person/342132993732/facts" TargetMode="External"/><Relationship Id="rId40" Type="http://schemas.openxmlformats.org/officeDocument/2006/relationships/hyperlink" Target="https://www.ancestry.co.uk/family-tree/person/tree/163868056/person/342132993743/facts" TargetMode="External"/><Relationship Id="rId115" Type="http://schemas.openxmlformats.org/officeDocument/2006/relationships/hyperlink" Target="https://dnapainter.com/tools/sharedcmv4/11?fbclid=IwAR3wqfKWVRq1DI_x4i7OjYx5ayGhdwQu5Tj-9K3u_CVvBxgEWwX7fHipJPs" TargetMode="External"/><Relationship Id="rId136" Type="http://schemas.openxmlformats.org/officeDocument/2006/relationships/hyperlink" Target="https://dnapainter.com/tools/sharedcmv4/7?fbclid=IwAR3wqfKWVRq1DI_x4i7OjYx5ayGhdwQu5Tj-9K3u_CVvBxgEWwX7fHipJPs" TargetMode="External"/><Relationship Id="rId157" Type="http://schemas.openxmlformats.org/officeDocument/2006/relationships/hyperlink" Target="https://www.ancestry.co.uk/family-tree/tree/163868056/family?cfpid=342161511598" TargetMode="External"/><Relationship Id="rId178" Type="http://schemas.openxmlformats.org/officeDocument/2006/relationships/hyperlink" Target="https://www.ancestry.co.uk/family-tree/person/tree/163868056/person/342306403936/facts" TargetMode="External"/><Relationship Id="rId61" Type="http://schemas.openxmlformats.org/officeDocument/2006/relationships/hyperlink" Target="https://www.ancestry.co.uk/family-tree/person/tree/163868056/person/342132993732/facts" TargetMode="External"/><Relationship Id="rId82" Type="http://schemas.openxmlformats.org/officeDocument/2006/relationships/hyperlink" Target="https://www.ancestry.co.uk/family-tree/person/tree/163868056/person/342132993701/facts" TargetMode="External"/><Relationship Id="rId199" Type="http://schemas.openxmlformats.org/officeDocument/2006/relationships/hyperlink" Target="https://www.ancestry.co.uk/discoveryui-matches/compare/8955CF51-8070-4A51-8674-B7F01B347AED/with/4CDDF74F-170E-4299-93A4-0515178DD771" TargetMode="External"/><Relationship Id="rId203" Type="http://schemas.openxmlformats.org/officeDocument/2006/relationships/hyperlink" Target="https://www.ancestry.co.uk/discoveryui-matches/compare/8955CF51-8070-4A51-8674-B7F01B347AED/with/49A7A4FA-BB48-4BE8-BDD5-D82441D208DF" TargetMode="External"/><Relationship Id="rId19" Type="http://schemas.openxmlformats.org/officeDocument/2006/relationships/hyperlink" Target="https://www.ancestry.co.uk/family-tree/person/tree/163868056/person/342132992964/facts" TargetMode="External"/><Relationship Id="rId224" Type="http://schemas.openxmlformats.org/officeDocument/2006/relationships/hyperlink" Target="https://dnapainter.com/tools/sharedcmv4/11?fbclid=IwAR3wqfKWVRq1DI_x4i7OjYx5ayGhdwQu5Tj-9K3u_CVvBxgEWwX7fHipJPs" TargetMode="External"/><Relationship Id="rId245" Type="http://schemas.openxmlformats.org/officeDocument/2006/relationships/hyperlink" Target="https://www.ancestry.co.uk/family-tree/person/tree/163868056/person/342132993211/facts" TargetMode="External"/><Relationship Id="rId266" Type="http://schemas.openxmlformats.org/officeDocument/2006/relationships/hyperlink" Target="https://www.ancestry.co.uk/family-tree/person/tree/163868056/person/342132992964/facts" TargetMode="External"/><Relationship Id="rId30" Type="http://schemas.openxmlformats.org/officeDocument/2006/relationships/hyperlink" Target="https://www.ancestry.co.uk/family-tree/person/tree/163868056/person/342132992970/facts" TargetMode="External"/><Relationship Id="rId105" Type="http://schemas.openxmlformats.org/officeDocument/2006/relationships/hyperlink" Target="https://dnapainter.com/tools/sharedcmv4/13?fbclid=IwAR3wqfKWVRq1DI_x4i7OjYx5ayGhdwQu5Tj-9K3u_CVvBxgEWwX7fHipJPs" TargetMode="External"/><Relationship Id="rId126" Type="http://schemas.openxmlformats.org/officeDocument/2006/relationships/hyperlink" Target="https://dnapainter.com/tools/sharedcmv4/9?fbclid=IwAR3wqfKWVRq1DI_x4i7OjYx5ayGhdwQu5Tj-9K3u_CVvBxgEWwX7fHipJPs" TargetMode="External"/><Relationship Id="rId147" Type="http://schemas.openxmlformats.org/officeDocument/2006/relationships/hyperlink" Target="https://www.ancestry.co.uk/discoveryui-matches/compare/50a7c5ef-9e94-44be-a86a-5736956a97f2/with/62800ec1-b3f1-4632-8da8-c889f0d5857d" TargetMode="External"/><Relationship Id="rId168" Type="http://schemas.openxmlformats.org/officeDocument/2006/relationships/hyperlink" Target="https://www.ancestry.co.uk/family-tree/tree/163868056/family?cfpid=342306400604" TargetMode="External"/><Relationship Id="rId51" Type="http://schemas.openxmlformats.org/officeDocument/2006/relationships/hyperlink" Target="https://www.ancestry.co.uk/family-tree/person/tree/163868056/person/342132993729/facts" TargetMode="External"/><Relationship Id="rId72" Type="http://schemas.openxmlformats.org/officeDocument/2006/relationships/hyperlink" Target="https://www.ancestry.co.uk/family-tree/person/tree/163868056/person/342132993732/facts" TargetMode="External"/><Relationship Id="rId93" Type="http://schemas.openxmlformats.org/officeDocument/2006/relationships/hyperlink" Target="https://www.ancestry.co.uk/family-tree/person/tree/163868056/person/342132993707/facts" TargetMode="External"/><Relationship Id="rId189" Type="http://schemas.openxmlformats.org/officeDocument/2006/relationships/hyperlink" Target="https://www.ancestry.co.uk/family-tree/tree/163868056/family?cfpid=342307019804" TargetMode="External"/><Relationship Id="rId3" Type="http://schemas.openxmlformats.org/officeDocument/2006/relationships/hyperlink" Target="https://www.ancestry.co.uk/family-tree/person/tree/163868056/person/342132992964/facts" TargetMode="External"/><Relationship Id="rId214" Type="http://schemas.openxmlformats.org/officeDocument/2006/relationships/hyperlink" Target="https://dnapainter.com/tools/sharedcmv4/14?fbclid=IwAR3wqfKWVRq1DI_x4i7OjYx5ayGhdwQu5Tj-9K3u_CVvBxgEWwX7fHipJPs" TargetMode="External"/><Relationship Id="rId235" Type="http://schemas.openxmlformats.org/officeDocument/2006/relationships/hyperlink" Target="https://dnapainter.com/tools/sharedcmv4/9?fbclid=IwAR3wqfKWVRq1DI_x4i7OjYx5ayGhdwQu5Tj-9K3u_CVvBxgEWwX7fHipJPs" TargetMode="External"/><Relationship Id="rId256" Type="http://schemas.openxmlformats.org/officeDocument/2006/relationships/hyperlink" Target="https://dnapainter.com/tools/sharedcmv4/8?fbclid=IwAR3wqfKWVRq1DI_x4i7OjYx5ayGhdwQu5Tj-9K3u_CVvBxgEWwX7fHipJPs" TargetMode="External"/><Relationship Id="rId116" Type="http://schemas.openxmlformats.org/officeDocument/2006/relationships/hyperlink" Target="https://dnapainter.com/tools/sharedcmv4/11?fbclid=IwAR3wqfKWVRq1DI_x4i7OjYx5ayGhdwQu5Tj-9K3u_CVvBxgEWwX7fHipJPs" TargetMode="External"/><Relationship Id="rId137" Type="http://schemas.openxmlformats.org/officeDocument/2006/relationships/hyperlink" Target="https://dnapainter.com/tools/sharedcmv4/6?fbclid=IwAR3wqfKWVRq1DI_x4i7OjYx5ayGhdwQu5Tj-9K3u_CVvBxgEWwX7fHipJPs" TargetMode="External"/><Relationship Id="rId158" Type="http://schemas.openxmlformats.org/officeDocument/2006/relationships/hyperlink" Target="https://www.ancestry.co.uk/family-tree/tree/163868056/family?cfpid=342161511598" TargetMode="External"/><Relationship Id="rId20" Type="http://schemas.openxmlformats.org/officeDocument/2006/relationships/hyperlink" Target="https://www.ancestry.co.uk/family-tree/person/tree/163868056/person/342132992964/facts" TargetMode="External"/><Relationship Id="rId41" Type="http://schemas.openxmlformats.org/officeDocument/2006/relationships/hyperlink" Target="https://www.ancestry.co.uk/family-tree/person/tree/163868056/person/342132993729/facts" TargetMode="External"/><Relationship Id="rId62" Type="http://schemas.openxmlformats.org/officeDocument/2006/relationships/hyperlink" Target="https://www.ancestry.co.uk/family-tree/person/tree/163868056/person/342132993732/facts" TargetMode="External"/><Relationship Id="rId83" Type="http://schemas.openxmlformats.org/officeDocument/2006/relationships/hyperlink" Target="https://www.ancestry.co.uk/family-tree/person/tree/163868056/person/342132993701/facts" TargetMode="External"/><Relationship Id="rId179" Type="http://schemas.openxmlformats.org/officeDocument/2006/relationships/hyperlink" Target="https://www.ancestry.co.uk/family-tree/tree/163868056/family?cfpid=342154069820" TargetMode="External"/><Relationship Id="rId190" Type="http://schemas.openxmlformats.org/officeDocument/2006/relationships/hyperlink" Target="https://www.ancestry.co.uk/discoveryui-matches/compare/50a7c5ef-9e94-44be-a86a-5736956a97f2/with/8428d288-a8f4-4023-b2c0-445686ecfb55" TargetMode="External"/><Relationship Id="rId204" Type="http://schemas.openxmlformats.org/officeDocument/2006/relationships/hyperlink" Target="https://www.ancestry.co.uk/discoveryui-matches/compare/8955CF51-8070-4A51-8674-B7F01B347AED/with/39111ED7-AEFB-4E98-986B-A8B3B17C8F83" TargetMode="External"/><Relationship Id="rId225" Type="http://schemas.openxmlformats.org/officeDocument/2006/relationships/hyperlink" Target="https://www.ancestry.co.uk/discoveryui-matches/compare/8955cf51-8070-4a51-8674-b7f01b347aed/with/fa29d313-5eb6-442b-93e7-c27ee2e4a4e4" TargetMode="External"/><Relationship Id="rId246" Type="http://schemas.openxmlformats.org/officeDocument/2006/relationships/hyperlink" Target="https://www.ancestry.co.uk/family-tree/tree/163868056/family/pedigree?cfpid=342554089927" TargetMode="External"/><Relationship Id="rId267" Type="http://schemas.openxmlformats.org/officeDocument/2006/relationships/hyperlink" Target="https://www.ancestry.co.uk/family-tree/person/tree/163868056/person/342132993733/facts" TargetMode="External"/><Relationship Id="rId106" Type="http://schemas.openxmlformats.org/officeDocument/2006/relationships/hyperlink" Target="https://dnapainter.com/tools/sharedcmv4/13?fbclid=IwAR3wqfKWVRq1DI_x4i7OjYx5ayGhdwQu5Tj-9K3u_CVvBxgEWwX7fHipJPs" TargetMode="External"/><Relationship Id="rId127" Type="http://schemas.openxmlformats.org/officeDocument/2006/relationships/hyperlink" Target="https://dnapainter.com/tools/sharedcmv4/9?fbclid=IwAR3wqfKWVRq1DI_x4i7OjYx5ayGhdwQu5Tj-9K3u_CVvBxgEWwX7fHipJPs" TargetMode="External"/><Relationship Id="rId10" Type="http://schemas.openxmlformats.org/officeDocument/2006/relationships/hyperlink" Target="https://www.ancestry.co.uk/family-tree/person/tree/163868056/person/342132992964/facts" TargetMode="External"/><Relationship Id="rId31" Type="http://schemas.openxmlformats.org/officeDocument/2006/relationships/hyperlink" Target="https://www.ancestry.co.uk/family-tree/person/tree/163868056/person/342132992970/facts" TargetMode="External"/><Relationship Id="rId52" Type="http://schemas.openxmlformats.org/officeDocument/2006/relationships/hyperlink" Target="https://www.ancestry.co.uk/family-tree/person/tree/163868056/person/342132993729/facts" TargetMode="External"/><Relationship Id="rId73" Type="http://schemas.openxmlformats.org/officeDocument/2006/relationships/hyperlink" Target="https://www.ancestry.co.uk/family-tree/person/tree/163868056/person/342132993732/facts" TargetMode="External"/><Relationship Id="rId94" Type="http://schemas.openxmlformats.org/officeDocument/2006/relationships/hyperlink" Target="https://www.ancestry.co.uk/family-tree/person/tree/163868056/person/342132993707/facts" TargetMode="External"/><Relationship Id="rId148" Type="http://schemas.openxmlformats.org/officeDocument/2006/relationships/hyperlink" Target="https://www.ancestry.co.uk/family-tree/tree/163868056/family?cfpid=342242373914" TargetMode="External"/><Relationship Id="rId169" Type="http://schemas.openxmlformats.org/officeDocument/2006/relationships/hyperlink" Target="https://www.ancestry.co.uk/discoveryui-matches/compare/50a7c5ef-9e94-44be-a86a-5736956a97f2/with/cabd3551-ce7a-4467-9f5f-a473cf8ad921" TargetMode="External"/><Relationship Id="rId4" Type="http://schemas.openxmlformats.org/officeDocument/2006/relationships/hyperlink" Target="https://www.ancestry.co.uk/family-tree/person/tree/163868056/person/342132992964/facts" TargetMode="External"/><Relationship Id="rId180" Type="http://schemas.openxmlformats.org/officeDocument/2006/relationships/hyperlink" Target="https://www.ancestry.co.uk/discoveryui-matches/compare/50a7c5ef-9e94-44be-a86a-5736956a97f2/with/8f2b895a-215f-48d3-bc20-b1096380e214" TargetMode="External"/><Relationship Id="rId215" Type="http://schemas.openxmlformats.org/officeDocument/2006/relationships/hyperlink" Target="https://www.ancestry.co.uk/discoveryui-matches/compare/50a7c5ef-9e94-44be-a86a-5736956a97f2/with/e6104204-4ccb-48ed-86e7-7db041dd3889" TargetMode="External"/><Relationship Id="rId236" Type="http://schemas.openxmlformats.org/officeDocument/2006/relationships/hyperlink" Target="https://www.ancestry.co.uk/family-tree/person/tree/163868056/person/342132992964/facts" TargetMode="External"/><Relationship Id="rId257" Type="http://schemas.openxmlformats.org/officeDocument/2006/relationships/hyperlink" Target="https://www.ancestry.co.uk/family-tree/tree/163868056/family/pedigree?cfpid=342593199298" TargetMode="External"/><Relationship Id="rId42" Type="http://schemas.openxmlformats.org/officeDocument/2006/relationships/hyperlink" Target="https://www.ancestry.co.uk/family-tree/person/tree/163868056/person/342132993729/facts" TargetMode="External"/><Relationship Id="rId84" Type="http://schemas.openxmlformats.org/officeDocument/2006/relationships/hyperlink" Target="https://www.ancestry.co.uk/family-tree/person/tree/163868056/person/342132993701/facts" TargetMode="External"/><Relationship Id="rId138" Type="http://schemas.openxmlformats.org/officeDocument/2006/relationships/hyperlink" Target="https://dnapainter.com/tools/sharedcmv4/6?fbclid=IwAR3wqfKWVRq1DI_x4i7OjYx5ayGhdwQu5Tj-9K3u_CVvBxgEWwX7fHipJPs" TargetMode="External"/><Relationship Id="rId191" Type="http://schemas.openxmlformats.org/officeDocument/2006/relationships/hyperlink" Target="https://www.ancestry.co.uk/family-tree/tree/163868056/family?cfpid=342153988388" TargetMode="External"/><Relationship Id="rId205" Type="http://schemas.openxmlformats.org/officeDocument/2006/relationships/hyperlink" Target="https://www.ancestry.co.uk/family-tree/person/tree/163868056/person/342132992964/facts" TargetMode="External"/><Relationship Id="rId247" Type="http://schemas.openxmlformats.org/officeDocument/2006/relationships/hyperlink" Target="https://www.ancestry.co.uk/family-tree/person/tree/163868056/person/342132992964/facts" TargetMode="External"/><Relationship Id="rId107" Type="http://schemas.openxmlformats.org/officeDocument/2006/relationships/hyperlink" Target="https://dnapainter.com/tools/sharedcmv4/18?fbclid=IwAR3wqfKWVRq1DI_x4i7OjYx5ayGhdwQu5Tj-9K3u_CVvBxgEWwX7fHipJPs" TargetMode="External"/><Relationship Id="rId11" Type="http://schemas.openxmlformats.org/officeDocument/2006/relationships/hyperlink" Target="https://www.ancestry.co.uk/family-tree/person/tree/163868056/person/342132992964/facts" TargetMode="External"/><Relationship Id="rId53" Type="http://schemas.openxmlformats.org/officeDocument/2006/relationships/hyperlink" Target="https://www.ancestry.co.uk/family-tree/person/tree/163868056/person/342132993729/facts" TargetMode="External"/><Relationship Id="rId149" Type="http://schemas.openxmlformats.org/officeDocument/2006/relationships/hyperlink" Target="https://www.ancestry.co.uk/discoveryui-matches/compare/50a7c5ef-9e94-44be-a86a-5736956a97f2/with/8c52b1a7-c693-43da-95a7-0fc39f57ef21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ncestry.co.uk/family-tree/person/tree/163868056/person/342174861693/facts" TargetMode="External"/><Relationship Id="rId21" Type="http://schemas.openxmlformats.org/officeDocument/2006/relationships/hyperlink" Target="https://www.ancestry.co.uk/family-tree/person/tree/163868056/person/342132992970/facts" TargetMode="External"/><Relationship Id="rId42" Type="http://schemas.openxmlformats.org/officeDocument/2006/relationships/hyperlink" Target="https://www.ancestry.co.uk/family-tree/person/tree/163868056/person/342173014479/facts" TargetMode="External"/><Relationship Id="rId63" Type="http://schemas.openxmlformats.org/officeDocument/2006/relationships/hyperlink" Target="https://www.ancestry.co.uk/family-tree/person/tree/163868056/person/342177302778/facts" TargetMode="External"/><Relationship Id="rId84" Type="http://schemas.openxmlformats.org/officeDocument/2006/relationships/hyperlink" Target="https://you.23andme.com/profile/1e8aa06802f4b89f/" TargetMode="External"/><Relationship Id="rId138" Type="http://schemas.openxmlformats.org/officeDocument/2006/relationships/hyperlink" Target="https://dnapainter.com/tools/sharedcmv4/18?fbclid=IwAR3wqfKWVRq1DI_x4i7OjYx5ayGhdwQu5Tj-9K3u_CVvBxgEWwX7fHipJPs" TargetMode="External"/><Relationship Id="rId159" Type="http://schemas.openxmlformats.org/officeDocument/2006/relationships/hyperlink" Target="https://dnapainter.com/tools/sharedcmv4/13?fbclid=IwAR3wqfKWVRq1DI_x4i7OjYx5ayGhdwQu5Tj-9K3u_CVvBxgEWwX7fHipJPs" TargetMode="External"/><Relationship Id="rId170" Type="http://schemas.openxmlformats.org/officeDocument/2006/relationships/hyperlink" Target="https://www.ancestry.co.uk/family-tree/tree/163868056/family?cfpid=342474576147" TargetMode="External"/><Relationship Id="rId107" Type="http://schemas.openxmlformats.org/officeDocument/2006/relationships/hyperlink" Target="https://www.ancestry.co.uk/discoveryui-matches/compare/8955CF51-8070-4A51-8674-B7F01B347AED/with/D3A3F06C-8D85-4177-9C2B-FD8CA23D0936" TargetMode="External"/><Relationship Id="rId11" Type="http://schemas.openxmlformats.org/officeDocument/2006/relationships/hyperlink" Target="https://www.ancestry.co.uk/family-tree/person/tree/163868056/person/342132992964/facts" TargetMode="External"/><Relationship Id="rId32" Type="http://schemas.openxmlformats.org/officeDocument/2006/relationships/hyperlink" Target="https://www.ancestry.co.uk/family-tree/person/tree/163868056/person/342173255360/facts" TargetMode="External"/><Relationship Id="rId53" Type="http://schemas.openxmlformats.org/officeDocument/2006/relationships/hyperlink" Target="https://www.ancestry.co.uk/family-tree/person/tree/163868056/person/342173268093/facts" TargetMode="External"/><Relationship Id="rId74" Type="http://schemas.openxmlformats.org/officeDocument/2006/relationships/hyperlink" Target="https://www.myheritage.com/dna/match/D-F9099B9B-87A1-4274-827C-AF35BD245736-D-76C58907-2D21-4B00-8108-199CF29E193A/691113321?p=1&amp;ps=10&amp;search=sarah%20leonard&amp;sort=total_shared_segments_length_in_cm&amp;memberId=704364871" TargetMode="External"/><Relationship Id="rId128" Type="http://schemas.openxmlformats.org/officeDocument/2006/relationships/hyperlink" Target="https://dnapainter.com/tools/sharedcmv4/20?fbclid=IwAR3wqfKWVRq1DI_x4i7OjYx5ayGhdwQu5Tj-9K3u_CVvBxgEWwX7fHipJPs" TargetMode="External"/><Relationship Id="rId149" Type="http://schemas.openxmlformats.org/officeDocument/2006/relationships/hyperlink" Target="https://dnapainter.com/tools/sharedcmv4/10?fbclid=IwAR3wqfKWVRq1DI_x4i7OjYx5ayGhdwQu5Tj-9K3u_CVvBxgEWwX7fHipJPs" TargetMode="External"/><Relationship Id="rId5" Type="http://schemas.openxmlformats.org/officeDocument/2006/relationships/hyperlink" Target="https://www.ancestry.co.uk/family-tree/person/tree/163868056/person/342132992964/facts" TargetMode="External"/><Relationship Id="rId95" Type="http://schemas.openxmlformats.org/officeDocument/2006/relationships/hyperlink" Target="https://www.ancestry.co.uk/family-tree/tree/163868056/family?cfpid=342450938728" TargetMode="External"/><Relationship Id="rId160" Type="http://schemas.openxmlformats.org/officeDocument/2006/relationships/hyperlink" Target="https://www.ancestry.co.uk/family-tree/person/tree/163868056/person/342132992970/facts" TargetMode="External"/><Relationship Id="rId22" Type="http://schemas.openxmlformats.org/officeDocument/2006/relationships/hyperlink" Target="https://www.ancestry.co.uk/family-tree/person/tree/163868056/person/342173255364/facts" TargetMode="External"/><Relationship Id="rId43" Type="http://schemas.openxmlformats.org/officeDocument/2006/relationships/hyperlink" Target="https://www.ancestry.co.uk/family-tree/person/tree/163868056/person/342173014479/facts" TargetMode="External"/><Relationship Id="rId64" Type="http://schemas.openxmlformats.org/officeDocument/2006/relationships/hyperlink" Target="https://www.ancestry.co.uk/family-tree/person/tree/163868056/person/342175109011/facts" TargetMode="External"/><Relationship Id="rId118" Type="http://schemas.openxmlformats.org/officeDocument/2006/relationships/hyperlink" Target="https://www.ancestry.co.uk/family-tree/person/tree/163868056/person/342173255364/facts" TargetMode="External"/><Relationship Id="rId139" Type="http://schemas.openxmlformats.org/officeDocument/2006/relationships/hyperlink" Target="https://dnapainter.com/tools/sharedcmv4/16?fbclid=IwAR3wqfKWVRq1DI_x4i7OjYx5ayGhdwQu5Tj-9K3u_CVvBxgEWwX7fHipJPs" TargetMode="External"/><Relationship Id="rId85" Type="http://schemas.openxmlformats.org/officeDocument/2006/relationships/hyperlink" Target="https://www.ancestry.co.uk/family-tree/tree/163868056/family?cfpid=342363195949" TargetMode="External"/><Relationship Id="rId150" Type="http://schemas.openxmlformats.org/officeDocument/2006/relationships/hyperlink" Target="https://dnapainter.com/tools/sharedcmv4/9?fbclid=IwAR3wqfKWVRq1DI_x4i7OjYx5ayGhdwQu5Tj-9K3u_CVvBxgEWwX7fHipJPs" TargetMode="External"/><Relationship Id="rId171" Type="http://schemas.openxmlformats.org/officeDocument/2006/relationships/hyperlink" Target="https://dnapainter.com/tools/sharedcmv4/32?fbclid=IwAR3wqfKWVRq1DI_x4i7OjYx5ayGhdwQu5Tj-9K3u_CVvBxgEWwX7fHipJPs" TargetMode="External"/><Relationship Id="rId12" Type="http://schemas.openxmlformats.org/officeDocument/2006/relationships/hyperlink" Target="https://www.ancestry.co.uk/family-tree/person/tree/163868056/person/342132992964/facts" TargetMode="External"/><Relationship Id="rId33" Type="http://schemas.openxmlformats.org/officeDocument/2006/relationships/hyperlink" Target="https://www.ancestry.co.uk/family-tree/person/tree/163868056/person/342173255360/facts" TargetMode="External"/><Relationship Id="rId108" Type="http://schemas.openxmlformats.org/officeDocument/2006/relationships/hyperlink" Target="https://www.ancestry.co.uk/discoveryui-matches/compare/8955CF51-8070-4A51-8674-B7F01B347AED/with/F1B32061-9A33-4D85-9C1D-790D7A93FD9A" TargetMode="External"/><Relationship Id="rId129" Type="http://schemas.openxmlformats.org/officeDocument/2006/relationships/hyperlink" Target="https://dnapainter.com/tools/sharedcmv4/20?fbclid=IwAR3wqfKWVRq1DI_x4i7OjYx5ayGhdwQu5Tj-9K3u_CVvBxgEWwX7fHipJPs" TargetMode="External"/><Relationship Id="rId54" Type="http://schemas.openxmlformats.org/officeDocument/2006/relationships/hyperlink" Target="https://www.ancestry.co.uk/family-tree/person/tree/163868056/person/342173268093/facts" TargetMode="External"/><Relationship Id="rId70" Type="http://schemas.openxmlformats.org/officeDocument/2006/relationships/hyperlink" Target="https://www.ancestry.co.uk/family-tree/person/tree/163868056/person/342173255360/facts" TargetMode="External"/><Relationship Id="rId75" Type="http://schemas.openxmlformats.org/officeDocument/2006/relationships/hyperlink" Target="https://www.myheritage.com/dna/match/D-F9099B9B-87A1-4274-827C-AF35BD245736-D-39157946-B97B-4E0E-A142-658AAD4564A6/691113321?p=1&amp;ps=10&amp;search=craig%20cole&amp;sort=total_shared_segments_length_in_cm&amp;memberId=704364871" TargetMode="External"/><Relationship Id="rId91" Type="http://schemas.openxmlformats.org/officeDocument/2006/relationships/hyperlink" Target="https://www.ancestry.co.uk/family-tree/tree/163868056/family?cfpid=342273808785" TargetMode="External"/><Relationship Id="rId96" Type="http://schemas.openxmlformats.org/officeDocument/2006/relationships/hyperlink" Target="https://www.ancestry.co.uk/family-tree/tree/163868056/family?cfpid=342174884517" TargetMode="External"/><Relationship Id="rId140" Type="http://schemas.openxmlformats.org/officeDocument/2006/relationships/hyperlink" Target="https://dnapainter.com/tools/sharedcmv4/16?fbclid=IwAR3wqfKWVRq1DI_x4i7OjYx5ayGhdwQu5Tj-9K3u_CVvBxgEWwX7fHipJPs" TargetMode="External"/><Relationship Id="rId145" Type="http://schemas.openxmlformats.org/officeDocument/2006/relationships/hyperlink" Target="https://dnapainter.com/tools/sharedcmv4/12?fbclid=IwAR3wqfKWVRq1DI_x4i7OjYx5ayGhdwQu5Tj-9K3u_CVvBxgEWwX7fHipJPs" TargetMode="External"/><Relationship Id="rId161" Type="http://schemas.openxmlformats.org/officeDocument/2006/relationships/hyperlink" Target="https://www.ancestry.co.uk/family-tree/person/tree/163868056/person/342173268093/facts" TargetMode="External"/><Relationship Id="rId166" Type="http://schemas.openxmlformats.org/officeDocument/2006/relationships/hyperlink" Target="https://www.ancestry.co.uk/family-tree/person/tree/163868056/person/342132992964/facts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www.ancestry.co.uk/family-tree/person/tree/163868056/person/342132992964/facts" TargetMode="External"/><Relationship Id="rId23" Type="http://schemas.openxmlformats.org/officeDocument/2006/relationships/hyperlink" Target="https://www.ancestry.co.uk/family-tree/person/tree/163868056/person/342173255364/facts" TargetMode="External"/><Relationship Id="rId28" Type="http://schemas.openxmlformats.org/officeDocument/2006/relationships/hyperlink" Target="https://www.ancestry.co.uk/family-tree/person/tree/163868056/person/342173255364/facts" TargetMode="External"/><Relationship Id="rId49" Type="http://schemas.openxmlformats.org/officeDocument/2006/relationships/hyperlink" Target="https://www.ancestry.co.uk/family-tree/person/tree/163868056/person/342173014451/facts" TargetMode="External"/><Relationship Id="rId114" Type="http://schemas.openxmlformats.org/officeDocument/2006/relationships/hyperlink" Target="https://www.ancestry.co.uk/discoveryui-matches/compare/8955CF51-8070-4A51-8674-B7F01B347AED/with/634AE760-567C-4BA2-A550-757D38C72976" TargetMode="External"/><Relationship Id="rId119" Type="http://schemas.openxmlformats.org/officeDocument/2006/relationships/hyperlink" Target="https://www.ancestry.co.uk/family-tree/person/tree/163868056/person/342173255360/facts" TargetMode="External"/><Relationship Id="rId44" Type="http://schemas.openxmlformats.org/officeDocument/2006/relationships/hyperlink" Target="https://www.ancestry.co.uk/family-tree/person/tree/163868056/person/342173014479/facts" TargetMode="External"/><Relationship Id="rId60" Type="http://schemas.openxmlformats.org/officeDocument/2006/relationships/hyperlink" Target="https://www.ancestry.co.uk/family-tree/person/tree/163868056/person/342173268084/facts" TargetMode="External"/><Relationship Id="rId65" Type="http://schemas.openxmlformats.org/officeDocument/2006/relationships/hyperlink" Target="https://www.ancestry.co.uk/family-tree/person/tree/163868056/person/342175109005/facts" TargetMode="External"/><Relationship Id="rId81" Type="http://schemas.openxmlformats.org/officeDocument/2006/relationships/hyperlink" Target="https://www.ancestry.co.uk/family-tree/tree/163868056/family?cfpid=342174867129" TargetMode="External"/><Relationship Id="rId86" Type="http://schemas.openxmlformats.org/officeDocument/2006/relationships/hyperlink" Target="https://www.ancestry.co.uk/family-tree/tree/163868056/family?cfpid=342271787863" TargetMode="External"/><Relationship Id="rId130" Type="http://schemas.openxmlformats.org/officeDocument/2006/relationships/hyperlink" Target="https://dnapainter.com/tools/sharedcmv4/32?fbclid=IwAR3wqfKWVRq1DI_x4i7OjYx5ayGhdwQu5Tj-9K3u_CVvBxgEWwX7fHipJPs" TargetMode="External"/><Relationship Id="rId135" Type="http://schemas.openxmlformats.org/officeDocument/2006/relationships/hyperlink" Target="https://dnapainter.com/tools/sharedcmv4/22?fbclid=IwAR3wqfKWVRq1DI_x4i7OjYx5ayGhdwQu5Tj-9K3u_CVvBxgEWwX7fHipJPs" TargetMode="External"/><Relationship Id="rId151" Type="http://schemas.openxmlformats.org/officeDocument/2006/relationships/hyperlink" Target="https://dnapainter.com/tools/sharedcmv4/8?fbclid=IwAR3wqfKWVRq1DI_x4i7OjYx5ayGhdwQu5Tj-9K3u_CVvBxgEWwX7fHipJPs" TargetMode="External"/><Relationship Id="rId156" Type="http://schemas.openxmlformats.org/officeDocument/2006/relationships/hyperlink" Target="https://www.ancestry.co.uk/family-tree/person/tree/163868056/person/342132992970/facts" TargetMode="External"/><Relationship Id="rId172" Type="http://schemas.openxmlformats.org/officeDocument/2006/relationships/printerSettings" Target="../printerSettings/printerSettings5.bin"/><Relationship Id="rId13" Type="http://schemas.openxmlformats.org/officeDocument/2006/relationships/hyperlink" Target="https://www.ancestry.co.uk/family-tree/person/tree/163868056/person/342132992964/facts" TargetMode="External"/><Relationship Id="rId18" Type="http://schemas.openxmlformats.org/officeDocument/2006/relationships/hyperlink" Target="https://www.ancestry.co.uk/family-tree/person/tree/163868056/person/342132992970/facts" TargetMode="External"/><Relationship Id="rId39" Type="http://schemas.openxmlformats.org/officeDocument/2006/relationships/hyperlink" Target="https://www.ancestry.co.uk/family-tree/person/tree/163868056/person/342173255360/facts" TargetMode="External"/><Relationship Id="rId109" Type="http://schemas.openxmlformats.org/officeDocument/2006/relationships/hyperlink" Target="https://www.ancestry.co.uk/family-tree/person/tree/163868056/person/342132992970/facts" TargetMode="External"/><Relationship Id="rId34" Type="http://schemas.openxmlformats.org/officeDocument/2006/relationships/hyperlink" Target="https://www.ancestry.co.uk/family-tree/person/tree/163868056/person/342173255360/facts" TargetMode="External"/><Relationship Id="rId50" Type="http://schemas.openxmlformats.org/officeDocument/2006/relationships/hyperlink" Target="https://www.ancestry.co.uk/family-tree/person/tree/163868056/person/342173268093/facts" TargetMode="External"/><Relationship Id="rId55" Type="http://schemas.openxmlformats.org/officeDocument/2006/relationships/hyperlink" Target="https://www.ancestry.co.uk/family-tree/person/tree/163868056/person/342173268093/facts" TargetMode="External"/><Relationship Id="rId76" Type="http://schemas.openxmlformats.org/officeDocument/2006/relationships/hyperlink" Target="https://www.ancestry.co.uk/family-tree/tree/163868056/family?cfpid=342229224038" TargetMode="External"/><Relationship Id="rId97" Type="http://schemas.openxmlformats.org/officeDocument/2006/relationships/hyperlink" Target="https://www.ancestry.co.uk/discoveryui-matches/compare/50a7c5ef-9e94-44be-a86a-5736956a97f2/with/a67936c7-7582-4462-85ee-02e4b4a54a1f" TargetMode="External"/><Relationship Id="rId104" Type="http://schemas.openxmlformats.org/officeDocument/2006/relationships/hyperlink" Target="https://www.ancestry.co.uk/family-tree/tree/163868056/family?cfpid=342435798080" TargetMode="External"/><Relationship Id="rId120" Type="http://schemas.openxmlformats.org/officeDocument/2006/relationships/hyperlink" Target="https://www.ancestry.co.uk/family-tree/person/tree/163868056/person/342132992970/facts" TargetMode="External"/><Relationship Id="rId125" Type="http://schemas.openxmlformats.org/officeDocument/2006/relationships/hyperlink" Target="https://dnapainter.com/tools/sharedcmv4/37?fbclid=IwAR3wqfKWVRq1DI_x4i7OjYx5ayGhdwQu5Tj-9K3u_CVvBxgEWwX7fHipJPs" TargetMode="External"/><Relationship Id="rId141" Type="http://schemas.openxmlformats.org/officeDocument/2006/relationships/hyperlink" Target="https://dnapainter.com/tools/sharedcmv4/16?fbclid=IwAR3wqfKWVRq1DI_x4i7OjYx5ayGhdwQu5Tj-9K3u_CVvBxgEWwX7fHipJPs" TargetMode="External"/><Relationship Id="rId146" Type="http://schemas.openxmlformats.org/officeDocument/2006/relationships/hyperlink" Target="https://dnapainter.com/tools/sharedcmv4/12?fbclid=IwAR3wqfKWVRq1DI_x4i7OjYx5ayGhdwQu5Tj-9K3u_CVvBxgEWwX7fHipJPs" TargetMode="External"/><Relationship Id="rId167" Type="http://schemas.openxmlformats.org/officeDocument/2006/relationships/hyperlink" Target="https://www.ancestry.co.uk/family-tree/person/tree/163868056/person/342173255364/facts" TargetMode="External"/><Relationship Id="rId7" Type="http://schemas.openxmlformats.org/officeDocument/2006/relationships/hyperlink" Target="https://www.ancestry.co.uk/family-tree/person/tree/163868056/person/342132992964/facts" TargetMode="External"/><Relationship Id="rId71" Type="http://schemas.openxmlformats.org/officeDocument/2006/relationships/hyperlink" Target="https://www.ancestry.co.uk/discoveryui-matches/compare/50a7c5ef-9e94-44be-a86a-5736956a97f2/with/6b049c6d-2fae-46c0-88c2-729ecdfaf1d3" TargetMode="External"/><Relationship Id="rId92" Type="http://schemas.openxmlformats.org/officeDocument/2006/relationships/hyperlink" Target="https://www.ancestry.co.uk/discoveryui-matches/compare/50a7c5ef-9e94-44be-a86a-5736956a97f2/with/89e72ed2-7ef2-4c14-8a2b-97a89defad4f" TargetMode="External"/><Relationship Id="rId162" Type="http://schemas.openxmlformats.org/officeDocument/2006/relationships/hyperlink" Target="https://www.ancestry.co.uk/family-tree/person/tree/163868056/person/342173268084/facts" TargetMode="External"/><Relationship Id="rId2" Type="http://schemas.openxmlformats.org/officeDocument/2006/relationships/hyperlink" Target="https://www.ancestry.co.uk/family-tree/person/tree/163868056/person/342132992964/facts" TargetMode="External"/><Relationship Id="rId29" Type="http://schemas.openxmlformats.org/officeDocument/2006/relationships/hyperlink" Target="https://www.ancestry.co.uk/family-tree/person/tree/163868056/person/342173255364/facts" TargetMode="External"/><Relationship Id="rId24" Type="http://schemas.openxmlformats.org/officeDocument/2006/relationships/hyperlink" Target="https://www.ancestry.co.uk/family-tree/person/tree/163868056/person/342173255364/facts" TargetMode="External"/><Relationship Id="rId40" Type="http://schemas.openxmlformats.org/officeDocument/2006/relationships/hyperlink" Target="https://www.ancestry.co.uk/family-tree/person/tree/163868056/person/342173255360/facts" TargetMode="External"/><Relationship Id="rId45" Type="http://schemas.openxmlformats.org/officeDocument/2006/relationships/hyperlink" Target="https://www.ancestry.co.uk/family-tree/person/tree/163868056/person/342173014479/facts" TargetMode="External"/><Relationship Id="rId66" Type="http://schemas.openxmlformats.org/officeDocument/2006/relationships/hyperlink" Target="https://www.ancestry.co.uk/family-tree/tree/163868056/family?cfpid=342406804721" TargetMode="External"/><Relationship Id="rId87" Type="http://schemas.openxmlformats.org/officeDocument/2006/relationships/hyperlink" Target="https://www.ancestry.co.uk/discoveryui-matches/compare/50a7c5ef-9e94-44be-a86a-5736956a97f2/with/b2725a7b-983f-496e-8088-a2bf40e5d697" TargetMode="External"/><Relationship Id="rId110" Type="http://schemas.openxmlformats.org/officeDocument/2006/relationships/hyperlink" Target="https://www.ancestry.co.uk/discoveryui-matches/compare/8955CF51-8070-4A51-8674-B7F01B347AED/with/508445C2-220C-4707-A638-B911E1D4642D" TargetMode="External"/><Relationship Id="rId115" Type="http://schemas.openxmlformats.org/officeDocument/2006/relationships/hyperlink" Target="https://www.ancestry.co.uk/family-tree/person/tree/163868056/person/342132992964/facts" TargetMode="External"/><Relationship Id="rId131" Type="http://schemas.openxmlformats.org/officeDocument/2006/relationships/hyperlink" Target="https://dnapainter.com/tools/sharedcmv4/28.9?fbclid=IwAR3wqfKWVRq1DI_x4i7OjYx5ayGhdwQu5Tj-9K3u_CVvBxgEWwX7fHipJPs" TargetMode="External"/><Relationship Id="rId136" Type="http://schemas.openxmlformats.org/officeDocument/2006/relationships/hyperlink" Target="https://dnapainter.com/tools/sharedcmv4/22?fbclid=IwAR3wqfKWVRq1DI_x4i7OjYx5ayGhdwQu5Tj-9K3u_CVvBxgEWwX7fHipJPs" TargetMode="External"/><Relationship Id="rId157" Type="http://schemas.openxmlformats.org/officeDocument/2006/relationships/hyperlink" Target="https://dnapainter.com/tools/sharedcmv4/15?fbclid=IwAR3wqfKWVRq1DI_x4i7OjYx5ayGhdwQu5Tj-9K3u_CVvBxgEWwX7fHipJPs" TargetMode="External"/><Relationship Id="rId61" Type="http://schemas.openxmlformats.org/officeDocument/2006/relationships/hyperlink" Target="https://www.ancestry.co.uk/family-tree/person/tree/163868056/person/342173268084/facts" TargetMode="External"/><Relationship Id="rId82" Type="http://schemas.openxmlformats.org/officeDocument/2006/relationships/hyperlink" Target="https://www.ancestry.co.uk/discoveryui-matches/compare/50a7c5ef-9e94-44be-a86a-5736956a97f2/with/4ed9e319-ac78-4155-9642-e9ba4b1b8ea4" TargetMode="External"/><Relationship Id="rId152" Type="http://schemas.openxmlformats.org/officeDocument/2006/relationships/hyperlink" Target="https://dnapainter.com/tools/sharedcmv4/7?fbclid=IwAR3wqfKWVRq1DI_x4i7OjYx5ayGhdwQu5Tj-9K3u_CVvBxgEWwX7fHipJPs" TargetMode="External"/><Relationship Id="rId19" Type="http://schemas.openxmlformats.org/officeDocument/2006/relationships/hyperlink" Target="https://www.ancestry.co.uk/family-tree/person/tree/163868056/person/342132992970/facts" TargetMode="External"/><Relationship Id="rId14" Type="http://schemas.openxmlformats.org/officeDocument/2006/relationships/hyperlink" Target="https://www.ancestry.co.uk/family-tree/person/tree/163868056/person/342132992964/facts" TargetMode="External"/><Relationship Id="rId30" Type="http://schemas.openxmlformats.org/officeDocument/2006/relationships/hyperlink" Target="https://www.ancestry.co.uk/family-tree/person/tree/163868056/person/342173255364/facts" TargetMode="External"/><Relationship Id="rId35" Type="http://schemas.openxmlformats.org/officeDocument/2006/relationships/hyperlink" Target="https://www.ancestry.co.uk/family-tree/person/tree/163868056/person/342173255360/facts" TargetMode="External"/><Relationship Id="rId56" Type="http://schemas.openxmlformats.org/officeDocument/2006/relationships/hyperlink" Target="https://www.ancestry.co.uk/family-tree/person/tree/163868056/person/342173268084/facts" TargetMode="External"/><Relationship Id="rId77" Type="http://schemas.openxmlformats.org/officeDocument/2006/relationships/hyperlink" Target="https://www.ancestry.co.uk/discoveryui-matches/compare/50a7c5ef-9e94-44be-a86a-5736956a97f2/with/e689c4f8-97a5-4be8-8494-eb2086744574" TargetMode="External"/><Relationship Id="rId100" Type="http://schemas.openxmlformats.org/officeDocument/2006/relationships/hyperlink" Target="https://www.ancestry.co.uk/family-tree/tree/163868056/family?cfpid=342319136924" TargetMode="External"/><Relationship Id="rId105" Type="http://schemas.openxmlformats.org/officeDocument/2006/relationships/hyperlink" Target="https://www.ancestry.co.uk/discoveryui-matches/compare/50a7c5ef-9e94-44be-a86a-5736956a97f2/with/bca61266-6a45-45da-8f0f-5042e0b7e41c" TargetMode="External"/><Relationship Id="rId126" Type="http://schemas.openxmlformats.org/officeDocument/2006/relationships/hyperlink" Target="https://dnapainter.com/tools/sharedcmv4/20?fbclid=IwAR3wqfKWVRq1DI_x4i7OjYx5ayGhdwQu5Tj-9K3u_CVvBxgEWwX7fHipJPs" TargetMode="External"/><Relationship Id="rId147" Type="http://schemas.openxmlformats.org/officeDocument/2006/relationships/hyperlink" Target="https://dnapainter.com/tools/sharedcmv4/11?fbclid=IwAR3wqfKWVRq1DI_x4i7OjYx5ayGhdwQu5Tj-9K3u_CVvBxgEWwX7fHipJPs" TargetMode="External"/><Relationship Id="rId168" Type="http://schemas.openxmlformats.org/officeDocument/2006/relationships/hyperlink" Target="https://www.ancestry.co.uk/family-tree/person/tree/163868056/person/342173255360/facts" TargetMode="External"/><Relationship Id="rId8" Type="http://schemas.openxmlformats.org/officeDocument/2006/relationships/hyperlink" Target="https://www.ancestry.co.uk/family-tree/person/tree/163868056/person/342132992964/facts" TargetMode="External"/><Relationship Id="rId51" Type="http://schemas.openxmlformats.org/officeDocument/2006/relationships/hyperlink" Target="https://www.ancestry.co.uk/family-tree/person/tree/163868056/person/342173268093/facts" TargetMode="External"/><Relationship Id="rId72" Type="http://schemas.openxmlformats.org/officeDocument/2006/relationships/hyperlink" Target="https://www.ancestry.co.uk/family-tree/tree/163868056/family/pedigree?cfpid=342590607116" TargetMode="External"/><Relationship Id="rId93" Type="http://schemas.openxmlformats.org/officeDocument/2006/relationships/hyperlink" Target="https://www.ancestry.co.uk/family-tree/tree/163868056/family?cfpid=342268585427" TargetMode="External"/><Relationship Id="rId98" Type="http://schemas.openxmlformats.org/officeDocument/2006/relationships/hyperlink" Target="https://www.ancestry.co.uk/family-tree/tree/163868056/family?cfpid=342268593924" TargetMode="External"/><Relationship Id="rId121" Type="http://schemas.openxmlformats.org/officeDocument/2006/relationships/hyperlink" Target="https://www.ancestry.co.uk/family-tree/tree/163868056/family?cfpid=342229228132" TargetMode="External"/><Relationship Id="rId142" Type="http://schemas.openxmlformats.org/officeDocument/2006/relationships/hyperlink" Target="https://dnapainter.com/tools/sharedcmv4/14?fbclid=IwAR3wqfKWVRq1DI_x4i7OjYx5ayGhdwQu5Tj-9K3u_CVvBxgEWwX7fHipJPs" TargetMode="External"/><Relationship Id="rId163" Type="http://schemas.openxmlformats.org/officeDocument/2006/relationships/hyperlink" Target="https://www.ancestry.co.uk/discoveryui-matches/compare/8955cf51-8070-4a51-8674-b7f01b347aed/with/280d4b9b-e72f-4c0e-8561-ba41802d1527" TargetMode="External"/><Relationship Id="rId3" Type="http://schemas.openxmlformats.org/officeDocument/2006/relationships/hyperlink" Target="https://www.ancestry.co.uk/family-tree/person/tree/163868056/person/342132992964/facts" TargetMode="External"/><Relationship Id="rId25" Type="http://schemas.openxmlformats.org/officeDocument/2006/relationships/hyperlink" Target="https://www.ancestry.co.uk/family-tree/person/tree/163868056/person/342173255364/facts" TargetMode="External"/><Relationship Id="rId46" Type="http://schemas.openxmlformats.org/officeDocument/2006/relationships/hyperlink" Target="https://www.ancestry.co.uk/family-tree/person/tree/163868056/person/342173014451/facts" TargetMode="External"/><Relationship Id="rId67" Type="http://schemas.openxmlformats.org/officeDocument/2006/relationships/hyperlink" Target="https://www.myheritage.com/dna/match/D-F9099B9B-87A1-4274-827C-AF35BD245736-D-64E2C823-696D-4E01-AAAC-506E7654544E/691113321?p=1&amp;ps=10&amp;search=karen&amp;sort=total_shared_segments_length_in_cm&amp;filter_by_labels=favorite&amp;memberId=704364871" TargetMode="External"/><Relationship Id="rId116" Type="http://schemas.openxmlformats.org/officeDocument/2006/relationships/hyperlink" Target="https://www.ancestry.co.uk/family-tree/person/tree/163868056/person/342174861700/facts" TargetMode="External"/><Relationship Id="rId137" Type="http://schemas.openxmlformats.org/officeDocument/2006/relationships/hyperlink" Target="https://dnapainter.com/tools/sharedcmv4/19?fbclid=IwAR3wqfKWVRq1DI_x4i7OjYx5ayGhdwQu5Tj-9K3u_CVvBxgEWwX7fHipJPs" TargetMode="External"/><Relationship Id="rId158" Type="http://schemas.openxmlformats.org/officeDocument/2006/relationships/hyperlink" Target="https://www.ancestry.co.uk/family-tree/tree/163868056/family/pedigree?cfpid=342450938616" TargetMode="External"/><Relationship Id="rId20" Type="http://schemas.openxmlformats.org/officeDocument/2006/relationships/hyperlink" Target="https://www.ancestry.co.uk/family-tree/person/tree/163868056/person/342132992970/facts" TargetMode="External"/><Relationship Id="rId41" Type="http://schemas.openxmlformats.org/officeDocument/2006/relationships/hyperlink" Target="https://www.ancestry.co.uk/family-tree/person/tree/163868056/person/342173255360/facts" TargetMode="External"/><Relationship Id="rId62" Type="http://schemas.openxmlformats.org/officeDocument/2006/relationships/hyperlink" Target="https://www.ancestry.co.uk/family-tree/person/tree/163868056/person/342177302796/facts" TargetMode="External"/><Relationship Id="rId83" Type="http://schemas.openxmlformats.org/officeDocument/2006/relationships/hyperlink" Target="https://www.ancestry.co.uk/family-tree/tree/163868056/family?cfpid=342241029483" TargetMode="External"/><Relationship Id="rId88" Type="http://schemas.openxmlformats.org/officeDocument/2006/relationships/hyperlink" Target="https://www.ancestry.co.uk/family-tree/tree/163868056/family?cfpid=342229228132" TargetMode="External"/><Relationship Id="rId111" Type="http://schemas.openxmlformats.org/officeDocument/2006/relationships/hyperlink" Target="https://www.ancestry.co.uk/discoveryui-matches/compare/8955CF51-8070-4A51-8674-B7F01B347AED/with/45EB273D-7A7D-43D0-883A-6E166318D530" TargetMode="External"/><Relationship Id="rId132" Type="http://schemas.openxmlformats.org/officeDocument/2006/relationships/hyperlink" Target="https://dnapainter.com/tools/sharedcmv4/27?fbclid=IwAR3wqfKWVRq1DI_x4i7OjYx5ayGhdwQu5Tj-9K3u_CVvBxgEWwX7fHipJPs" TargetMode="External"/><Relationship Id="rId153" Type="http://schemas.openxmlformats.org/officeDocument/2006/relationships/hyperlink" Target="https://www.ancestry.co.uk/family-tree/person/tree/163868056/person/342173014479/facts" TargetMode="External"/><Relationship Id="rId15" Type="http://schemas.openxmlformats.org/officeDocument/2006/relationships/hyperlink" Target="https://www.ancestry.co.uk/family-tree/person/tree/163868056/person/342132992970/facts" TargetMode="External"/><Relationship Id="rId36" Type="http://schemas.openxmlformats.org/officeDocument/2006/relationships/hyperlink" Target="https://www.ancestry.co.uk/family-tree/person/tree/163868056/person/342173255360/facts" TargetMode="External"/><Relationship Id="rId57" Type="http://schemas.openxmlformats.org/officeDocument/2006/relationships/hyperlink" Target="https://www.ancestry.co.uk/family-tree/person/tree/163868056/person/342173268084/facts" TargetMode="External"/><Relationship Id="rId106" Type="http://schemas.openxmlformats.org/officeDocument/2006/relationships/hyperlink" Target="https://www.ancestry.co.uk/discoveryui-matches/compare/8955CF51-8070-4A51-8674-B7F01B347AED/with/4D63C1B1-AC0A-4F5C-A06A-BD0FDE28686D" TargetMode="External"/><Relationship Id="rId127" Type="http://schemas.openxmlformats.org/officeDocument/2006/relationships/hyperlink" Target="https://dnapainter.com/tools/sharedcmv4/20?fbclid=IwAR3wqfKWVRq1DI_x4i7OjYx5ayGhdwQu5Tj-9K3u_CVvBxgEWwX7fHipJPs" TargetMode="External"/><Relationship Id="rId10" Type="http://schemas.openxmlformats.org/officeDocument/2006/relationships/hyperlink" Target="https://www.ancestry.co.uk/family-tree/person/tree/163868056/person/342132992964/facts" TargetMode="External"/><Relationship Id="rId31" Type="http://schemas.openxmlformats.org/officeDocument/2006/relationships/hyperlink" Target="https://www.ancestry.co.uk/family-tree/person/tree/163868056/person/342173255364/facts" TargetMode="External"/><Relationship Id="rId52" Type="http://schemas.openxmlformats.org/officeDocument/2006/relationships/hyperlink" Target="https://www.ancestry.co.uk/family-tree/person/tree/163868056/person/342173268093/facts" TargetMode="External"/><Relationship Id="rId73" Type="http://schemas.openxmlformats.org/officeDocument/2006/relationships/hyperlink" Target="https://www.ancestry.co.uk/family-tree/tree/163868056/family?cfpid=342232211831" TargetMode="External"/><Relationship Id="rId78" Type="http://schemas.openxmlformats.org/officeDocument/2006/relationships/hyperlink" Target="https://www.ancestry.co.uk/family-tree/tree/163868056/family?cfpid=342304880605" TargetMode="External"/><Relationship Id="rId94" Type="http://schemas.openxmlformats.org/officeDocument/2006/relationships/hyperlink" Target="https://www.ancestry.co.uk/family-tree/tree/163868056/family?cfpid=342423657946" TargetMode="External"/><Relationship Id="rId99" Type="http://schemas.openxmlformats.org/officeDocument/2006/relationships/hyperlink" Target="https://www.ancestry.co.uk/family-tree/tree/163868056/family?cfpid=342310180239" TargetMode="External"/><Relationship Id="rId101" Type="http://schemas.openxmlformats.org/officeDocument/2006/relationships/hyperlink" Target="https://www.ancestry.co.uk/discoveryui-matches/compare/50a7c5ef-9e94-44be-a86a-5736956a97f2/with/cb3905a8-a652-44e0-82a0-46052c283ff0" TargetMode="External"/><Relationship Id="rId122" Type="http://schemas.openxmlformats.org/officeDocument/2006/relationships/hyperlink" Target="https://www.ancestry.co.uk/discoveryui-matches/compare/8955cf51-8070-4a51-8674-b7f01b347aed/with/5fc14477-2041-4f38-ade0-d57a318d49bf" TargetMode="External"/><Relationship Id="rId143" Type="http://schemas.openxmlformats.org/officeDocument/2006/relationships/hyperlink" Target="https://dnapainter.com/tools/sharedcmv4/14?fbclid=IwAR3wqfKWVRq1DI_x4i7OjYx5ayGhdwQu5Tj-9K3u_CVvBxgEWwX7fHipJPs" TargetMode="External"/><Relationship Id="rId148" Type="http://schemas.openxmlformats.org/officeDocument/2006/relationships/hyperlink" Target="https://dnapainter.com/tools/sharedcmv4/11?fbclid=IwAR3wqfKWVRq1DI_x4i7OjYx5ayGhdwQu5Tj-9K3u_CVvBxgEWwX7fHipJPs" TargetMode="External"/><Relationship Id="rId164" Type="http://schemas.openxmlformats.org/officeDocument/2006/relationships/hyperlink" Target="https://dnapainter.com/tools/sharedcmv4/12?fbclid=IwAR3wqfKWVRq1DI_x4i7OjYx5ayGhdwQu5Tj-9K3u_CVvBxgEWwX7fHipJPs" TargetMode="External"/><Relationship Id="rId169" Type="http://schemas.openxmlformats.org/officeDocument/2006/relationships/hyperlink" Target="https://www.myheritage.com/dna/match/D-F9099B9B-87A1-4274-827C-AF35BD245736-D-3764B46E-1A75-4463-9CCD-E8C089A69ECD/691113321?mode=shared" TargetMode="External"/><Relationship Id="rId4" Type="http://schemas.openxmlformats.org/officeDocument/2006/relationships/hyperlink" Target="https://www.ancestry.co.uk/family-tree/person/tree/163868056/person/342132992964/facts" TargetMode="External"/><Relationship Id="rId9" Type="http://schemas.openxmlformats.org/officeDocument/2006/relationships/hyperlink" Target="https://www.ancestry.co.uk/family-tree/person/tree/163868056/person/342132992964/facts" TargetMode="External"/><Relationship Id="rId26" Type="http://schemas.openxmlformats.org/officeDocument/2006/relationships/hyperlink" Target="https://www.ancestry.co.uk/family-tree/person/tree/163868056/person/342173255364/facts" TargetMode="External"/><Relationship Id="rId47" Type="http://schemas.openxmlformats.org/officeDocument/2006/relationships/hyperlink" Target="https://www.ancestry.co.uk/family-tree/person/tree/163868056/person/342173014451/facts" TargetMode="External"/><Relationship Id="rId68" Type="http://schemas.openxmlformats.org/officeDocument/2006/relationships/hyperlink" Target="https://www.ancestry.co.uk/family-tree/person/tree/163868056/person/342132992964/facts" TargetMode="External"/><Relationship Id="rId89" Type="http://schemas.openxmlformats.org/officeDocument/2006/relationships/hyperlink" Target="https://www.ancestry.co.uk/discoveryui-matches/compare/50a7c5ef-9e94-44be-a86a-5736956a97f2/with/5fc14477-2041-4f38-ade0-d57a318d49bf" TargetMode="External"/><Relationship Id="rId112" Type="http://schemas.openxmlformats.org/officeDocument/2006/relationships/hyperlink" Target="https://www.ancestry.co.uk/discoveryui-matches/compare/8955CF51-8070-4A51-8674-B7F01B347AED/with/114A850F-4DC9-42D0-B6C3-3985D6A4C092" TargetMode="External"/><Relationship Id="rId133" Type="http://schemas.openxmlformats.org/officeDocument/2006/relationships/hyperlink" Target="https://dnapainter.com/tools/sharedcmv4/24?fbclid=IwAR3wqfKWVRq1DI_x4i7OjYx5ayGhdwQu5Tj-9K3u_CVvBxgEWwX7fHipJPs" TargetMode="External"/><Relationship Id="rId154" Type="http://schemas.openxmlformats.org/officeDocument/2006/relationships/hyperlink" Target="https://www.ancestry.co.uk/family-tree/person/tree/163868056/person/342173014451/facts" TargetMode="External"/><Relationship Id="rId16" Type="http://schemas.openxmlformats.org/officeDocument/2006/relationships/hyperlink" Target="https://www.ancestry.co.uk/family-tree/person/tree/163868056/person/342132992970/facts" TargetMode="External"/><Relationship Id="rId37" Type="http://schemas.openxmlformats.org/officeDocument/2006/relationships/hyperlink" Target="https://www.ancestry.co.uk/family-tree/person/tree/163868056/person/342173255360/facts" TargetMode="External"/><Relationship Id="rId58" Type="http://schemas.openxmlformats.org/officeDocument/2006/relationships/hyperlink" Target="https://www.ancestry.co.uk/family-tree/person/tree/163868056/person/342173268084/facts" TargetMode="External"/><Relationship Id="rId79" Type="http://schemas.openxmlformats.org/officeDocument/2006/relationships/hyperlink" Target="https://www.ancestry.co.uk/discoveryui-matches/compare/50a7c5ef-9e94-44be-a86a-5736956a97f2/with/edceadac-b350-4533-9cdf-73a6a2612af6" TargetMode="External"/><Relationship Id="rId102" Type="http://schemas.openxmlformats.org/officeDocument/2006/relationships/hyperlink" Target="https://www.ancestry.co.uk/family-tree/tree/163868056/family?cfpid=342448673965" TargetMode="External"/><Relationship Id="rId123" Type="http://schemas.openxmlformats.org/officeDocument/2006/relationships/hyperlink" Target="https://www.ancestry.co.uk/family-tree/tree/163868056/family?cfpid=342304645849" TargetMode="External"/><Relationship Id="rId144" Type="http://schemas.openxmlformats.org/officeDocument/2006/relationships/hyperlink" Target="https://dnapainter.com/tools/sharedcmv4/13?fbclid=IwAR3wqfKWVRq1DI_x4i7OjYx5ayGhdwQu5Tj-9K3u_CVvBxgEWwX7fHipJPs" TargetMode="External"/><Relationship Id="rId90" Type="http://schemas.openxmlformats.org/officeDocument/2006/relationships/hyperlink" Target="https://www.ancestry.co.uk/family-tree/tree/163868056/family?cfpid=342376753985" TargetMode="External"/><Relationship Id="rId165" Type="http://schemas.openxmlformats.org/officeDocument/2006/relationships/hyperlink" Target="https://www.ancestry.co.uk/family-tree/tree/163868056/family/pedigree?cfpid=342476674864" TargetMode="External"/><Relationship Id="rId27" Type="http://schemas.openxmlformats.org/officeDocument/2006/relationships/hyperlink" Target="https://www.ancestry.co.uk/family-tree/person/tree/163868056/person/342173255364/facts" TargetMode="External"/><Relationship Id="rId48" Type="http://schemas.openxmlformats.org/officeDocument/2006/relationships/hyperlink" Target="https://www.ancestry.co.uk/family-tree/person/tree/163868056/person/342173014451/facts" TargetMode="External"/><Relationship Id="rId69" Type="http://schemas.openxmlformats.org/officeDocument/2006/relationships/hyperlink" Target="https://www.ancestry.co.uk/family-tree/person/tree/163868056/person/342173255364/facts" TargetMode="External"/><Relationship Id="rId113" Type="http://schemas.openxmlformats.org/officeDocument/2006/relationships/hyperlink" Target="https://www.ancestry.co.uk/discoveryui-matches/compare/8955CF51-8070-4A51-8674-B7F01B347AED/with/2BD1929E-61BC-462A-BE37-5E8CDAC21BDA" TargetMode="External"/><Relationship Id="rId134" Type="http://schemas.openxmlformats.org/officeDocument/2006/relationships/hyperlink" Target="https://dnapainter.com/tools/sharedcmv4/23?fbclid=IwAR3wqfKWVRq1DI_x4i7OjYx5ayGhdwQu5Tj-9K3u_CVvBxgEWwX7fHipJPs" TargetMode="External"/><Relationship Id="rId80" Type="http://schemas.openxmlformats.org/officeDocument/2006/relationships/hyperlink" Target="https://www.ancestry.co.uk/family-tree/tree/163868056/family?cfpid=342268556891" TargetMode="External"/><Relationship Id="rId155" Type="http://schemas.openxmlformats.org/officeDocument/2006/relationships/hyperlink" Target="https://www.ancestry.co.uk/discoveryui-matches/compare/50a7c5ef-9e94-44be-a86a-5736956a97f2/with/c9fdcf1a-b8a0-4a79-810c-546c1f8d8aab" TargetMode="External"/><Relationship Id="rId17" Type="http://schemas.openxmlformats.org/officeDocument/2006/relationships/hyperlink" Target="https://www.ancestry.co.uk/family-tree/person/tree/163868056/person/342132992970/facts" TargetMode="External"/><Relationship Id="rId38" Type="http://schemas.openxmlformats.org/officeDocument/2006/relationships/hyperlink" Target="https://www.ancestry.co.uk/family-tree/person/tree/163868056/person/342173255360/facts" TargetMode="External"/><Relationship Id="rId59" Type="http://schemas.openxmlformats.org/officeDocument/2006/relationships/hyperlink" Target="https://www.ancestry.co.uk/family-tree/person/tree/163868056/person/342173268084/facts" TargetMode="External"/><Relationship Id="rId103" Type="http://schemas.openxmlformats.org/officeDocument/2006/relationships/hyperlink" Target="https://www.ancestry.co.uk/discoveryui-matches/compare/50a7c5ef-9e94-44be-a86a-5736956a97f2/with/65308fc3-15bb-4cc4-8b84-20c822ecbab8" TargetMode="External"/><Relationship Id="rId124" Type="http://schemas.openxmlformats.org/officeDocument/2006/relationships/hyperlink" Target="https://www.ancestry.co.uk/discoveryui-matches/compare/50A7C5EF-9E94-44BE-A86A-5736956A97F2/with/74715798-0733-4BD8-98A7-811ABD818B31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ncestry.co.uk/discoveryui-matches/compare/50a7c5ef-9e94-44be-a86a-5736956a97f2/with/99c04dd4-dfec-4319-9910-7f5f9e8d2aa1" TargetMode="External"/><Relationship Id="rId3" Type="http://schemas.openxmlformats.org/officeDocument/2006/relationships/hyperlink" Target="https://www.ancestry.co.uk/family-tree/person/tree/163868056/person/342133763156/facts" TargetMode="External"/><Relationship Id="rId7" Type="http://schemas.openxmlformats.org/officeDocument/2006/relationships/hyperlink" Target="https://www.ancestry.co.uk/family-tree/tree/163868056/family?cfpid=342154109316" TargetMode="External"/><Relationship Id="rId12" Type="http://schemas.openxmlformats.org/officeDocument/2006/relationships/hyperlink" Target="https://dnapainter.com/tools/sharedcmv4/6?fbclid=IwAR3wqfKWVRq1DI_x4i7OjYx5ayGhdwQu5Tj-9K3u_CVvBxgEWwX7fHipJPs" TargetMode="External"/><Relationship Id="rId2" Type="http://schemas.openxmlformats.org/officeDocument/2006/relationships/hyperlink" Target="https://www.ancestry.co.uk/family-tree/person/tree/163868056/person/342132992964/facts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www.ancestry.co.uk/family-tree/person/tree/163868056/person/342133763158/facts" TargetMode="External"/><Relationship Id="rId11" Type="http://schemas.openxmlformats.org/officeDocument/2006/relationships/hyperlink" Target="https://dnapainter.com/tools/sharedcmv4/14?fbclid=IwAR3wqfKWVRq1DI_x4i7OjYx5ayGhdwQu5Tj-9K3u_CVvBxgEWwX7fHipJPs" TargetMode="External"/><Relationship Id="rId5" Type="http://schemas.openxmlformats.org/officeDocument/2006/relationships/hyperlink" Target="https://www.ancestry.co.uk/family-tree/person/tree/163868056/person/342133763158/facts" TargetMode="External"/><Relationship Id="rId10" Type="http://schemas.openxmlformats.org/officeDocument/2006/relationships/hyperlink" Target="https://www.ancestry.co.uk/discoveryui-matches/compare/50a7c5ef-9e94-44be-a86a-5736956a97f2/with/26e465fa-c090-4c67-9306-5d007141d603" TargetMode="External"/><Relationship Id="rId4" Type="http://schemas.openxmlformats.org/officeDocument/2006/relationships/hyperlink" Target="https://www.ancestry.co.uk/family-tree/person/tree/163868056/person/342133763156/facts" TargetMode="External"/><Relationship Id="rId9" Type="http://schemas.openxmlformats.org/officeDocument/2006/relationships/hyperlink" Target="https://www.ancestry.co.uk/family-tree/tree/163868056/family?cfpid=342376755140" TargetMode="External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ncestry.co.uk/family-tree/tree/163868056/family?cfpid=342332207355" TargetMode="External"/><Relationship Id="rId18" Type="http://schemas.openxmlformats.org/officeDocument/2006/relationships/hyperlink" Target="https://www.ancestry.co.uk/family-tree/person/tree/163868056/person/342132992964/facts" TargetMode="External"/><Relationship Id="rId26" Type="http://schemas.openxmlformats.org/officeDocument/2006/relationships/hyperlink" Target="https://dnapainter.com/tools/sharedcmv4/8?fbclid=IwAR3wqfKWVRq1DI_x4i7OjYx5ayGhdwQu5Tj-9K3u_CVvBxgEWwX7fHipJPs" TargetMode="External"/><Relationship Id="rId39" Type="http://schemas.openxmlformats.org/officeDocument/2006/relationships/hyperlink" Target="https://www.ancestry.co.uk/family-tree/tree/163868056/family/pedigree?cfpid=342590320195" TargetMode="External"/><Relationship Id="rId21" Type="http://schemas.openxmlformats.org/officeDocument/2006/relationships/hyperlink" Target="https://www.ancestry.co.uk/discoveryui-matches/compare/8955CF51-8070-4A51-8674-B7F01B347AED/with/BA1702ED-84AB-48E9-82C0-F8E6375E0C44" TargetMode="External"/><Relationship Id="rId34" Type="http://schemas.openxmlformats.org/officeDocument/2006/relationships/hyperlink" Target="https://dnapainter.com/tools/sharedcmv4/17?fbclid=IwAR3wqfKWVRq1DI_x4i7OjYx5ayGhdwQu5Tj-9K3u_CVvBxgEWwX7fHipJPs" TargetMode="External"/><Relationship Id="rId42" Type="http://schemas.openxmlformats.org/officeDocument/2006/relationships/hyperlink" Target="https://dnapainter.com/tools/sharedcmv4/14?fbclid=IwAR3wqfKWVRq1DI_x4i7OjYx5ayGhdwQu5Tj-9K3u_CVvBxgEWwX7fHipJPs" TargetMode="External"/><Relationship Id="rId47" Type="http://schemas.openxmlformats.org/officeDocument/2006/relationships/hyperlink" Target="https://www.ancestry.co.uk/discoveryui-matches/compare/8955cf51-8070-4a51-8674-b7f01b347aed/with/efed763c-5f2a-4815-b1f5-8feebf3b9e1c" TargetMode="External"/><Relationship Id="rId50" Type="http://schemas.openxmlformats.org/officeDocument/2006/relationships/hyperlink" Target="https://www.ancestry.co.uk/family-tree/person/tree/163868056/person/342296134107/facts" TargetMode="External"/><Relationship Id="rId55" Type="http://schemas.openxmlformats.org/officeDocument/2006/relationships/hyperlink" Target="https://www.ancestry.co.uk/discoveryui-matches/compare/8955cf51-8070-4a51-8674-b7f01b347aed/with/554d081e-b32c-498c-94fc-bf2fc143364d" TargetMode="External"/><Relationship Id="rId63" Type="http://schemas.openxmlformats.org/officeDocument/2006/relationships/hyperlink" Target="https://dnapainter.com/tools/sharedcmv4/28?fbclid=IwAR3wqfKWVRq1DI_x4i7OjYx5ayGhdwQu5Tj-9K3u_CVvBxgEWwX7fHipJPs" TargetMode="External"/><Relationship Id="rId7" Type="http://schemas.openxmlformats.org/officeDocument/2006/relationships/hyperlink" Target="https://www.ancestry.co.uk/family-tree/person/tree/163868056/person/342330985389/facts" TargetMode="External"/><Relationship Id="rId2" Type="http://schemas.openxmlformats.org/officeDocument/2006/relationships/hyperlink" Target="https://www.ancestry.co.uk/family-tree/person/tree/163868056/person/342132992970/facts" TargetMode="External"/><Relationship Id="rId16" Type="http://schemas.openxmlformats.org/officeDocument/2006/relationships/hyperlink" Target="https://www.ancestry.co.uk/discoveryui-matches/compare/50a7c5ef-9e94-44be-a86a-5736956a97f2/with/f7af10c9-9627-4ddc-8fb1-5f0f4d55e3f5" TargetMode="External"/><Relationship Id="rId29" Type="http://schemas.openxmlformats.org/officeDocument/2006/relationships/hyperlink" Target="https://www.ancestry.co.uk/family-tree/person/tree/163868056/person/342132992970/facts" TargetMode="External"/><Relationship Id="rId11" Type="http://schemas.openxmlformats.org/officeDocument/2006/relationships/hyperlink" Target="https://www.ancestry.co.uk/family-tree/person/tree/163868056/person/342330985568/facts" TargetMode="External"/><Relationship Id="rId24" Type="http://schemas.openxmlformats.org/officeDocument/2006/relationships/hyperlink" Target="https://dnapainter.com/tools/sharedcmv4/6?fbclid=IwAR3wqfKWVRq1DI_x4i7OjYx5ayGhdwQu5Tj-9K3u_CVvBxgEWwX7fHipJPs" TargetMode="External"/><Relationship Id="rId32" Type="http://schemas.openxmlformats.org/officeDocument/2006/relationships/hyperlink" Target="https://www.ancestry.co.uk/family-tree/tree/163868056/family?cfpid=342486644591" TargetMode="External"/><Relationship Id="rId37" Type="http://schemas.openxmlformats.org/officeDocument/2006/relationships/hyperlink" Target="https://www.ancestry.co.uk/family-tree/person/tree/163868056/person/342296134124/facts" TargetMode="External"/><Relationship Id="rId40" Type="http://schemas.openxmlformats.org/officeDocument/2006/relationships/hyperlink" Target="https://www.ancestry.co.uk/family-tree/person/tree/163868056/person/342132992970/facts" TargetMode="External"/><Relationship Id="rId45" Type="http://schemas.openxmlformats.org/officeDocument/2006/relationships/hyperlink" Target="https://www.ancestry.co.uk/family-tree/tree/163868056/family/pedigree?cfpid=342593447239" TargetMode="External"/><Relationship Id="rId53" Type="http://schemas.openxmlformats.org/officeDocument/2006/relationships/hyperlink" Target="https://www.ancestry.co.uk/family-tree/person/tree/163868056/person/342296134107/facts" TargetMode="External"/><Relationship Id="rId58" Type="http://schemas.openxmlformats.org/officeDocument/2006/relationships/hyperlink" Target="https://dnapainter.com/tools/sharedcmv4/13?fbclid=IwAR3wqfKWVRq1DI_x4i7OjYx5ayGhdwQu5Tj-9K3u_CVvBxgEWwX7fHipJPs" TargetMode="External"/><Relationship Id="rId5" Type="http://schemas.openxmlformats.org/officeDocument/2006/relationships/hyperlink" Target="https://www.ancestry.co.uk/family-tree/person/tree/163868056/person/342330985383/facts" TargetMode="External"/><Relationship Id="rId61" Type="http://schemas.openxmlformats.org/officeDocument/2006/relationships/hyperlink" Target="https://www.ancestry.co.uk/family-tree/person/tree/163868056/person/342296134124/facts" TargetMode="External"/><Relationship Id="rId19" Type="http://schemas.openxmlformats.org/officeDocument/2006/relationships/hyperlink" Target="https://www.ancestry.co.uk/family-tree/person/tree/163868056/person/342132992964/facts" TargetMode="External"/><Relationship Id="rId14" Type="http://schemas.openxmlformats.org/officeDocument/2006/relationships/hyperlink" Target="https://www.ancestry.co.uk/family-tree/tree/163868056/family?cfpid=342319348864" TargetMode="External"/><Relationship Id="rId22" Type="http://schemas.openxmlformats.org/officeDocument/2006/relationships/hyperlink" Target="https://www.ancestry.co.uk/discoveryui-matches/compare/8955CF51-8070-4A51-8674-B7F01B347AED/with/C6C612DF-103A-4833-8C91-9933A94978CF" TargetMode="External"/><Relationship Id="rId27" Type="http://schemas.openxmlformats.org/officeDocument/2006/relationships/hyperlink" Target="https://dnapainter.com/tools/sharedcmv4/10?fbclid=IwAR3wqfKWVRq1DI_x4i7OjYx5ayGhdwQu5Tj-9K3u_CVvBxgEWwX7fHipJPs" TargetMode="External"/><Relationship Id="rId30" Type="http://schemas.openxmlformats.org/officeDocument/2006/relationships/hyperlink" Target="https://www.ancestry.co.uk/family-tree/person/tree/163868056/person/342296134107/facts" TargetMode="External"/><Relationship Id="rId35" Type="http://schemas.openxmlformats.org/officeDocument/2006/relationships/hyperlink" Target="https://www.ancestry.co.uk/family-tree/person/tree/163868056/person/342132992970/facts" TargetMode="External"/><Relationship Id="rId43" Type="http://schemas.openxmlformats.org/officeDocument/2006/relationships/hyperlink" Target="https://www.ancestry.co.uk/family-tree/person/tree/163868056/person/342296134124/facts" TargetMode="External"/><Relationship Id="rId48" Type="http://schemas.openxmlformats.org/officeDocument/2006/relationships/hyperlink" Target="https://dnapainter.com/tools/sharedcmv4/13?fbclid=IwAR3wqfKWVRq1DI_x4i7OjYx5ayGhdwQu5Tj-9K3u_CVvBxgEWwX7fHipJPs" TargetMode="External"/><Relationship Id="rId56" Type="http://schemas.openxmlformats.org/officeDocument/2006/relationships/hyperlink" Target="https://dnapainter.com/tools/sharedcmv4/8?fbclid=IwAR3wqfKWVRq1DI_x4i7OjYx5ayGhdwQu5Tj-9K3u_CVvBxgEWwX7fHipJPs" TargetMode="External"/><Relationship Id="rId8" Type="http://schemas.openxmlformats.org/officeDocument/2006/relationships/hyperlink" Target="https://www.ancestry.co.uk/family-tree/person/tree/163868056/person/342330985389/facts" TargetMode="External"/><Relationship Id="rId51" Type="http://schemas.openxmlformats.org/officeDocument/2006/relationships/hyperlink" Target="https://www.ancestry.co.uk/family-tree/tree/163868056/family/pedigree?cfpid=342590320116" TargetMode="External"/><Relationship Id="rId3" Type="http://schemas.openxmlformats.org/officeDocument/2006/relationships/hyperlink" Target="https://www.ancestry.co.uk/family-tree/person/tree/163868056/person/342132992970/facts" TargetMode="External"/><Relationship Id="rId12" Type="http://schemas.openxmlformats.org/officeDocument/2006/relationships/hyperlink" Target="https://www.ancestry.co.uk/family-tree/tree/163868056/family?cfpid=342332207147" TargetMode="External"/><Relationship Id="rId17" Type="http://schemas.openxmlformats.org/officeDocument/2006/relationships/hyperlink" Target="https://www.ancestry.co.uk/family-tree/tree/163868056/family?cfpid=342373198123" TargetMode="External"/><Relationship Id="rId25" Type="http://schemas.openxmlformats.org/officeDocument/2006/relationships/hyperlink" Target="https://dnapainter.com/tools/sharedcmv4/6?fbclid=IwAR3wqfKWVRq1DI_x4i7OjYx5ayGhdwQu5Tj-9K3u_CVvBxgEWwX7fHipJPs" TargetMode="External"/><Relationship Id="rId33" Type="http://schemas.openxmlformats.org/officeDocument/2006/relationships/hyperlink" Target="https://www.myheritage.com/dna/match/D-9E1FE62B-73EF-414E-8CC5-9A2285D9F64A-D-0CD54624-3FEA-42B9-B844-832D2534AE29/691113321?p=2&amp;ps=10&amp;sort=total_shared_segments_length_in_cm&amp;filter=theories_of_family_relativity&amp;siteId=691113321&amp;individualId=12000007" TargetMode="External"/><Relationship Id="rId38" Type="http://schemas.openxmlformats.org/officeDocument/2006/relationships/hyperlink" Target="https://www.ancestry.co.uk/family-tree/person/tree/163868056/person/342296134107/facts" TargetMode="External"/><Relationship Id="rId46" Type="http://schemas.openxmlformats.org/officeDocument/2006/relationships/hyperlink" Target="https://www.ancestry.co.uk/family-tree/person/tree/163868056/person/342132992970/facts" TargetMode="External"/><Relationship Id="rId59" Type="http://schemas.openxmlformats.org/officeDocument/2006/relationships/hyperlink" Target="https://www.ancestry.co.uk/family-tree/person/tree/163868056/person/342132992970/facts" TargetMode="External"/><Relationship Id="rId20" Type="http://schemas.openxmlformats.org/officeDocument/2006/relationships/hyperlink" Target="https://www.ancestry.co.uk/discoveryui-matches/compare/50a7c5ef-9e94-44be-a86a-5736956a97f2/with/32840bc5-a4c1-43f7-b128-a900a96180ba" TargetMode="External"/><Relationship Id="rId41" Type="http://schemas.openxmlformats.org/officeDocument/2006/relationships/hyperlink" Target="https://www.ancestry.co.uk/discoveryui-matches/compare/8955cf51-8070-4a51-8674-b7f01b347aed/with/7772e778-b2bb-4197-862f-6e1ead880bb8" TargetMode="External"/><Relationship Id="rId54" Type="http://schemas.openxmlformats.org/officeDocument/2006/relationships/hyperlink" Target="https://www.ancestry.co.uk/family-tree/person/tree/163868056/person/342296134124/facts" TargetMode="External"/><Relationship Id="rId62" Type="http://schemas.openxmlformats.org/officeDocument/2006/relationships/hyperlink" Target="https://www.ancestry.co.uk/discoveryui-matches/compare/8955cf51-8070-4a51-8674-b7f01b347aed/with/d8856b3b-5dfb-11ee-b8bb-0e3f96da1e4d" TargetMode="External"/><Relationship Id="rId1" Type="http://schemas.openxmlformats.org/officeDocument/2006/relationships/hyperlink" Target="https://www.ancestry.co.uk/family-tree/person/tree/163868056/person/342132992970/facts" TargetMode="External"/><Relationship Id="rId6" Type="http://schemas.openxmlformats.org/officeDocument/2006/relationships/hyperlink" Target="https://www.ancestry.co.uk/family-tree/person/tree/163868056/person/342296134107/facts" TargetMode="External"/><Relationship Id="rId15" Type="http://schemas.openxmlformats.org/officeDocument/2006/relationships/hyperlink" Target="https://www.ancestry.co.uk/family-tree/tree/163868056/family?cfpid=342373198887" TargetMode="External"/><Relationship Id="rId23" Type="http://schemas.openxmlformats.org/officeDocument/2006/relationships/hyperlink" Target="https://www.ancestry.co.uk/discoveryui-matches/compare/8955CF51-8070-4A51-8674-B7F01B347AED/with/E257EA5C-044B-4FAA-8DCD-4A4E8E8624F5" TargetMode="External"/><Relationship Id="rId28" Type="http://schemas.openxmlformats.org/officeDocument/2006/relationships/hyperlink" Target="https://dnapainter.com/tools/sharedcmv4/10?fbclid=IwAR3wqfKWVRq1DI_x4i7OjYx5ayGhdwQu5Tj-9K3u_CVvBxgEWwX7fHipJPs" TargetMode="External"/><Relationship Id="rId36" Type="http://schemas.openxmlformats.org/officeDocument/2006/relationships/hyperlink" Target="https://www.ancestry.co.uk/discoveryui-matches/compare/8955cf51-8070-4a51-8674-b7f01b347aed/with/7772e778-b2bb-4197-862f-6e1ead880bb8" TargetMode="External"/><Relationship Id="rId49" Type="http://schemas.openxmlformats.org/officeDocument/2006/relationships/hyperlink" Target="https://www.ancestry.co.uk/family-tree/person/tree/163868056/person/342296134124/facts" TargetMode="External"/><Relationship Id="rId57" Type="http://schemas.openxmlformats.org/officeDocument/2006/relationships/hyperlink" Target="https://www.ancestry.co.uk/family-tree/tree/163868056/family/pedigree?cfpid=342319348832" TargetMode="External"/><Relationship Id="rId10" Type="http://schemas.openxmlformats.org/officeDocument/2006/relationships/hyperlink" Target="https://www.ancestry.co.uk/family-tree/person/tree/163868056/person/342330985564/facts" TargetMode="External"/><Relationship Id="rId31" Type="http://schemas.openxmlformats.org/officeDocument/2006/relationships/hyperlink" Target="https://www.ancestry.co.uk/family-tree/person/tree/163868056/person/342296134124/facts" TargetMode="External"/><Relationship Id="rId44" Type="http://schemas.openxmlformats.org/officeDocument/2006/relationships/hyperlink" Target="https://www.ancestry.co.uk/family-tree/person/tree/163868056/person/342296134107/facts" TargetMode="External"/><Relationship Id="rId52" Type="http://schemas.openxmlformats.org/officeDocument/2006/relationships/hyperlink" Target="https://www.ancestry.co.uk/family-tree/person/tree/163868056/person/342132992970/facts" TargetMode="External"/><Relationship Id="rId60" Type="http://schemas.openxmlformats.org/officeDocument/2006/relationships/hyperlink" Target="https://www.ancestry.co.uk/family-tree/person/tree/163868056/person/342296134107/facts" TargetMode="External"/><Relationship Id="rId4" Type="http://schemas.openxmlformats.org/officeDocument/2006/relationships/hyperlink" Target="https://www.ancestry.co.uk/family-tree/person/tree/163868056/person/342330985383/facts" TargetMode="External"/><Relationship Id="rId9" Type="http://schemas.openxmlformats.org/officeDocument/2006/relationships/hyperlink" Target="https://www.ancestry.co.uk/family-tree/person/tree/163868056/person/342296134124/facts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ncestry.co.uk/family-tree/person/tree/163868056/person/342133405267/facts" TargetMode="External"/><Relationship Id="rId2" Type="http://schemas.openxmlformats.org/officeDocument/2006/relationships/hyperlink" Target="https://www.ancestry.co.uk/family-tree/person/tree/163868056/person/342133405266/facts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dnapainter.com/tools/sharedcmv4/6?fbclid=IwAR3wqfKWVRq1DI_x4i7OjYx5ayGhdwQu5Tj-9K3u_CVvBxgEWwX7fHipJPs" TargetMode="External"/><Relationship Id="rId5" Type="http://schemas.openxmlformats.org/officeDocument/2006/relationships/hyperlink" Target="https://www.ancestry.co.uk/discoveryui-matches/compare/50a7c5ef-9e94-44be-a86a-5736956a97f2/with/03893b2c-e235-42b9-bd6a-7c843f4fa019" TargetMode="External"/><Relationship Id="rId4" Type="http://schemas.openxmlformats.org/officeDocument/2006/relationships/hyperlink" Target="https://www.ancestry.co.uk/family-tree/tree/163868056/family/pedigree?cfpid=342513230626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ncestry.co.uk/family-tree/person/tree/163868056/person/342175108675/facts" TargetMode="External"/><Relationship Id="rId2" Type="http://schemas.openxmlformats.org/officeDocument/2006/relationships/hyperlink" Target="https://www.ancestry.co.uk/family-tree/tree/163868056/family?cfpid=342367319438" TargetMode="External"/><Relationship Id="rId1" Type="http://schemas.openxmlformats.org/officeDocument/2006/relationships/hyperlink" Target="https://www.ancestry.co.uk/family-tree/person/tree/163868056/person/342132992964/facts" TargetMode="External"/><Relationship Id="rId5" Type="http://schemas.openxmlformats.org/officeDocument/2006/relationships/hyperlink" Target="https://dnapainter.com/tools/sharedcmv4/8?fbclid=IwAR3wqfKWVRq1DI_x4i7OjYx5ayGhdwQu5Tj-9K3u_CVvBxgEWwX7fHipJPs" TargetMode="External"/><Relationship Id="rId4" Type="http://schemas.openxmlformats.org/officeDocument/2006/relationships/hyperlink" Target="https://www.ancestry.co.uk/discoveryui-matches/compare/50a7c5ef-9e94-44be-a86a-5736956a97f2/with/d3bc2ef1-027c-46c1-924a-a89b1812f07b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ncestry.co.uk/family-tree/person/tree/163868056/person/342475189743/facts" TargetMode="External"/><Relationship Id="rId2" Type="http://schemas.openxmlformats.org/officeDocument/2006/relationships/hyperlink" Target="https://www.ancestry.co.uk/family-tree/person/tree/163868056/person/342475189742/facts" TargetMode="External"/><Relationship Id="rId1" Type="http://schemas.openxmlformats.org/officeDocument/2006/relationships/hyperlink" Target="https://www.ancestry.co.uk/discoveryui-matches/compare/50a7c5ef-9e94-44be-a86a-5736956a97f2/with/97c188a0-7669-4775-b79d-c544e9f9c450" TargetMode="External"/><Relationship Id="rId5" Type="http://schemas.openxmlformats.org/officeDocument/2006/relationships/hyperlink" Target="https://dnapainter.com/tools/sharedcmv4/8?fbclid=IwAR3wqfKWVRq1DI_x4i7OjYx5ayGhdwQu5Tj-9K3u_CVvBxgEWwX7fHipJPs" TargetMode="External"/><Relationship Id="rId4" Type="http://schemas.openxmlformats.org/officeDocument/2006/relationships/hyperlink" Target="https://www.ancestry.co.uk/family-tree/tree/163868056/family/pedigree?cfpid=342475932457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ncestry.co.uk/family-tree/person/tree/163868056/person/342133397962/facts" TargetMode="External"/><Relationship Id="rId13" Type="http://schemas.openxmlformats.org/officeDocument/2006/relationships/hyperlink" Target="https://www.ancestry.co.uk/family-tree/person/tree/163868056/person/342132992964/facts" TargetMode="External"/><Relationship Id="rId18" Type="http://schemas.openxmlformats.org/officeDocument/2006/relationships/hyperlink" Target="https://www.ancestry.co.uk/family-tree/person/tree/163868056/person/342133397671/facts" TargetMode="External"/><Relationship Id="rId3" Type="http://schemas.openxmlformats.org/officeDocument/2006/relationships/hyperlink" Target="https://www.ancestry.co.uk/family-tree/person/tree/163868056/person/342133397963/facts" TargetMode="External"/><Relationship Id="rId21" Type="http://schemas.openxmlformats.org/officeDocument/2006/relationships/hyperlink" Target="https://www.ancestry.co.uk/family-tree/person/tree/163868056/person/342133397962/facts" TargetMode="External"/><Relationship Id="rId7" Type="http://schemas.openxmlformats.org/officeDocument/2006/relationships/hyperlink" Target="https://www.ancestry.co.uk/family-tree/person/tree/163868056/person/342132992970/facts" TargetMode="External"/><Relationship Id="rId12" Type="http://schemas.openxmlformats.org/officeDocument/2006/relationships/hyperlink" Target="https://dnapainter.com/tools/sharedcmv4/15?fbclid=IwAR3wqfKWVRq1DI_x4i7OjYx5ayGhdwQu5Tj-9K3u_CVvBxgEWwX7fHipJPs" TargetMode="External"/><Relationship Id="rId17" Type="http://schemas.openxmlformats.org/officeDocument/2006/relationships/hyperlink" Target="https://www.ancestry.co.uk/family-tree/person/tree/163868056/person/342133397429/facts" TargetMode="External"/><Relationship Id="rId25" Type="http://schemas.openxmlformats.org/officeDocument/2006/relationships/hyperlink" Target="https://www.ancestry.co.uk/family-tree/tree/163868056/family/pedigree?cfpid=342638407647" TargetMode="External"/><Relationship Id="rId2" Type="http://schemas.openxmlformats.org/officeDocument/2006/relationships/hyperlink" Target="https://www.ancestry.co.uk/family-tree/person/tree/163868056/person/342133397962/facts" TargetMode="External"/><Relationship Id="rId16" Type="http://schemas.openxmlformats.org/officeDocument/2006/relationships/hyperlink" Target="https://www.ancestry.co.uk/discoveryui-matches/compare/50a7c5ef-9e94-44be-a86a-5736956a97f2/with/ae9e5a2b-0245-4e68-9966-7ea691397ffa" TargetMode="External"/><Relationship Id="rId20" Type="http://schemas.openxmlformats.org/officeDocument/2006/relationships/hyperlink" Target="https://www.ancestry.co.uk/family-tree/person/tree/163868056/person/342132992970/facts" TargetMode="External"/><Relationship Id="rId1" Type="http://schemas.openxmlformats.org/officeDocument/2006/relationships/hyperlink" Target="https://www.ancestry.co.uk/family-tree/person/tree/163868056/person/342132992970/facts" TargetMode="External"/><Relationship Id="rId6" Type="http://schemas.openxmlformats.org/officeDocument/2006/relationships/hyperlink" Target="https://dnapainter.com/tools/sharedcmv4/8?fbclid=IwAR3wqfKWVRq1DI_x4i7OjYx5ayGhdwQu5Tj-9K3u_CVvBxgEWwX7fHipJPs" TargetMode="External"/><Relationship Id="rId11" Type="http://schemas.openxmlformats.org/officeDocument/2006/relationships/hyperlink" Target="https://www.ancestry.co.uk/discoveryui-matches/compare/8955CF51-8070-4A51-8674-B7F01B347AED/with/CF8213FB-437E-4D7C-9C8B-4C2655F81D27" TargetMode="External"/><Relationship Id="rId24" Type="http://schemas.openxmlformats.org/officeDocument/2006/relationships/hyperlink" Target="https://dnapainter.com/tools/sharedcmv4/14?fbclid=IwAR3wqfKWVRq1DI_x4i7OjYx5ayGhdwQu5Tj-9K3u_CVvBxgEWwX7fHipJPs" TargetMode="External"/><Relationship Id="rId5" Type="http://schemas.openxmlformats.org/officeDocument/2006/relationships/hyperlink" Target="https://www.ancestry.co.uk/discoveryui-matches/compare/8955CF51-8070-4A51-8674-B7F01B347AED/with/CF8213FB-437E-4D7C-9C8B-4C2655F81D27" TargetMode="External"/><Relationship Id="rId15" Type="http://schemas.openxmlformats.org/officeDocument/2006/relationships/hyperlink" Target="https://dnapainter.com/tools/sharedcmv4/19?fbclid=IwAR3wqfKWVRq1DI_x4i7OjYx5ayGhdwQu5Tj-9K3u_CVvBxgEWwX7fHipJPs" TargetMode="External"/><Relationship Id="rId23" Type="http://schemas.openxmlformats.org/officeDocument/2006/relationships/hyperlink" Target="https://www.ancestry.co.uk/discoveryui-matches/compare/8955cf51-8070-4a51-8674-b7f01b347aed/with/e69beae5-5863-40b4-b812-c2ba4dd1c07e" TargetMode="External"/><Relationship Id="rId10" Type="http://schemas.openxmlformats.org/officeDocument/2006/relationships/hyperlink" Target="https://www.ancestry.co.uk/family-tree/tree/163868056/family?cfpid=342294111440" TargetMode="External"/><Relationship Id="rId19" Type="http://schemas.openxmlformats.org/officeDocument/2006/relationships/hyperlink" Target="https://dnapainter.com/tools/sharedcmv4/19?fbclid=IwAR3wqfKWVRq1DI_x4i7OjYx5ayGhdwQu5Tj-9K3u_CVvBxgEWwX7fHipJPs" TargetMode="External"/><Relationship Id="rId4" Type="http://schemas.openxmlformats.org/officeDocument/2006/relationships/hyperlink" Target="https://www.ancestry.co.uk/family-tree/tree/163868056/family?cfpid=342294111440" TargetMode="External"/><Relationship Id="rId9" Type="http://schemas.openxmlformats.org/officeDocument/2006/relationships/hyperlink" Target="https://www.ancestry.co.uk/family-tree/person/tree/163868056/person/342133397963/facts" TargetMode="External"/><Relationship Id="rId14" Type="http://schemas.openxmlformats.org/officeDocument/2006/relationships/hyperlink" Target="https://www.ancestry.co.uk/family-tree/tree/163868056/family/pedigree?cfpid=342638401699" TargetMode="External"/><Relationship Id="rId22" Type="http://schemas.openxmlformats.org/officeDocument/2006/relationships/hyperlink" Target="https://www.ancestry.co.uk/family-tree/person/tree/163868056/person/342133397999/facts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ncestry.co.uk/family-tree/tree/163868056/family/pedigree?cfpid=342599612706" TargetMode="External"/><Relationship Id="rId3" Type="http://schemas.openxmlformats.org/officeDocument/2006/relationships/hyperlink" Target="https://dnapainter.com/tools/sharedcmv4/27?fbclid=IwAR3wqfKWVRq1DI_x4i7OjYx5ayGhdwQu5Tj-9K3u_CVvBxgEWwX7fHipJPs" TargetMode="External"/><Relationship Id="rId7" Type="http://schemas.openxmlformats.org/officeDocument/2006/relationships/hyperlink" Target="https://dnapainter.com/tools/sharedcmv4/21?fbclid=IwAR3wqfKWVRq1DI_x4i7OjYx5ayGhdwQu5Tj-9K3u_CVvBxgEWwX7fHipJPs" TargetMode="External"/><Relationship Id="rId12" Type="http://schemas.openxmlformats.org/officeDocument/2006/relationships/hyperlink" Target="https://www.ancestry.co.uk/family-tree/tree/163868056/family/pedigree?cfpid=342132994391" TargetMode="External"/><Relationship Id="rId2" Type="http://schemas.openxmlformats.org/officeDocument/2006/relationships/hyperlink" Target="https://www.ancestry.co.uk/discoveryui-matches/compare/50A7C5EF-9E94-44BE-A86A-5736956A97F2/with/402E5506-48FA-4961-9639-0FF080883FC5/matchesofmatches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www.ancestry.co.uk/discoveryui-matches/compare/50a7c5ef-9e94-44be-a86a-5736956a97f2/with/98a334df-81bf-4f8a-97e0-18b5b051feaa" TargetMode="External"/><Relationship Id="rId11" Type="http://schemas.openxmlformats.org/officeDocument/2006/relationships/hyperlink" Target="https://dnapainter.com/tools/sharedcmv4/21?fbclid=IwAR3wqfKWVRq1DI_x4i7OjYx5ayGhdwQu5Tj-9K3u_CVvBxgEWwX7fHipJPs" TargetMode="External"/><Relationship Id="rId5" Type="http://schemas.openxmlformats.org/officeDocument/2006/relationships/hyperlink" Target="https://www.ancestry.co.uk/family-tree/person/tree/163868056/person/342132992964/facts" TargetMode="External"/><Relationship Id="rId10" Type="http://schemas.openxmlformats.org/officeDocument/2006/relationships/hyperlink" Target="https://www.ancestry.co.uk/discoveryui-matches/compare/50a7c5ef-9e94-44be-a86a-5736956a97f2/with/2d786211-455e-476e-89f4-26ca2209ee68" TargetMode="External"/><Relationship Id="rId4" Type="http://schemas.openxmlformats.org/officeDocument/2006/relationships/hyperlink" Target="https://www.ancestry.co.uk/family-tree/tree/163868056/family/pedigree?cfpid=342132994222" TargetMode="External"/><Relationship Id="rId9" Type="http://schemas.openxmlformats.org/officeDocument/2006/relationships/hyperlink" Target="https://www.ancestry.co.uk/family-tree/person/tree/163868056/person/342132992964/facts" TargetMode="External"/></Relationships>
</file>

<file path=xl/worksheets/_rels/sheet19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ncestry.co.uk/discoveryui-matches/compare/50A7C5EF-9E94-44BE-A86A-5736956A97F2/with/6B32A72A-5F46-4437-A4F1-1A60ED431307" TargetMode="External"/><Relationship Id="rId21" Type="http://schemas.openxmlformats.org/officeDocument/2006/relationships/hyperlink" Target="https://www.ancestry.co.uk/family-tree/tree/163868056/family?cfpid=342330981310" TargetMode="External"/><Relationship Id="rId42" Type="http://schemas.openxmlformats.org/officeDocument/2006/relationships/hyperlink" Target="https://dnapainter.com/tools/sharedcmv4/12?fbclid=IwAR3wqfKWVRq1DI_x4i7OjYx5ayGhdwQu5Tj-9K3u_CVvBxgEWwX7fHipJPs" TargetMode="External"/><Relationship Id="rId47" Type="http://schemas.openxmlformats.org/officeDocument/2006/relationships/hyperlink" Target="https://dnapainter.com/tools/sharedcmv4/25?fbclid=IwAR3wqfKWVRq1DI_x4i7OjYx5ayGhdwQu5Tj-9K3u_CVvBxgEWwX7fHipJPs" TargetMode="External"/><Relationship Id="rId63" Type="http://schemas.openxmlformats.org/officeDocument/2006/relationships/hyperlink" Target="https://www.ancestry.co.uk/discoveryui-matches/compare/50a7c5ef-9e94-44be-a86a-5736956a97f2/with/138dbf7c-8448-47a9-82ed-d78d4bd77fd8" TargetMode="External"/><Relationship Id="rId68" Type="http://schemas.openxmlformats.org/officeDocument/2006/relationships/hyperlink" Target="https://www.ancestry.co.uk/family-tree/person/tree/163868056/person/342270667343/facts" TargetMode="External"/><Relationship Id="rId7" Type="http://schemas.openxmlformats.org/officeDocument/2006/relationships/hyperlink" Target="https://www.ancestry.co.uk/family-tree/person/tree/163868056/person/342270667123/facts" TargetMode="External"/><Relationship Id="rId2" Type="http://schemas.openxmlformats.org/officeDocument/2006/relationships/hyperlink" Target="https://www.ancestry.co.uk/family-tree/person/tree/163868056/person/342132992964/facts" TargetMode="External"/><Relationship Id="rId16" Type="http://schemas.openxmlformats.org/officeDocument/2006/relationships/hyperlink" Target="https://www.ancestry.co.uk/family-tree/tree/163868056/family?cfpid=342330981252" TargetMode="External"/><Relationship Id="rId29" Type="http://schemas.openxmlformats.org/officeDocument/2006/relationships/hyperlink" Target="https://www.ancestry.co.uk/family-tree/person/tree/163868056/person/342270667343/facts" TargetMode="External"/><Relationship Id="rId11" Type="http://schemas.openxmlformats.org/officeDocument/2006/relationships/hyperlink" Target="https://www.ancestry.co.uk/family-tree/person/tree/163868056/person/342270667343/facts" TargetMode="External"/><Relationship Id="rId24" Type="http://schemas.openxmlformats.org/officeDocument/2006/relationships/hyperlink" Target="https://www.ancestry.co.uk/family-tree/tree/163868056/family?cfpid=342330845943" TargetMode="External"/><Relationship Id="rId32" Type="http://schemas.openxmlformats.org/officeDocument/2006/relationships/hyperlink" Target="https://www.ancestry.co.uk/family-tree/person/tree/163868056/person/342270667343/facts" TargetMode="External"/><Relationship Id="rId37" Type="http://schemas.openxmlformats.org/officeDocument/2006/relationships/hyperlink" Target="https://www.ancestry.co.uk/family-tree/person/tree/163868056/person/342132992970/facts" TargetMode="External"/><Relationship Id="rId40" Type="http://schemas.openxmlformats.org/officeDocument/2006/relationships/hyperlink" Target="https://dnapainter.com/tools/sharedcmv4/7?fbclid=IwAR3wqfKWVRq1DI_x4i7OjYx5ayGhdwQu5Tj-9K3u_CVvBxgEWwX7fHipJPs" TargetMode="External"/><Relationship Id="rId45" Type="http://schemas.openxmlformats.org/officeDocument/2006/relationships/hyperlink" Target="https://dnapainter.com/tools/sharedcmv4/24?fbclid=IwAR3wqfKWVRq1DI_x4i7OjYx5ayGhdwQu5Tj-9K3u_CVvBxgEWwX7fHipJPs" TargetMode="External"/><Relationship Id="rId53" Type="http://schemas.openxmlformats.org/officeDocument/2006/relationships/hyperlink" Target="https://www.ancestry.co.uk/family-tree/tree/163868056/family/pedigree?cfpid=342593250109" TargetMode="External"/><Relationship Id="rId58" Type="http://schemas.openxmlformats.org/officeDocument/2006/relationships/hyperlink" Target="https://dnapainter.com/tools/sharedcmv4/6?fbclid=IwAR3wqfKWVRq1DI_x4i7OjYx5ayGhdwQu5Tj-9K3u_CVvBxgEWwX7fHipJPs" TargetMode="External"/><Relationship Id="rId66" Type="http://schemas.openxmlformats.org/officeDocument/2006/relationships/hyperlink" Target="https://www.ancestry.co.uk/family-tree/person/tree/163868056/person/342132992964/facts" TargetMode="External"/><Relationship Id="rId5" Type="http://schemas.openxmlformats.org/officeDocument/2006/relationships/hyperlink" Target="https://www.ancestry.co.uk/family-tree/person/tree/163868056/person/342270667123/facts" TargetMode="External"/><Relationship Id="rId61" Type="http://schemas.openxmlformats.org/officeDocument/2006/relationships/hyperlink" Target="https://www.ancestry.co.uk/family-tree/person/tree/163868056/person/342270667123/facts" TargetMode="External"/><Relationship Id="rId19" Type="http://schemas.openxmlformats.org/officeDocument/2006/relationships/hyperlink" Target="https://www.myheritage.com/dna/match/D-9E1FE62B-73EF-414E-8CC5-9A2285D9F64A-D-2A716B59-158F-4BF4-8BCC-DB7631F1A9C1/691113321?mode=shared" TargetMode="External"/><Relationship Id="rId14" Type="http://schemas.openxmlformats.org/officeDocument/2006/relationships/hyperlink" Target="https://www.ancestry.co.uk/family-tree/person/tree/163868056/person/342270667343/facts" TargetMode="External"/><Relationship Id="rId22" Type="http://schemas.openxmlformats.org/officeDocument/2006/relationships/hyperlink" Target="https://www.ancestry.co.uk/family-tree/tree/163868056/family?cfpid=342270655747" TargetMode="External"/><Relationship Id="rId27" Type="http://schemas.openxmlformats.org/officeDocument/2006/relationships/hyperlink" Target="https://www.ancestry.co.uk/discoveryui-matches/compare/50A7C5EF-9E94-44BE-A86A-5736956A97F2/with/CAD32EF3-DF09-490A-8322-68B68570CF32" TargetMode="External"/><Relationship Id="rId30" Type="http://schemas.openxmlformats.org/officeDocument/2006/relationships/hyperlink" Target="https://www.ancestry.co.uk/family-tree/tree/163868056/family?cfpid=342429895427&amp;fpid=342145429748&amp;usePUBJs=true" TargetMode="External"/><Relationship Id="rId35" Type="http://schemas.openxmlformats.org/officeDocument/2006/relationships/hyperlink" Target="https://www.ancestry.co.uk/family-tree/person/tree/163868056/person/342132992970/facts" TargetMode="External"/><Relationship Id="rId43" Type="http://schemas.openxmlformats.org/officeDocument/2006/relationships/hyperlink" Target="https://dnapainter.com/tools/sharedcmv4/16?fbclid=IwAR3wqfKWVRq1DI_x4i7OjYx5ayGhdwQu5Tj-9K3u_CVvBxgEWwX7fHipJPs" TargetMode="External"/><Relationship Id="rId48" Type="http://schemas.openxmlformats.org/officeDocument/2006/relationships/hyperlink" Target="https://www.ancestry.co.uk/family-tree/person/tree/163868056/person/342132992964/facts" TargetMode="External"/><Relationship Id="rId56" Type="http://schemas.openxmlformats.org/officeDocument/2006/relationships/hyperlink" Target="https://www.ancestry.co.uk/family-tree/person/tree/163868056/person/342270667343/facts" TargetMode="External"/><Relationship Id="rId64" Type="http://schemas.openxmlformats.org/officeDocument/2006/relationships/hyperlink" Target="https://dnapainter.com/tools/sharedcmv4/6?fbclid=IwAR3wqfKWVRq1DI_x4i7OjYx5ayGhdwQu5Tj-9K3u_CVvBxgEWwX7fHipJPs" TargetMode="External"/><Relationship Id="rId69" Type="http://schemas.openxmlformats.org/officeDocument/2006/relationships/hyperlink" Target="https://dnapainter.com/tools/sharedcmv4/7?fbclid=IwAR3wqfKWVRq1DI_x4i7OjYx5ayGhdwQu5Tj-9K3u_CVvBxgEWwX7fHipJPs" TargetMode="External"/><Relationship Id="rId8" Type="http://schemas.openxmlformats.org/officeDocument/2006/relationships/hyperlink" Target="https://www.ancestry.co.uk/family-tree/person/tree/163868056/person/342270667123/facts" TargetMode="External"/><Relationship Id="rId51" Type="http://schemas.openxmlformats.org/officeDocument/2006/relationships/hyperlink" Target="https://www.ancestry.co.uk/discoveryui-matches/compare/50a7c5ef-9e94-44be-a86a-5736956a97f2/with/f2d60324-305c-4532-8a54-f554f8195244" TargetMode="External"/><Relationship Id="rId3" Type="http://schemas.openxmlformats.org/officeDocument/2006/relationships/hyperlink" Target="https://www.ancestry.co.uk/family-tree/person/tree/163868056/person/342132992964/facts" TargetMode="External"/><Relationship Id="rId12" Type="http://schemas.openxmlformats.org/officeDocument/2006/relationships/hyperlink" Target="https://www.ancestry.co.uk/family-tree/person/tree/163868056/person/342270667343/facts" TargetMode="External"/><Relationship Id="rId17" Type="http://schemas.openxmlformats.org/officeDocument/2006/relationships/hyperlink" Target="https://www.myheritage.com/dna/match/D-9E1FE62B-73EF-414E-8CC5-9A2285D9F64A-D-24BFF4C5-7D7A-4371-A78E-9F070DDFB417/691113321?p=1&amp;ps=10&amp;search=sheila%20&amp;sort=total_shared_segments_length_in_cm&amp;siteId=691113321&amp;individualId=12000007" TargetMode="External"/><Relationship Id="rId25" Type="http://schemas.openxmlformats.org/officeDocument/2006/relationships/hyperlink" Target="https://www.ancestry.co.uk/family-tree/tree/163868056/family?cfpid=342330845747" TargetMode="External"/><Relationship Id="rId33" Type="http://schemas.openxmlformats.org/officeDocument/2006/relationships/hyperlink" Target="https://www.ancestry.co.uk/family-tree/person/tree/163868056/person/342429895294/facts" TargetMode="External"/><Relationship Id="rId38" Type="http://schemas.openxmlformats.org/officeDocument/2006/relationships/hyperlink" Target="https://www.ancestry.co.uk/family-tree/person/tree/163868056/person/342132992970/facts" TargetMode="External"/><Relationship Id="rId46" Type="http://schemas.openxmlformats.org/officeDocument/2006/relationships/hyperlink" Target="https://dnapainter.com/tools/sharedcmv4/25?fbclid=IwAR3wqfKWVRq1DI_x4i7OjYx5ayGhdwQu5Tj-9K3u_CVvBxgEWwX7fHipJPs" TargetMode="External"/><Relationship Id="rId59" Type="http://schemas.openxmlformats.org/officeDocument/2006/relationships/hyperlink" Target="https://www.ancestry.co.uk/family-tree/tree/163868056/family/pedigree?cfpid=342330845644" TargetMode="External"/><Relationship Id="rId67" Type="http://schemas.openxmlformats.org/officeDocument/2006/relationships/hyperlink" Target="https://www.ancestry.co.uk/family-tree/person/tree/163868056/person/342270667123/facts" TargetMode="External"/><Relationship Id="rId20" Type="http://schemas.openxmlformats.org/officeDocument/2006/relationships/hyperlink" Target="https://www.ancestry.co.uk/family-tree/tree/163868056/family?cfpid=342330981292" TargetMode="External"/><Relationship Id="rId41" Type="http://schemas.openxmlformats.org/officeDocument/2006/relationships/hyperlink" Target="https://dnapainter.com/tools/sharedcmv4/10?fbclid=IwAR3wqfKWVRq1DI_x4i7OjYx5ayGhdwQu5Tj-9K3u_CVvBxgEWwX7fHipJPs" TargetMode="External"/><Relationship Id="rId54" Type="http://schemas.openxmlformats.org/officeDocument/2006/relationships/hyperlink" Target="https://www.ancestry.co.uk/family-tree/person/tree/163868056/person/342132992964/facts" TargetMode="External"/><Relationship Id="rId62" Type="http://schemas.openxmlformats.org/officeDocument/2006/relationships/hyperlink" Target="https://www.ancestry.co.uk/family-tree/person/tree/163868056/person/342270667343/facts" TargetMode="External"/><Relationship Id="rId70" Type="http://schemas.openxmlformats.org/officeDocument/2006/relationships/hyperlink" Target="https://www.ancestry.co.uk/family-tree/tree/163868056/family/pedigree?cfpid=342593250347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www.ancestry.co.uk/family-tree/person/tree/163868056/person/342270667123/facts" TargetMode="External"/><Relationship Id="rId15" Type="http://schemas.openxmlformats.org/officeDocument/2006/relationships/hyperlink" Target="https://www.ancestry.co.uk/family-tree/person/tree/163868056/person/342270667343/facts" TargetMode="External"/><Relationship Id="rId23" Type="http://schemas.openxmlformats.org/officeDocument/2006/relationships/hyperlink" Target="https://www.ancestry.co.uk/discoveryui-matches/compare/50a7c5ef-9e94-44be-a86a-5736956a97f2/with/74d0e211-b6de-4ec8-9402-26eaa46438c6" TargetMode="External"/><Relationship Id="rId28" Type="http://schemas.openxmlformats.org/officeDocument/2006/relationships/hyperlink" Target="https://www.ancestry.co.uk/family-tree/person/tree/163868056/person/342270667123/facts" TargetMode="External"/><Relationship Id="rId36" Type="http://schemas.openxmlformats.org/officeDocument/2006/relationships/hyperlink" Target="https://www.ancestry.co.uk/family-tree/person/tree/163868056/person/342132992970/facts" TargetMode="External"/><Relationship Id="rId49" Type="http://schemas.openxmlformats.org/officeDocument/2006/relationships/hyperlink" Target="https://www.ancestry.co.uk/family-tree/person/tree/163868056/person/342270667123/facts" TargetMode="External"/><Relationship Id="rId57" Type="http://schemas.openxmlformats.org/officeDocument/2006/relationships/hyperlink" Target="https://www.ancestry.co.uk/discoveryui-matches/compare/50a7c5ef-9e94-44be-a86a-5736956a97f2/with/12b19fce-a8b5-4c20-ad8e-191fe71dda1b" TargetMode="External"/><Relationship Id="rId10" Type="http://schemas.openxmlformats.org/officeDocument/2006/relationships/hyperlink" Target="https://www.ancestry.co.uk/family-tree/person/tree/163868056/person/342270667343/facts" TargetMode="External"/><Relationship Id="rId31" Type="http://schemas.openxmlformats.org/officeDocument/2006/relationships/hyperlink" Target="https://www.ancestry.co.uk/family-tree/person/tree/163868056/person/342270667123/facts" TargetMode="External"/><Relationship Id="rId44" Type="http://schemas.openxmlformats.org/officeDocument/2006/relationships/hyperlink" Target="https://dnapainter.com/tools/sharedcmv4/24?fbclid=IwAR3wqfKWVRq1DI_x4i7OjYx5ayGhdwQu5Tj-9K3u_CVvBxgEWwX7fHipJPs" TargetMode="External"/><Relationship Id="rId52" Type="http://schemas.openxmlformats.org/officeDocument/2006/relationships/hyperlink" Target="https://dnapainter.com/tools/sharedcmv4/7?fbclid=IwAR3wqfKWVRq1DI_x4i7OjYx5ayGhdwQu5Tj-9K3u_CVvBxgEWwX7fHipJPs" TargetMode="External"/><Relationship Id="rId60" Type="http://schemas.openxmlformats.org/officeDocument/2006/relationships/hyperlink" Target="https://www.ancestry.co.uk/family-tree/person/tree/163868056/person/342132992964/facts" TargetMode="External"/><Relationship Id="rId65" Type="http://schemas.openxmlformats.org/officeDocument/2006/relationships/hyperlink" Target="https://www.ancestry.co.uk/family-tree/tree/163868056/family/pedigree?cfpid=342593250763" TargetMode="External"/><Relationship Id="rId4" Type="http://schemas.openxmlformats.org/officeDocument/2006/relationships/hyperlink" Target="https://www.ancestry.co.uk/family-tree/person/tree/163868056/person/342270667123/facts" TargetMode="External"/><Relationship Id="rId9" Type="http://schemas.openxmlformats.org/officeDocument/2006/relationships/hyperlink" Target="https://www.ancestry.co.uk/family-tree/person/tree/163868056/person/342270667123/facts" TargetMode="External"/><Relationship Id="rId13" Type="http://schemas.openxmlformats.org/officeDocument/2006/relationships/hyperlink" Target="https://www.ancestry.co.uk/family-tree/person/tree/163868056/person/342270667343/facts" TargetMode="External"/><Relationship Id="rId18" Type="http://schemas.openxmlformats.org/officeDocument/2006/relationships/hyperlink" Target="https://www.myheritage.com/dna/match/D-9E1FE62B-73EF-414E-8CC5-9A2285D9F64A-D-95ABBE68-6912-415C-96A3-6F2C00A9C82E/691113321?mode=shared" TargetMode="External"/><Relationship Id="rId39" Type="http://schemas.openxmlformats.org/officeDocument/2006/relationships/hyperlink" Target="https://dnapainter.com/tools/sharedcmv4/7?fbclid=IwAR3wqfKWVRq1DI_x4i7OjYx5ayGhdwQu5Tj-9K3u_CVvBxgEWwX7fHipJPs" TargetMode="External"/><Relationship Id="rId34" Type="http://schemas.openxmlformats.org/officeDocument/2006/relationships/hyperlink" Target="https://www.ancestry.co.uk/family-tree/person/tree/163868056/person/342132992970/facts" TargetMode="External"/><Relationship Id="rId50" Type="http://schemas.openxmlformats.org/officeDocument/2006/relationships/hyperlink" Target="https://www.ancestry.co.uk/family-tree/person/tree/163868056/person/342270667343/facts" TargetMode="External"/><Relationship Id="rId55" Type="http://schemas.openxmlformats.org/officeDocument/2006/relationships/hyperlink" Target="https://www.ancestry.co.uk/family-tree/person/tree/163868056/person/342270667123/facts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ncestry.co.uk/family-tree/person/tree/163868056/person/342338056885/facts" TargetMode="External"/><Relationship Id="rId3" Type="http://schemas.openxmlformats.org/officeDocument/2006/relationships/hyperlink" Target="https://www.ancestry.co.uk/family-tree/person/tree/163868056/person/342338056887/facts" TargetMode="External"/><Relationship Id="rId7" Type="http://schemas.openxmlformats.org/officeDocument/2006/relationships/hyperlink" Target="https://www.ancestry.co.uk/family-tree/person/tree/163868056/person/342132992964/facts" TargetMode="External"/><Relationship Id="rId12" Type="http://schemas.openxmlformats.org/officeDocument/2006/relationships/hyperlink" Target="https://www.ancestry.co.uk/family-tree/tree/163868056/family?cfpid=342593251038" TargetMode="External"/><Relationship Id="rId2" Type="http://schemas.openxmlformats.org/officeDocument/2006/relationships/hyperlink" Target="https://www.ancestry.co.uk/family-tree/person/tree/163868056/person/342338056885/facts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dnapainter.com/tools/sharedcmv4/7?fbclid=IwAR3wqfKWVRq1DI_x4i7OjYx5ayGhdwQu5Tj-9K3u_CVvBxgEWwX7fHipJPs" TargetMode="External"/><Relationship Id="rId11" Type="http://schemas.openxmlformats.org/officeDocument/2006/relationships/hyperlink" Target="https://dnapainter.com/tools/sharedcmv4/7?fbclid=IwAR3wqfKWVRq1DI_x4i7OjYx5ayGhdwQu5Tj-9K3u_CVvBxgEWwX7fHipJPs" TargetMode="External"/><Relationship Id="rId5" Type="http://schemas.openxmlformats.org/officeDocument/2006/relationships/hyperlink" Target="https://www.ancestry.co.uk/discoveryui-matches/compare/50A7C5EF-9E94-44BE-A86A-5736956A97F2/with/E9F465E5-6F70-42F9-86BF-22ABF2FACA8C" TargetMode="External"/><Relationship Id="rId10" Type="http://schemas.openxmlformats.org/officeDocument/2006/relationships/hyperlink" Target="https://www.ancestry.co.uk/discoveryui-matches/compare/50A7C5EF-9E94-44BE-A86A-5736956A97F2/with/E9F465E5-6F70-42F9-86BF-22ABF2FACA8C" TargetMode="External"/><Relationship Id="rId4" Type="http://schemas.openxmlformats.org/officeDocument/2006/relationships/hyperlink" Target="https://www.ancestry.co.uk/family-tree/tree/163868056/family?cfpid=342442232722" TargetMode="External"/><Relationship Id="rId9" Type="http://schemas.openxmlformats.org/officeDocument/2006/relationships/hyperlink" Target="https://www.ancestry.co.uk/family-tree/person/tree/163868056/person/342338056887/facts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ncestry.co.uk/family-tree/person/tree/163868056/person/342133003172/facts" TargetMode="External"/><Relationship Id="rId2" Type="http://schemas.openxmlformats.org/officeDocument/2006/relationships/hyperlink" Target="https://www.ancestry.co.uk/family-tree/person/tree/163868056/person/342133003171/facts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dnapainter.com/tools/sharedcmv4/7?fbclid=IwAR3wqfKWVRq1DI_x4i7OjYx5ayGhdwQu5Tj-9K3u_CVvBxgEWwX7fHipJPs" TargetMode="External"/><Relationship Id="rId5" Type="http://schemas.openxmlformats.org/officeDocument/2006/relationships/hyperlink" Target="https://www.ancestry.co.uk/discoveryui-matches/compare/50A7C5EF-9E94-44BE-A86A-5736956A97F2/with/C11BFB2A-3DC1-47D1-8C09-AD9BC9E6DDA7" TargetMode="External"/><Relationship Id="rId4" Type="http://schemas.openxmlformats.org/officeDocument/2006/relationships/hyperlink" Target="https://www.ancestry.co.uk/family-tree/tree/163868056/family?cfpid=342381994615" TargetMode="External"/></Relationships>
</file>

<file path=xl/worksheets/_rels/sheet2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ncestry.co.uk/family-tree/person/tree/163868056/person/342212805132/facts" TargetMode="External"/><Relationship Id="rId18" Type="http://schemas.openxmlformats.org/officeDocument/2006/relationships/hyperlink" Target="https://www.ancestry.co.uk/family-tree/tree/163868056/family?cfpid=342286428636" TargetMode="External"/><Relationship Id="rId26" Type="http://schemas.openxmlformats.org/officeDocument/2006/relationships/hyperlink" Target="https://dnapainter.com/tools/sharedcmv4/7?fbclid=IwAR3wqfKWVRq1DI_x4i7OjYx5ayGhdwQu5Tj-9K3u_CVvBxgEWwX7fHipJPs" TargetMode="External"/><Relationship Id="rId39" Type="http://schemas.openxmlformats.org/officeDocument/2006/relationships/hyperlink" Target="https://www.ancestry.co.uk/family-tree/person/tree/163868056/person/342212805118/facts" TargetMode="External"/><Relationship Id="rId21" Type="http://schemas.openxmlformats.org/officeDocument/2006/relationships/hyperlink" Target="https://www.myheritage.com/dna/match/D-9E1FE62B-73EF-414E-8CC5-9A2285D9F64A-D-2BD16143-64F0-4365-99E2-EFE568F4A35D/691113321?p=1&amp;ps=10&amp;search=lynda&amp;sort=total_shared_segments_length_in_cm&amp;filter_by_labels=favorite&amp;siteId=691113321&amp;individualId=12000007" TargetMode="External"/><Relationship Id="rId34" Type="http://schemas.openxmlformats.org/officeDocument/2006/relationships/hyperlink" Target="https://www.ancestry.co.uk/discoveryui-matches/compare/50a7c5ef-9e94-44be-a86a-5736956a97f2/with/f6c8b3e1-e6db-491f-ba3d-eecb7ee5e876" TargetMode="External"/><Relationship Id="rId42" Type="http://schemas.openxmlformats.org/officeDocument/2006/relationships/hyperlink" Target="https://www.ancestry.co.uk/family-tree/tree/163868056/family?cfpid=342406992409" TargetMode="External"/><Relationship Id="rId7" Type="http://schemas.openxmlformats.org/officeDocument/2006/relationships/hyperlink" Target="https://www.ancestry.co.uk/family-tree/person/tree/163868056/person/342212805118/facts" TargetMode="External"/><Relationship Id="rId2" Type="http://schemas.openxmlformats.org/officeDocument/2006/relationships/hyperlink" Target="https://www.ancestry.co.uk/family-tree/person/tree/163868056/person/342132992964/facts" TargetMode="External"/><Relationship Id="rId16" Type="http://schemas.openxmlformats.org/officeDocument/2006/relationships/hyperlink" Target="https://www.ancestry.co.uk/family-tree/tree/163868056/family?cfpid=342286428678" TargetMode="External"/><Relationship Id="rId20" Type="http://schemas.openxmlformats.org/officeDocument/2006/relationships/hyperlink" Target="https://www.ancestry.co.uk/family-tree/tree/163868056/family?cfpid=342338689569" TargetMode="External"/><Relationship Id="rId29" Type="http://schemas.openxmlformats.org/officeDocument/2006/relationships/hyperlink" Target="https://dnapainter.com/tools/sharedcmv4/20?fbclid=IwAR3wqfKWVRq1DI_x4i7OjYx5ayGhdwQu5Tj-9K3u_CVvBxgEWwX7fHipJPs" TargetMode="External"/><Relationship Id="rId41" Type="http://schemas.openxmlformats.org/officeDocument/2006/relationships/hyperlink" Target="https://dnapainter.com/tools/sharedcmv4/16?fbclid=IwAR3wqfKWVRq1DI_x4i7OjYx5ayGhdwQu5Tj-9K3u_CVvBxgEWwX7fHipJPs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www.ancestry.co.uk/family-tree/person/tree/163868056/person/342212805118/facts" TargetMode="External"/><Relationship Id="rId11" Type="http://schemas.openxmlformats.org/officeDocument/2006/relationships/hyperlink" Target="https://www.ancestry.co.uk/family-tree/person/tree/163868056/person/342212805132/facts" TargetMode="External"/><Relationship Id="rId24" Type="http://schemas.openxmlformats.org/officeDocument/2006/relationships/hyperlink" Target="https://www.ancestry.co.uk/family-tree/tree/163868056/family?cfpid=342286751989" TargetMode="External"/><Relationship Id="rId32" Type="http://schemas.openxmlformats.org/officeDocument/2006/relationships/hyperlink" Target="https://www.ancestry.co.uk/family-tree/person/tree/163868056/person/342132992964/facts" TargetMode="External"/><Relationship Id="rId37" Type="http://schemas.openxmlformats.org/officeDocument/2006/relationships/hyperlink" Target="https://www.ancestry.co.uk/family-tree/tree/163868056/family/pedigree?cfpid=342612884579" TargetMode="External"/><Relationship Id="rId40" Type="http://schemas.openxmlformats.org/officeDocument/2006/relationships/hyperlink" Target="https://www.ancestry.co.uk/family-tree/person/tree/163868056/person/342212805132/facts" TargetMode="External"/><Relationship Id="rId5" Type="http://schemas.openxmlformats.org/officeDocument/2006/relationships/hyperlink" Target="https://www.ancestry.co.uk/family-tree/person/tree/163868056/person/342132992970/facts" TargetMode="External"/><Relationship Id="rId15" Type="http://schemas.openxmlformats.org/officeDocument/2006/relationships/hyperlink" Target="https://www.ancestry.co.uk/family-tree/person/tree/163868056/person/342212805132/facts" TargetMode="External"/><Relationship Id="rId23" Type="http://schemas.openxmlformats.org/officeDocument/2006/relationships/hyperlink" Target="https://www.ancestry.co.uk/discoveryui-matches/compare/8955cf51-8070-4a51-8674-b7f01b347aed/with/e0929a83-748c-48ae-a633-727ef49c2688" TargetMode="External"/><Relationship Id="rId28" Type="http://schemas.openxmlformats.org/officeDocument/2006/relationships/hyperlink" Target="https://dnapainter.com/tools/sharedcmv4/10?fbclid=IwAR3wqfKWVRq1DI_x4i7OjYx5ayGhdwQu5Tj-9K3u_CVvBxgEWwX7fHipJPs" TargetMode="External"/><Relationship Id="rId36" Type="http://schemas.openxmlformats.org/officeDocument/2006/relationships/hyperlink" Target="https://www.ancestry.co.uk/family-tree/person/tree/163868056/person/342212805118/facts" TargetMode="External"/><Relationship Id="rId10" Type="http://schemas.openxmlformats.org/officeDocument/2006/relationships/hyperlink" Target="https://www.ancestry.co.uk/family-tree/person/tree/163868056/person/342212805118/facts" TargetMode="External"/><Relationship Id="rId19" Type="http://schemas.openxmlformats.org/officeDocument/2006/relationships/hyperlink" Target="https://www.ancestry.co.uk/discoveryui-matches/compare/8955cf51-8070-4a51-8674-b7f01b347aed/with/a6530f8a-00d0-43b6-82a8-051e82448fc9" TargetMode="External"/><Relationship Id="rId31" Type="http://schemas.openxmlformats.org/officeDocument/2006/relationships/hyperlink" Target="https://dnapainter.com/tools/sharedcmv4/26?fbclid=IwAR3wqfKWVRq1DI_x4i7OjYx5ayGhdwQu5Tj-9K3u_CVvBxgEWwX7fHipJPs" TargetMode="External"/><Relationship Id="rId44" Type="http://schemas.openxmlformats.org/officeDocument/2006/relationships/hyperlink" Target="https://dnapainter.com/tools/sharedcmv4/21?fbclid=IwAR3wqfKWVRq1DI_x4i7OjYx5ayGhdwQu5Tj-9K3u_CVvBxgEWwX7fHipJPs" TargetMode="External"/><Relationship Id="rId4" Type="http://schemas.openxmlformats.org/officeDocument/2006/relationships/hyperlink" Target="https://www.ancestry.co.uk/family-tree/person/tree/163868056/person/342132992970/facts" TargetMode="External"/><Relationship Id="rId9" Type="http://schemas.openxmlformats.org/officeDocument/2006/relationships/hyperlink" Target="https://www.ancestry.co.uk/family-tree/person/tree/163868056/person/342212805118/facts" TargetMode="External"/><Relationship Id="rId14" Type="http://schemas.openxmlformats.org/officeDocument/2006/relationships/hyperlink" Target="https://www.ancestry.co.uk/family-tree/person/tree/163868056/person/342212805132/facts" TargetMode="External"/><Relationship Id="rId22" Type="http://schemas.openxmlformats.org/officeDocument/2006/relationships/hyperlink" Target="https://www.ancestry.co.uk/family-tree/tree/163868056/family?cfpid=342287050490" TargetMode="External"/><Relationship Id="rId27" Type="http://schemas.openxmlformats.org/officeDocument/2006/relationships/hyperlink" Target="https://dnapainter.com/tools/sharedcmv4/7?fbclid=IwAR3wqfKWVRq1DI_x4i7OjYx5ayGhdwQu5Tj-9K3u_CVvBxgEWwX7fHipJPs" TargetMode="External"/><Relationship Id="rId30" Type="http://schemas.openxmlformats.org/officeDocument/2006/relationships/hyperlink" Target="https://dnapainter.com/tools/sharedcmv4/24?fbclid=IwAR3wqfKWVRq1DI_x4i7OjYx5ayGhdwQu5Tj-9K3u_CVvBxgEWwX7fHipJPs" TargetMode="External"/><Relationship Id="rId35" Type="http://schemas.openxmlformats.org/officeDocument/2006/relationships/hyperlink" Target="https://dnapainter.com/tools/sharedcmv4/9?fbclid=IwAR3wqfKWVRq1DI_x4i7OjYx5ayGhdwQu5Tj-9K3u_CVvBxgEWwX7fHipJPs" TargetMode="External"/><Relationship Id="rId43" Type="http://schemas.openxmlformats.org/officeDocument/2006/relationships/hyperlink" Target="https://www.ancestry.co.uk/discoveryui-matches/compare/8955cf51-8070-4a51-8674-b7f01b347aed/with/1e1e4828-efa5-45b2-8801-97c9b9474e4f" TargetMode="External"/><Relationship Id="rId8" Type="http://schemas.openxmlformats.org/officeDocument/2006/relationships/hyperlink" Target="https://www.ancestry.co.uk/family-tree/person/tree/163868056/person/342212805118/facts" TargetMode="External"/><Relationship Id="rId3" Type="http://schemas.openxmlformats.org/officeDocument/2006/relationships/hyperlink" Target="https://www.ancestry.co.uk/family-tree/person/tree/163868056/person/342132992970/facts" TargetMode="External"/><Relationship Id="rId12" Type="http://schemas.openxmlformats.org/officeDocument/2006/relationships/hyperlink" Target="https://www.ancestry.co.uk/family-tree/person/tree/163868056/person/342212805132/facts" TargetMode="External"/><Relationship Id="rId17" Type="http://schemas.openxmlformats.org/officeDocument/2006/relationships/hyperlink" Target="https://www.ancestry.co.uk/discoveryui-matches/compare/8955cf51-8070-4a51-8674-b7f01b347aed/with/386c820d-3ddc-4343-8f64-cd639a4bf280" TargetMode="External"/><Relationship Id="rId25" Type="http://schemas.openxmlformats.org/officeDocument/2006/relationships/hyperlink" Target="https://www.ancestry.co.uk/discoveryui-matches/compare/50A7C5EF-9E94-44BE-A86A-5736956A97F2/with/165EA9FB-6EEA-4962-8104-373493D603E1" TargetMode="External"/><Relationship Id="rId33" Type="http://schemas.openxmlformats.org/officeDocument/2006/relationships/hyperlink" Target="https://www.ancestry.co.uk/family-tree/person/tree/163868056/person/342612884810/facts" TargetMode="External"/><Relationship Id="rId38" Type="http://schemas.openxmlformats.org/officeDocument/2006/relationships/hyperlink" Target="https://www.ancestry.co.uk/family-tree/person/tree/163868056/person/342132992970/facts" TargetMode="External"/></Relationships>
</file>

<file path=xl/worksheets/_rels/sheet2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ncestry.co.uk/family-tree/person/tree/163868056/person/342244790312/facts" TargetMode="External"/><Relationship Id="rId18" Type="http://schemas.openxmlformats.org/officeDocument/2006/relationships/hyperlink" Target="https://www.ancestry.co.uk/family-tree/person/tree/163868056/person/342244790312/facts" TargetMode="External"/><Relationship Id="rId26" Type="http://schemas.openxmlformats.org/officeDocument/2006/relationships/hyperlink" Target="https://www.ancestry.co.uk/discoveryui-matches/compare/50A7C5EF-9E94-44BE-A86A-5736956A97F2/with/F1D547B6-B01D-406D-9B18-026FCB51FCEA" TargetMode="External"/><Relationship Id="rId39" Type="http://schemas.openxmlformats.org/officeDocument/2006/relationships/hyperlink" Target="https://www.ancestry.co.uk/family-tree/person/tree/163868056/person/342132992964/facts" TargetMode="External"/><Relationship Id="rId21" Type="http://schemas.openxmlformats.org/officeDocument/2006/relationships/hyperlink" Target="https://www.ancestry.co.uk/family-tree/tree/163868056/family?cfpid=342244792088" TargetMode="External"/><Relationship Id="rId34" Type="http://schemas.openxmlformats.org/officeDocument/2006/relationships/hyperlink" Target="https://dnapainter.com/tools/sharedcmv4/25?fbclid=IwAR3wqfKWVRq1DI_x4i7OjYx5ayGhdwQu5Tj-9K3u_CVvBxgEWwX7fHipJPs" TargetMode="External"/><Relationship Id="rId42" Type="http://schemas.openxmlformats.org/officeDocument/2006/relationships/hyperlink" Target="https://www.ancestry.co.uk/discoveryui-matches/compare/50a7c5ef-9e94-44be-a86a-5736956a97f2/with/c00b58b7-58bf-471c-9f26-10023afd36d5" TargetMode="External"/><Relationship Id="rId47" Type="http://schemas.openxmlformats.org/officeDocument/2006/relationships/hyperlink" Target="https://www.ancestry.co.uk/family-tree/person/tree/163868056/person/342244790312/facts" TargetMode="External"/><Relationship Id="rId50" Type="http://schemas.openxmlformats.org/officeDocument/2006/relationships/hyperlink" Target="https://dnapainter.com/tools/sharedcmv4/13?fbclid=IwAR3wqfKWVRq1DI_x4i7OjYx5ayGhdwQu5Tj-9K3u_CVvBxgEWwX7fHipJPs" TargetMode="External"/><Relationship Id="rId55" Type="http://schemas.openxmlformats.org/officeDocument/2006/relationships/hyperlink" Target="https://dnapainter.com/tools/sharedcmv4/25?fbclid=IwAR3wqfKWVRq1DI_x4i7OjYx5ayGhdwQu5Tj-9K3u_CVvBxgEWwX7fHipJPs" TargetMode="External"/><Relationship Id="rId7" Type="http://schemas.openxmlformats.org/officeDocument/2006/relationships/hyperlink" Target="https://www.ancestry.co.uk/family-tree/person/tree/163868056/person/342244790301/facts" TargetMode="External"/><Relationship Id="rId2" Type="http://schemas.openxmlformats.org/officeDocument/2006/relationships/hyperlink" Target="https://www.ancestry.co.uk/family-tree/person/tree/163868056/person/342132992964/facts" TargetMode="External"/><Relationship Id="rId16" Type="http://schemas.openxmlformats.org/officeDocument/2006/relationships/hyperlink" Target="https://www.ancestry.co.uk/family-tree/person/tree/163868056/person/342244790312/facts" TargetMode="External"/><Relationship Id="rId29" Type="http://schemas.openxmlformats.org/officeDocument/2006/relationships/hyperlink" Target="https://www.ancestry.co.uk/discoveryui-matches/compare/50A7C5EF-9E94-44BE-A86A-5736956A97F2/with/B36CA279-CAC4-45DE-A30F-44D23212C9D4" TargetMode="External"/><Relationship Id="rId11" Type="http://schemas.openxmlformats.org/officeDocument/2006/relationships/hyperlink" Target="https://www.ancestry.co.uk/family-tree/person/tree/163868056/person/342244790301/facts" TargetMode="External"/><Relationship Id="rId24" Type="http://schemas.openxmlformats.org/officeDocument/2006/relationships/hyperlink" Target="https://www.ancestry.co.uk/family-tree/tree/163868056/family?cfpid=342305612554" TargetMode="External"/><Relationship Id="rId32" Type="http://schemas.openxmlformats.org/officeDocument/2006/relationships/hyperlink" Target="https://dnapainter.com/tools/sharedcmv4/22?fbclid=IwAR3wqfKWVRq1DI_x4i7OjYx5ayGhdwQu5Tj-9K3u_CVvBxgEWwX7fHipJPs" TargetMode="External"/><Relationship Id="rId37" Type="http://schemas.openxmlformats.org/officeDocument/2006/relationships/hyperlink" Target="https://dnapainter.com/tools/sharedcmv4/52?fbclid=IwAR3wqfKWVRq1DI_x4i7OjYx5ayGhdwQu5Tj-9K3u_CVvBxgEWwX7fHipJPs" TargetMode="External"/><Relationship Id="rId40" Type="http://schemas.openxmlformats.org/officeDocument/2006/relationships/hyperlink" Target="https://www.ancestry.co.uk/family-tree/person/tree/163868056/person/342244790301/facts" TargetMode="External"/><Relationship Id="rId45" Type="http://schemas.openxmlformats.org/officeDocument/2006/relationships/hyperlink" Target="https://www.ancestry.co.uk/family-tree/person/tree/163868056/person/342132992964/facts" TargetMode="External"/><Relationship Id="rId53" Type="http://schemas.openxmlformats.org/officeDocument/2006/relationships/hyperlink" Target="https://www.ancestry.co.uk/family-tree/person/tree/163868056/person/342244790312/facts" TargetMode="External"/><Relationship Id="rId58" Type="http://schemas.openxmlformats.org/officeDocument/2006/relationships/hyperlink" Target="https://www.ancestry.co.uk/family-tree/person/tree/163868056/person/342244790312/facts" TargetMode="External"/><Relationship Id="rId5" Type="http://schemas.openxmlformats.org/officeDocument/2006/relationships/hyperlink" Target="https://www.ancestry.co.uk/family-tree/person/tree/163868056/person/342132992964/facts" TargetMode="External"/><Relationship Id="rId61" Type="http://schemas.openxmlformats.org/officeDocument/2006/relationships/hyperlink" Target="https://d.docs.live.net/D32613E9A4B09111/Documents/v" TargetMode="External"/><Relationship Id="rId19" Type="http://schemas.openxmlformats.org/officeDocument/2006/relationships/hyperlink" Target="https://www.ancestry.co.uk/family-tree/tree/163868056/family?cfpid=342442007842" TargetMode="External"/><Relationship Id="rId14" Type="http://schemas.openxmlformats.org/officeDocument/2006/relationships/hyperlink" Target="https://www.ancestry.co.uk/family-tree/person/tree/163868056/person/342244790312/facts" TargetMode="External"/><Relationship Id="rId22" Type="http://schemas.openxmlformats.org/officeDocument/2006/relationships/hyperlink" Target="https://www.ancestry.co.uk/family-tree/tree/163868056/family?cfpid=342244792727" TargetMode="External"/><Relationship Id="rId27" Type="http://schemas.openxmlformats.org/officeDocument/2006/relationships/hyperlink" Target="https://www.ancestry.co.uk/discoveryui-matches/compare/50A7C5EF-9E94-44BE-A86A-5736956A97F2/with/692A5693-1CBC-49F8-9A84-D0FA23DA0776" TargetMode="External"/><Relationship Id="rId30" Type="http://schemas.openxmlformats.org/officeDocument/2006/relationships/hyperlink" Target="https://you.23andme.com/profile/dc71144fd91a0265/" TargetMode="External"/><Relationship Id="rId35" Type="http://schemas.openxmlformats.org/officeDocument/2006/relationships/hyperlink" Target="https://dnapainter.com/tools/sharedcmv4/35?fbclid=IwAR3wqfKWVRq1DI_x4i7OjYx5ayGhdwQu5Tj-9K3u_CVvBxgEWwX7fHipJPs" TargetMode="External"/><Relationship Id="rId43" Type="http://schemas.openxmlformats.org/officeDocument/2006/relationships/hyperlink" Target="https://dnapainter.com/tools/sharedcmv4/11?fbclid=IwAR3wqfKWVRq1DI_x4i7OjYx5ayGhdwQu5Tj-9K3u_CVvBxgEWwX7fHipJPs" TargetMode="External"/><Relationship Id="rId48" Type="http://schemas.openxmlformats.org/officeDocument/2006/relationships/hyperlink" Target="https://www.ancestry.co.uk/family-tree/tree/163868056/family?cfpid=342519562876" TargetMode="External"/><Relationship Id="rId56" Type="http://schemas.openxmlformats.org/officeDocument/2006/relationships/hyperlink" Target="https://www.ancestry.co.uk/family-tree/person/tree/163868056/person/342132992964/facts" TargetMode="External"/><Relationship Id="rId8" Type="http://schemas.openxmlformats.org/officeDocument/2006/relationships/hyperlink" Target="https://www.ancestry.co.uk/family-tree/person/tree/163868056/person/342244790301/facts" TargetMode="External"/><Relationship Id="rId51" Type="http://schemas.openxmlformats.org/officeDocument/2006/relationships/hyperlink" Target="https://www.ancestry.co.uk/family-tree/person/tree/163868056/person/342132992964/facts" TargetMode="External"/><Relationship Id="rId3" Type="http://schemas.openxmlformats.org/officeDocument/2006/relationships/hyperlink" Target="https://www.ancestry.co.uk/family-tree/person/tree/163868056/person/342132992964/facts" TargetMode="External"/><Relationship Id="rId12" Type="http://schemas.openxmlformats.org/officeDocument/2006/relationships/hyperlink" Target="https://www.ancestry.co.uk/family-tree/person/tree/163868056/person/342244790301/facts" TargetMode="External"/><Relationship Id="rId17" Type="http://schemas.openxmlformats.org/officeDocument/2006/relationships/hyperlink" Target="https://www.ancestry.co.uk/family-tree/person/tree/163868056/person/342244790312/facts" TargetMode="External"/><Relationship Id="rId25" Type="http://schemas.openxmlformats.org/officeDocument/2006/relationships/hyperlink" Target="https://www.ancestry.co.uk/discoveryui-matches/compare/50A7C5EF-9E94-44BE-A86A-5736956A97F2/with/9C6C6804-1A6C-40CB-9E40-27AF6AEC47F1" TargetMode="External"/><Relationship Id="rId33" Type="http://schemas.openxmlformats.org/officeDocument/2006/relationships/hyperlink" Target="https://dnapainter.com/tools/sharedcmv4/22?fbclid=IwAR3wqfKWVRq1DI_x4i7OjYx5ayGhdwQu5Tj-9K3u_CVvBxgEWwX7fHipJPs" TargetMode="External"/><Relationship Id="rId38" Type="http://schemas.openxmlformats.org/officeDocument/2006/relationships/hyperlink" Target="https://www.myheritage.com/dna/match/D-F9099B9B-87A1-4274-827C-AF35BD245736-D-88FEB843-6D4C-4F17-8E0B-DD15AA3789C6/691113321?mode=shared" TargetMode="External"/><Relationship Id="rId46" Type="http://schemas.openxmlformats.org/officeDocument/2006/relationships/hyperlink" Target="https://www.ancestry.co.uk/family-tree/person/tree/163868056/person/342244790301/facts" TargetMode="External"/><Relationship Id="rId59" Type="http://schemas.openxmlformats.org/officeDocument/2006/relationships/hyperlink" Target="https://www.ancestry.co.uk/discoveryui-matches/compare/50a7c5ef-9e94-44be-a86a-5736956a97f2/with/5637c1b1-1105-4333-9fe7-5c03579757e7" TargetMode="External"/><Relationship Id="rId20" Type="http://schemas.openxmlformats.org/officeDocument/2006/relationships/hyperlink" Target="https://www.ancestry.co.uk/family-tree/tree/163868056/family?cfpid=342309062785" TargetMode="External"/><Relationship Id="rId41" Type="http://schemas.openxmlformats.org/officeDocument/2006/relationships/hyperlink" Target="https://www.ancestry.co.uk/family-tree/person/tree/163868056/person/342244790312/facts" TargetMode="External"/><Relationship Id="rId54" Type="http://schemas.openxmlformats.org/officeDocument/2006/relationships/hyperlink" Target="https://www.myheritage.com/dna/match/D-F9099B9B-87A1-4274-827C-AF35BD245736-D-F9F21A7B-5B53-4D7A-BF7B-C2C1195012F7/691113321?p=2&amp;ps=10&amp;sort=creation_time&amp;memberId=704364871&amp;index=0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www.ancestry.co.uk/family-tree/person/tree/163868056/person/342132992964/facts" TargetMode="External"/><Relationship Id="rId15" Type="http://schemas.openxmlformats.org/officeDocument/2006/relationships/hyperlink" Target="https://www.ancestry.co.uk/family-tree/person/tree/163868056/person/342244790312/facts" TargetMode="External"/><Relationship Id="rId23" Type="http://schemas.openxmlformats.org/officeDocument/2006/relationships/hyperlink" Target="https://www.ancestry.co.uk/family-tree/tree/163868056/family?cfpid=342244793855" TargetMode="External"/><Relationship Id="rId28" Type="http://schemas.openxmlformats.org/officeDocument/2006/relationships/hyperlink" Target="https://www.ancestry.co.uk/discoveryui-matches/compare/50A7C5EF-9E94-44BE-A86A-5736956A97F2/with/B86DED4F-3FCD-434B-8ADB-A803CA39C230" TargetMode="External"/><Relationship Id="rId36" Type="http://schemas.openxmlformats.org/officeDocument/2006/relationships/hyperlink" Target="https://dnapainter.com/tools/sharedcmv4/41?fbclid=IwAR3wqfKWVRq1DI_x4i7OjYx5ayGhdwQu5Tj-9K3u_CVvBxgEWwX7fHipJPs" TargetMode="External"/><Relationship Id="rId49" Type="http://schemas.openxmlformats.org/officeDocument/2006/relationships/hyperlink" Target="https://www.ancestry.co.uk/discoveryui-matches/compare/50A7C5EF-9E94-44BE-A86A-5736956A97F2/with/071D7AE0-0A76-49AE-B708-54EC3C52919A" TargetMode="External"/><Relationship Id="rId57" Type="http://schemas.openxmlformats.org/officeDocument/2006/relationships/hyperlink" Target="https://www.ancestry.co.uk/family-tree/person/tree/163868056/person/342244790301/facts" TargetMode="External"/><Relationship Id="rId10" Type="http://schemas.openxmlformats.org/officeDocument/2006/relationships/hyperlink" Target="https://www.ancestry.co.uk/family-tree/person/tree/163868056/person/342244790301/facts" TargetMode="External"/><Relationship Id="rId31" Type="http://schemas.openxmlformats.org/officeDocument/2006/relationships/hyperlink" Target="https://dnapainter.com/tools/sharedcmv4/10?fbclid=IwAR3wqfKWVRq1DI_x4i7OjYx5ayGhdwQu5Tj-9K3u_CVvBxgEWwX7fHipJPs" TargetMode="External"/><Relationship Id="rId44" Type="http://schemas.openxmlformats.org/officeDocument/2006/relationships/hyperlink" Target="https://www.ancestry.co.uk/family-tree/tree/163868056/family/pedigree?cfpid=342519563488" TargetMode="External"/><Relationship Id="rId52" Type="http://schemas.openxmlformats.org/officeDocument/2006/relationships/hyperlink" Target="https://www.ancestry.co.uk/family-tree/person/tree/163868056/person/342244790301/facts" TargetMode="External"/><Relationship Id="rId60" Type="http://schemas.openxmlformats.org/officeDocument/2006/relationships/hyperlink" Target="https://dnapainter.com/tools/sharedcmv4/26?fbclid=IwAR3wqfKWVRq1DI_x4i7OjYx5ayGhdwQu5Tj-9K3u_CVvBxgEWwX7fHipJPs" TargetMode="External"/><Relationship Id="rId4" Type="http://schemas.openxmlformats.org/officeDocument/2006/relationships/hyperlink" Target="https://www.ancestry.co.uk/family-tree/person/tree/163868056/person/342132992964/facts" TargetMode="External"/><Relationship Id="rId9" Type="http://schemas.openxmlformats.org/officeDocument/2006/relationships/hyperlink" Target="https://www.ancestry.co.uk/family-tree/person/tree/163868056/person/342244790301/facts" TargetMode="External"/></Relationships>
</file>

<file path=xl/worksheets/_rels/sheet2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ncestry.co.uk/family-tree/person/tree/163868056/person/342303073180/hints?_phsrc=ihI8018&amp;_phstart=default&amp;usePUBJs=true" TargetMode="External"/><Relationship Id="rId21" Type="http://schemas.openxmlformats.org/officeDocument/2006/relationships/hyperlink" Target="https://www.ancestry.co.uk/family-tree/person/tree/163868056/person/342376215790/facts" TargetMode="External"/><Relationship Id="rId42" Type="http://schemas.openxmlformats.org/officeDocument/2006/relationships/hyperlink" Target="https://www.ancestry.co.uk/family-tree/tree/163868056/family?cfpid=342303265571" TargetMode="External"/><Relationship Id="rId47" Type="http://schemas.openxmlformats.org/officeDocument/2006/relationships/hyperlink" Target="https://www.ancestry.co.uk/discoveryui-matches/compare/50a7c5ef-9e94-44be-a86a-5736956a97f2/with/44e360d2-4065-49a5-a658-25f16103bcdf/sharedmatches" TargetMode="External"/><Relationship Id="rId63" Type="http://schemas.openxmlformats.org/officeDocument/2006/relationships/hyperlink" Target="https://dnapainter.com/tools/sharedcmv4/11?fbclid=IwAR3wqfKWVRq1DI_x4i7OjYx5ayGhdwQu5Tj-9K3u_CVvBxgEWwX7fHipJPs" TargetMode="External"/><Relationship Id="rId68" Type="http://schemas.openxmlformats.org/officeDocument/2006/relationships/hyperlink" Target="https://www.ancestry.co.uk/family-tree/person/tree/163868056/person/342132992964/facts" TargetMode="External"/><Relationship Id="rId84" Type="http://schemas.openxmlformats.org/officeDocument/2006/relationships/hyperlink" Target="https://www.ancestry.co.uk/discoveryui-matches/compare/50A7C5EF-9E94-44BE-A86A-5736956A97F2/with/F35C784B-92A6-4FA7-9192-0117D4DDB291" TargetMode="External"/><Relationship Id="rId16" Type="http://schemas.openxmlformats.org/officeDocument/2006/relationships/hyperlink" Target="https://www.ancestry.co.uk/family-tree/person/tree/163868056/person/342376215791/facts" TargetMode="External"/><Relationship Id="rId11" Type="http://schemas.openxmlformats.org/officeDocument/2006/relationships/hyperlink" Target="https://www.ancestry.co.uk/family-tree/person/tree/163868056/person/342132992970/facts" TargetMode="External"/><Relationship Id="rId32" Type="http://schemas.openxmlformats.org/officeDocument/2006/relationships/hyperlink" Target="https://www.ancestry.co.uk/family-tree/person/tree/163868056/person/342303073174/facts" TargetMode="External"/><Relationship Id="rId37" Type="http://schemas.openxmlformats.org/officeDocument/2006/relationships/hyperlink" Target="https://www.ancestry.co.uk/family-tree/tree/163868056/family?cfpid=342376211821" TargetMode="External"/><Relationship Id="rId53" Type="http://schemas.openxmlformats.org/officeDocument/2006/relationships/hyperlink" Target="https://www.ancestry.co.uk/discoveryui-matches/compare/8955CF51-8070-4A51-8674-B7F01B347AED/with/132372C9-31DE-4EDF-8737-043C40AD9D5E" TargetMode="External"/><Relationship Id="rId58" Type="http://schemas.openxmlformats.org/officeDocument/2006/relationships/hyperlink" Target="https://dnapainter.com/tools/sharedcmv4/8?fbclid=IwAR3wqfKWVRq1DI_x4i7OjYx5ayGhdwQu5Tj-9K3u_CVvBxgEWwX7fHipJPs" TargetMode="External"/><Relationship Id="rId74" Type="http://schemas.openxmlformats.org/officeDocument/2006/relationships/hyperlink" Target="https://www.ancestry.co.uk/family-tree/person/tree/163868056/person/342132992964/facts" TargetMode="External"/><Relationship Id="rId79" Type="http://schemas.openxmlformats.org/officeDocument/2006/relationships/hyperlink" Target="https://dnapainter.com/tools/sharedcmv4/8?fbclid=IwAR3wqfKWVRq1DI_x4i7OjYx5ayGhdwQu5Tj-9K3u_CVvBxgEWwX7fHipJPs" TargetMode="External"/><Relationship Id="rId5" Type="http://schemas.openxmlformats.org/officeDocument/2006/relationships/hyperlink" Target="https://www.ancestry.co.uk/family-tree/person/tree/163868056/person/342132992964/facts" TargetMode="External"/><Relationship Id="rId19" Type="http://schemas.openxmlformats.org/officeDocument/2006/relationships/hyperlink" Target="https://www.ancestry.co.uk/family-tree/person/tree/163868056/person/342376215790/facts" TargetMode="External"/><Relationship Id="rId14" Type="http://schemas.openxmlformats.org/officeDocument/2006/relationships/hyperlink" Target="https://www.ancestry.co.uk/family-tree/person/tree/163868056/person/342376215791/facts" TargetMode="External"/><Relationship Id="rId22" Type="http://schemas.openxmlformats.org/officeDocument/2006/relationships/hyperlink" Target="https://www.ancestry.co.uk/family-tree/person/tree/163868056/person/342376215790/facts" TargetMode="External"/><Relationship Id="rId27" Type="http://schemas.openxmlformats.org/officeDocument/2006/relationships/hyperlink" Target="https://www.ancestry.co.uk/family-tree/person/tree/163868056/person/342303073180/hints?_phsrc=ihI8018&amp;_phstart=default&amp;usePUBJs=true" TargetMode="External"/><Relationship Id="rId30" Type="http://schemas.openxmlformats.org/officeDocument/2006/relationships/hyperlink" Target="https://www.ancestry.co.uk/family-tree/person/tree/163868056/person/342376215477/facts" TargetMode="External"/><Relationship Id="rId35" Type="http://schemas.openxmlformats.org/officeDocument/2006/relationships/hyperlink" Target="https://www.ancestry.co.uk/family-tree/person/tree/163868056/person/342376215189/facts" TargetMode="External"/><Relationship Id="rId43" Type="http://schemas.openxmlformats.org/officeDocument/2006/relationships/hyperlink" Target="https://www.ancestry.co.uk/family-tree/tree/163868056/family?cfpid=342376226198" TargetMode="External"/><Relationship Id="rId48" Type="http://schemas.openxmlformats.org/officeDocument/2006/relationships/hyperlink" Target="https://www.ancestry.co.uk/discoveryui-matches/compare/50A7C5EF-9E94-44BE-A86A-5736956A97F2/with/F808F5E6-2EBA-4744-85DF-6666CC1AA4C3" TargetMode="External"/><Relationship Id="rId56" Type="http://schemas.openxmlformats.org/officeDocument/2006/relationships/hyperlink" Target="https://www.myheritage.com/dna/match/D-F9099B9B-87A1-4274-827C-AF35BD245736-D-A12D9EB2-F740-4816-97CA-754AADC5AD32/691113321?p=1&amp;ps=10&amp;search=sarah%20freemantle&amp;sort=total_shared_segments_length_in_cm&amp;memberId=704364871" TargetMode="External"/><Relationship Id="rId64" Type="http://schemas.openxmlformats.org/officeDocument/2006/relationships/hyperlink" Target="https://dnapainter.com/tools/sharedcmv4/11?fbclid=IwAR3wqfKWVRq1DI_x4i7OjYx5ayGhdwQu5Tj-9K3u_CVvBxgEWwX7fHipJPs" TargetMode="External"/><Relationship Id="rId69" Type="http://schemas.openxmlformats.org/officeDocument/2006/relationships/hyperlink" Target="https://www.ancestry.co.uk/family-tree/person/tree/163868056/person/342303073180/hints?_phsrc=ihI8018&amp;_phstart=default&amp;usePUBJs=true" TargetMode="External"/><Relationship Id="rId77" Type="http://schemas.openxmlformats.org/officeDocument/2006/relationships/hyperlink" Target="https://www.ancestry.co.uk/family-tree/tree/163868056/family/pedigree?cfpid=342601084113" TargetMode="External"/><Relationship Id="rId8" Type="http://schemas.openxmlformats.org/officeDocument/2006/relationships/hyperlink" Target="https://www.ancestry.co.uk/family-tree/person/tree/163868056/person/342132992970/facts" TargetMode="External"/><Relationship Id="rId51" Type="http://schemas.openxmlformats.org/officeDocument/2006/relationships/hyperlink" Target="https://www.ancestry.co.uk/discoveryui-matches/compare/50A7C5EF-9E94-44BE-A86A-5736956A97F2/with/F35C784B-92A6-4FA7-9192-0117D4DDB291" TargetMode="External"/><Relationship Id="rId72" Type="http://schemas.openxmlformats.org/officeDocument/2006/relationships/hyperlink" Target="https://www.ancestry.co.uk/discoveryui-matches/compare/50a7c5ef-9e94-44be-a86a-5736956a97f2/with/aa35231d-0e68-4bb0-8483-3a2ecd4f79eb" TargetMode="External"/><Relationship Id="rId80" Type="http://schemas.openxmlformats.org/officeDocument/2006/relationships/hyperlink" Target="https://www.ancestry.co.uk/family-tree/person/tree/163868056/person/342132992964/facts" TargetMode="External"/><Relationship Id="rId85" Type="http://schemas.openxmlformats.org/officeDocument/2006/relationships/hyperlink" Target="https://dnapainter.com/tools/sharedcmv4/7?fbclid=IwAR3wqfKWVRq1DI_x4i7OjYx5ayGhdwQu5Tj-9K3u_CVvBxgEWwX7fHipJPs" TargetMode="External"/><Relationship Id="rId3" Type="http://schemas.openxmlformats.org/officeDocument/2006/relationships/hyperlink" Target="https://www.ancestry.co.uk/family-tree/person/tree/163868056/person/342132992964/facts" TargetMode="External"/><Relationship Id="rId12" Type="http://schemas.openxmlformats.org/officeDocument/2006/relationships/hyperlink" Target="https://www.ancestry.co.uk/family-tree/tree/163868056/family?cfpid=342376217974" TargetMode="External"/><Relationship Id="rId17" Type="http://schemas.openxmlformats.org/officeDocument/2006/relationships/hyperlink" Target="https://www.ancestry.co.uk/family-tree/person/tree/163868056/person/342376215791/facts" TargetMode="External"/><Relationship Id="rId25" Type="http://schemas.openxmlformats.org/officeDocument/2006/relationships/hyperlink" Target="https://www.ancestry.co.uk/family-tree/person/tree/163868056/person/342376215189/facts" TargetMode="External"/><Relationship Id="rId33" Type="http://schemas.openxmlformats.org/officeDocument/2006/relationships/hyperlink" Target="https://www.ancestry.co.uk/family-tree/person/tree/163868056/person/342303073174/facts" TargetMode="External"/><Relationship Id="rId38" Type="http://schemas.openxmlformats.org/officeDocument/2006/relationships/hyperlink" Target="https://www.ancestry.co.uk/family-tree/tree/163868056/family?cfpid=342303473454" TargetMode="External"/><Relationship Id="rId46" Type="http://schemas.openxmlformats.org/officeDocument/2006/relationships/hyperlink" Target="https://www.ancestry.co.uk/family-tree/tree/163868056/family?cfpid=342303265959" TargetMode="External"/><Relationship Id="rId59" Type="http://schemas.openxmlformats.org/officeDocument/2006/relationships/hyperlink" Target="https://dnapainter.com/tools/sharedcmv4/9?fbclid=IwAR3wqfKWVRq1DI_x4i7OjYx5ayGhdwQu5Tj-9K3u_CVvBxgEWwX7fHipJPs" TargetMode="External"/><Relationship Id="rId67" Type="http://schemas.openxmlformats.org/officeDocument/2006/relationships/hyperlink" Target="https://dnapainter.com/tools/sharedcmv4/17?fbclid=IwAR3wqfKWVRq1DI_x4i7OjYx5ayGhdwQu5Tj-9K3u_CVvBxgEWwX7fHipJPs" TargetMode="External"/><Relationship Id="rId20" Type="http://schemas.openxmlformats.org/officeDocument/2006/relationships/hyperlink" Target="https://www.ancestry.co.uk/family-tree/person/tree/163868056/person/342376215790/facts" TargetMode="External"/><Relationship Id="rId41" Type="http://schemas.openxmlformats.org/officeDocument/2006/relationships/hyperlink" Target="https://www.ancestry.co.uk/discoveryui-matches/compare/8955cf51-8070-4a51-8674-b7f01b347aed/with/0132012d-a590-4b19-804b-5fc2b18027dc" TargetMode="External"/><Relationship Id="rId54" Type="http://schemas.openxmlformats.org/officeDocument/2006/relationships/hyperlink" Target="https://www.myheritage.com/dna/match/D-9E1FE62B-73EF-414E-8CC5-9A2285D9F64A-D-8877FAE4-954A-415E-B4D0-7BB4D12511E0/691113321?p=1&amp;ps=10&amp;search=una&amp;sort=total_shared_segments_length_in_cm&amp;filter_by_labels=favorite&amp;siteId=691113321&amp;individualId=12000007" TargetMode="External"/><Relationship Id="rId62" Type="http://schemas.openxmlformats.org/officeDocument/2006/relationships/hyperlink" Target="https://dnapainter.com/tools/sharedcmv4/11?fbclid=IwAR3wqfKWVRq1DI_x4i7OjYx5ayGhdwQu5Tj-9K3u_CVvBxgEWwX7fHipJPs" TargetMode="External"/><Relationship Id="rId70" Type="http://schemas.openxmlformats.org/officeDocument/2006/relationships/hyperlink" Target="https://www.ancestry.co.uk/family-tree/person/tree/163868056/person/342303073174/facts" TargetMode="External"/><Relationship Id="rId75" Type="http://schemas.openxmlformats.org/officeDocument/2006/relationships/hyperlink" Target="https://www.ancestry.co.uk/family-tree/person/tree/163868056/person/342303073180/hints?_phsrc=ihI8018&amp;_phstart=default&amp;usePUBJs=true" TargetMode="External"/><Relationship Id="rId83" Type="http://schemas.openxmlformats.org/officeDocument/2006/relationships/hyperlink" Target="https://www.ancestry.co.uk/family-tree/tree/163868056/family/pedigree?cfpid=342590520484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www.ancestry.co.uk/family-tree/person/tree/163868056/person/342132992964/facts" TargetMode="External"/><Relationship Id="rId15" Type="http://schemas.openxmlformats.org/officeDocument/2006/relationships/hyperlink" Target="https://www.ancestry.co.uk/family-tree/person/tree/163868056/person/342376215791/facts" TargetMode="External"/><Relationship Id="rId23" Type="http://schemas.openxmlformats.org/officeDocument/2006/relationships/hyperlink" Target="https://www.ancestry.co.uk/family-tree/person/tree/163868056/person/342376215790/facts" TargetMode="External"/><Relationship Id="rId28" Type="http://schemas.openxmlformats.org/officeDocument/2006/relationships/hyperlink" Target="https://www.ancestry.co.uk/family-tree/person/tree/163868056/person/342303073180/hints?_phsrc=ihI8018&amp;_phstart=default&amp;usePUBJs=true" TargetMode="External"/><Relationship Id="rId36" Type="http://schemas.openxmlformats.org/officeDocument/2006/relationships/hyperlink" Target="https://www.ancestry.co.uk/family-tree/tree/163868056/family?cfpid=342376754518" TargetMode="External"/><Relationship Id="rId49" Type="http://schemas.openxmlformats.org/officeDocument/2006/relationships/hyperlink" Target="https://www.ancestry.co.uk/discoveryui-matches/compare/50A7C5EF-9E94-44BE-A86A-5736956A97F2/with/C6AC4CE6-8B6E-432D-8D97-627DEC8C6BD4" TargetMode="External"/><Relationship Id="rId57" Type="http://schemas.openxmlformats.org/officeDocument/2006/relationships/hyperlink" Target="https://dnapainter.com/tools/sharedcmv4/8?fbclid=IwAR3wqfKWVRq1DI_x4i7OjYx5ayGhdwQu5Tj-9K3u_CVvBxgEWwX7fHipJPs" TargetMode="External"/><Relationship Id="rId10" Type="http://schemas.openxmlformats.org/officeDocument/2006/relationships/hyperlink" Target="https://www.ancestry.co.uk/family-tree/person/tree/163868056/person/342132992970/facts" TargetMode="External"/><Relationship Id="rId31" Type="http://schemas.openxmlformats.org/officeDocument/2006/relationships/hyperlink" Target="https://www.ancestry.co.uk/family-tree/person/tree/163868056/person/342303073174/facts" TargetMode="External"/><Relationship Id="rId44" Type="http://schemas.openxmlformats.org/officeDocument/2006/relationships/hyperlink" Target="https://www.ancestry.co.uk/family-tree/tree/163868056/family?cfpid=342402481510" TargetMode="External"/><Relationship Id="rId52" Type="http://schemas.openxmlformats.org/officeDocument/2006/relationships/hyperlink" Target="https://www.ancestry.co.uk/discoveryui-matches/compare/8955CF51-8070-4A51-8674-B7F01B347AED/with/B94DDD04-38F1-49DE-91FF-968B1A9CDA74" TargetMode="External"/><Relationship Id="rId60" Type="http://schemas.openxmlformats.org/officeDocument/2006/relationships/hyperlink" Target="https://dnapainter.com/tools/sharedcmv4/10?fbclid=IwAR3wqfKWVRq1DI_x4i7OjYx5ayGhdwQu5Tj-9K3u_CVvBxgEWwX7fHipJPs" TargetMode="External"/><Relationship Id="rId65" Type="http://schemas.openxmlformats.org/officeDocument/2006/relationships/hyperlink" Target="https://dnapainter.com/tools/sharedcmv4/12?fbclid=IwAR3wqfKWVRq1DI_x4i7OjYx5ayGhdwQu5Tj-9K3u_CVvBxgEWwX7fHipJPs" TargetMode="External"/><Relationship Id="rId73" Type="http://schemas.openxmlformats.org/officeDocument/2006/relationships/hyperlink" Target="https://dnapainter.com/tools/sharedcmv4/11?fbclid=IwAR3wqfKWVRq1DI_x4i7OjYx5ayGhdwQu5Tj-9K3u_CVvBxgEWwX7fHipJPs" TargetMode="External"/><Relationship Id="rId78" Type="http://schemas.openxmlformats.org/officeDocument/2006/relationships/hyperlink" Target="https://www.ancestry.co.uk/discoveryui-matches/compare/50a7c5ef-9e94-44be-a86a-5736956a97f2/with/b1aea631-c068-4911-b128-b447cf9d8d01" TargetMode="External"/><Relationship Id="rId81" Type="http://schemas.openxmlformats.org/officeDocument/2006/relationships/hyperlink" Target="https://www.ancestry.co.uk/family-tree/person/tree/163868056/person/342303073180/hints?_phsrc=ihI8018&amp;_phstart=default&amp;usePUBJs=true" TargetMode="External"/><Relationship Id="rId4" Type="http://schemas.openxmlformats.org/officeDocument/2006/relationships/hyperlink" Target="https://www.ancestry.co.uk/family-tree/person/tree/163868056/person/342132992964/facts" TargetMode="External"/><Relationship Id="rId9" Type="http://schemas.openxmlformats.org/officeDocument/2006/relationships/hyperlink" Target="https://www.ancestry.co.uk/family-tree/person/tree/163868056/person/342132992970/facts" TargetMode="External"/><Relationship Id="rId13" Type="http://schemas.openxmlformats.org/officeDocument/2006/relationships/hyperlink" Target="https://www.ancestry.co.uk/discoveryui-matches/compare/8955cf51-8070-4a51-8674-b7f01b347aed/with/47e852a9-cd8f-4369-9e12-82d8916355bd" TargetMode="External"/><Relationship Id="rId18" Type="http://schemas.openxmlformats.org/officeDocument/2006/relationships/hyperlink" Target="https://www.ancestry.co.uk/family-tree/person/tree/163868056/person/342376215791/facts" TargetMode="External"/><Relationship Id="rId39" Type="http://schemas.openxmlformats.org/officeDocument/2006/relationships/hyperlink" Target="https://www.ancestry.co.uk/family-tree/tree/163868056/family?cfpid=342376219293" TargetMode="External"/><Relationship Id="rId34" Type="http://schemas.openxmlformats.org/officeDocument/2006/relationships/hyperlink" Target="https://www.ancestry.co.uk/family-tree/person/tree/163868056/person/342303073174/facts" TargetMode="External"/><Relationship Id="rId50" Type="http://schemas.openxmlformats.org/officeDocument/2006/relationships/hyperlink" Target="https://www.ancestry.co.uk/discoveryui-matches/compare/50A7C5EF-9E94-44BE-A86A-5736956A97F2/with/41525790-2B0F-4E2B-8C7A-9C30E4C6E0C6" TargetMode="External"/><Relationship Id="rId55" Type="http://schemas.openxmlformats.org/officeDocument/2006/relationships/hyperlink" Target="https://www.myheritage.com/dna/match/D-F9099B9B-87A1-4274-827C-AF35BD245736-D-3562D6FE-3C53-46ED-8ECA-7FEBEF53441A/691113321?p=1&amp;ps=10&amp;search=liam%20freemantle&amp;sort=total_shared_segments_length_in_cm&amp;memberId=704364871" TargetMode="External"/><Relationship Id="rId76" Type="http://schemas.openxmlformats.org/officeDocument/2006/relationships/hyperlink" Target="https://www.ancestry.co.uk/family-tree/person/tree/163868056/person/342303073174/facts" TargetMode="External"/><Relationship Id="rId7" Type="http://schemas.openxmlformats.org/officeDocument/2006/relationships/hyperlink" Target="https://www.ancestry.co.uk/family-tree/person/tree/163868056/person/342132992970/facts" TargetMode="External"/><Relationship Id="rId71" Type="http://schemas.openxmlformats.org/officeDocument/2006/relationships/hyperlink" Target="https://www.ancestry.co.uk/family-tree/tree/163868056/family/pedigree?cfpid=342590304267" TargetMode="External"/><Relationship Id="rId2" Type="http://schemas.openxmlformats.org/officeDocument/2006/relationships/hyperlink" Target="https://www.ancestry.co.uk/family-tree/person/tree/163868056/person/342132992964/facts" TargetMode="External"/><Relationship Id="rId29" Type="http://schemas.openxmlformats.org/officeDocument/2006/relationships/hyperlink" Target="https://www.ancestry.co.uk/family-tree/person/tree/163868056/person/342303073180/hints?_phsrc=ihI8018&amp;_phstart=default&amp;usePUBJs=true" TargetMode="External"/><Relationship Id="rId24" Type="http://schemas.openxmlformats.org/officeDocument/2006/relationships/hyperlink" Target="https://www.ancestry.co.uk/family-tree/person/tree/163868056/person/342376215477/facts" TargetMode="External"/><Relationship Id="rId40" Type="http://schemas.openxmlformats.org/officeDocument/2006/relationships/hyperlink" Target="https://www.ancestry.co.uk/family-tree/tree/163868056/family?cfpid=342376220113" TargetMode="External"/><Relationship Id="rId45" Type="http://schemas.openxmlformats.org/officeDocument/2006/relationships/hyperlink" Target="https://www.ancestry.co.uk/family-tree/tree/163868056/family?cfpid=342303266263" TargetMode="External"/><Relationship Id="rId66" Type="http://schemas.openxmlformats.org/officeDocument/2006/relationships/hyperlink" Target="https://dnapainter.com/tools/sharedcmv4/16?fbclid=IwAR3wqfKWVRq1DI_x4i7OjYx5ayGhdwQu5Tj-9K3u_CVvBxgEWwX7fHipJPs" TargetMode="External"/><Relationship Id="rId61" Type="http://schemas.openxmlformats.org/officeDocument/2006/relationships/hyperlink" Target="https://dnapainter.com/tools/sharedcmv4/10?fbclid=IwAR3wqfKWVRq1DI_x4i7OjYx5ayGhdwQu5Tj-9K3u_CVvBxgEWwX7fHipJPs" TargetMode="External"/><Relationship Id="rId82" Type="http://schemas.openxmlformats.org/officeDocument/2006/relationships/hyperlink" Target="https://www.ancestry.co.uk/family-tree/person/tree/163868056/person/342303073174/facts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ncestry.co.uk/family-tree/person/tree/163868056/person/342132997072/facts" TargetMode="External"/><Relationship Id="rId2" Type="http://schemas.openxmlformats.org/officeDocument/2006/relationships/hyperlink" Target="https://www.ancestry.co.uk/family-tree/person/tree/163868056/person/342132997071/facts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dnapainter.com/tools/sharedcmv4/9?fbclid=IwAR3wqfKWVRq1DI_x4i7OjYx5ayGhdwQu5Tj-9K3u_CVvBxgEWwX7fHipJPs" TargetMode="External"/><Relationship Id="rId5" Type="http://schemas.openxmlformats.org/officeDocument/2006/relationships/hyperlink" Target="https://www.ancestry.co.uk/discoveryui-matches/compare/50A7C5EF-9E94-44BE-A86A-5736956A97F2/with/56510D0F-A595-466E-BCCC-DC4A4681FF31" TargetMode="External"/><Relationship Id="rId4" Type="http://schemas.openxmlformats.org/officeDocument/2006/relationships/hyperlink" Target="https://www.ancestry.co.uk/family-tree/tree/163868056/family?cfpid=342161790309" TargetMode="External"/></Relationships>
</file>

<file path=xl/worksheets/_rels/sheet26.xml.rels><?xml version="1.0" encoding="UTF-8" standalone="yes"?>
<Relationships xmlns="http://schemas.openxmlformats.org/package/2006/relationships"><Relationship Id="rId117" Type="http://schemas.openxmlformats.org/officeDocument/2006/relationships/hyperlink" Target="https://dnapainter.com/tools/sharedcmv4/33?fbclid=IwAR3wqfKWVRq1DI_x4i7OjYx5ayGhdwQu5Tj-9K3u_CVvBxgEWwX7fHipJPs" TargetMode="External"/><Relationship Id="rId21" Type="http://schemas.openxmlformats.org/officeDocument/2006/relationships/hyperlink" Target="https://www.ancestry.co.uk/family-tree/tree/163868056/family?cfpid=342132994478" TargetMode="External"/><Relationship Id="rId42" Type="http://schemas.openxmlformats.org/officeDocument/2006/relationships/hyperlink" Target="https://www.ancestry.co.uk/family-tree/person/tree/163868056/person/342132993142/facts" TargetMode="External"/><Relationship Id="rId63" Type="http://schemas.openxmlformats.org/officeDocument/2006/relationships/hyperlink" Target="https://www.ancestry.co.uk/family-tree/person/tree/163868056/person/342133217376/facts" TargetMode="External"/><Relationship Id="rId84" Type="http://schemas.openxmlformats.org/officeDocument/2006/relationships/hyperlink" Target="https://www.ancestry.co.uk/family-tree/tree/163868056/family?cfpid=342424673567" TargetMode="External"/><Relationship Id="rId138" Type="http://schemas.openxmlformats.org/officeDocument/2006/relationships/hyperlink" Target="https://www.ancestry.co.uk/family-tree/person/tree/163868056/person/342132993142/facts" TargetMode="External"/><Relationship Id="rId159" Type="http://schemas.openxmlformats.org/officeDocument/2006/relationships/hyperlink" Target="https://www.ancestry.co.uk/family-tree/person/tree/163868056/person/342132992964/facts" TargetMode="External"/><Relationship Id="rId170" Type="http://schemas.openxmlformats.org/officeDocument/2006/relationships/hyperlink" Target="https://www.ancestry.co.uk/family-tree/person/tree/163868056/person/342133217376/facts" TargetMode="External"/><Relationship Id="rId191" Type="http://schemas.openxmlformats.org/officeDocument/2006/relationships/hyperlink" Target="https://www.ancestry.co.uk/family-tree/person/tree/163868056/person/342132992970/facts" TargetMode="External"/><Relationship Id="rId205" Type="http://schemas.openxmlformats.org/officeDocument/2006/relationships/hyperlink" Target="https://www.ancestry.co.uk/family-tree/person/tree/163868056/person/342565452122/facts" TargetMode="External"/><Relationship Id="rId226" Type="http://schemas.openxmlformats.org/officeDocument/2006/relationships/hyperlink" Target="https://www.myheritage.com/dna/match/D-F9099B9B-87A1-4274-827C-AF35BD245736-D-DE222387-4980-4D47-A96E-808AECE84B04/691113321?p=1&amp;ps=10&amp;search=sarah%20clen&amp;sort=creation_time&amp;memberId=704364871&amp;index=0" TargetMode="External"/><Relationship Id="rId107" Type="http://schemas.openxmlformats.org/officeDocument/2006/relationships/hyperlink" Target="https://dnapainter.com/tools/sharedcmv4/18?fbclid=IwAR3wqfKWVRq1DI_x4i7OjYx5ayGhdwQu5Tj-9K3u_CVvBxgEWwX7fHipJPs" TargetMode="External"/><Relationship Id="rId11" Type="http://schemas.openxmlformats.org/officeDocument/2006/relationships/hyperlink" Target="https://www.ancestry.co.uk/family-tree/person/tree/163868056/person/342132992964/facts" TargetMode="External"/><Relationship Id="rId32" Type="http://schemas.openxmlformats.org/officeDocument/2006/relationships/hyperlink" Target="https://www.ancestry.co.uk/family-tree/person/tree/163868056/person/342132993142/facts" TargetMode="External"/><Relationship Id="rId53" Type="http://schemas.openxmlformats.org/officeDocument/2006/relationships/hyperlink" Target="https://www.ancestry.co.uk/family-tree/person/tree/163868056/person/342132998055/facts" TargetMode="External"/><Relationship Id="rId74" Type="http://schemas.openxmlformats.org/officeDocument/2006/relationships/hyperlink" Target="https://www.ancestry.co.uk/family-tree/tree/163868056/family?cfpid=342224779193" TargetMode="External"/><Relationship Id="rId128" Type="http://schemas.openxmlformats.org/officeDocument/2006/relationships/hyperlink" Target="https://www.ancestry.co.uk/family-tree/person/tree/163868056/person/342132992964/facts" TargetMode="External"/><Relationship Id="rId149" Type="http://schemas.openxmlformats.org/officeDocument/2006/relationships/hyperlink" Target="https://www.ancestry.co.uk/family-tree/person/tree/163868056/person/342132992970/facts" TargetMode="External"/><Relationship Id="rId5" Type="http://schemas.openxmlformats.org/officeDocument/2006/relationships/hyperlink" Target="https://www.ancestry.co.uk/family-tree/person/tree/163868056/person/342132992964/facts" TargetMode="External"/><Relationship Id="rId95" Type="http://schemas.openxmlformats.org/officeDocument/2006/relationships/hyperlink" Target="https://www.myheritage.com/dna/match/D-FCAECA02-7114-4F38-B398-0BCC0AEF0669-D-6AF73B1D-2B8A-4543-84CA-AD36CF5DECBB/691113321?p=1&amp;ps=10&amp;search=clare%20daborn&amp;sort=total_shared_segments_length_in_cm&amp;memberId=704364871" TargetMode="External"/><Relationship Id="rId160" Type="http://schemas.openxmlformats.org/officeDocument/2006/relationships/hyperlink" Target="https://www.ancestry.co.uk/family-tree/tree/163868056/family?cfpid=342565621104" TargetMode="External"/><Relationship Id="rId181" Type="http://schemas.openxmlformats.org/officeDocument/2006/relationships/hyperlink" Target="https://www.ancestry.co.uk/family-tree/person/tree/163868056/person/342565452122/facts" TargetMode="External"/><Relationship Id="rId216" Type="http://schemas.openxmlformats.org/officeDocument/2006/relationships/hyperlink" Target="https://dnapainter.com/tools/sharedcmv4/69?fbclid=IwAR3wqfKWVRq1DI_x4i7OjYx5ayGhdwQu5Tj-9K3u_CVvBxgEWwX7fHipJPs" TargetMode="External"/><Relationship Id="rId22" Type="http://schemas.openxmlformats.org/officeDocument/2006/relationships/hyperlink" Target="https://www.ancestry.co.uk/discoveryui-matches/compare/8955cf51-8070-4a51-8674-b7f01b347aed/with/4472e93c-061c-4efc-b69b-dc1d46dd9772" TargetMode="External"/><Relationship Id="rId43" Type="http://schemas.openxmlformats.org/officeDocument/2006/relationships/hyperlink" Target="https://www.ancestry.co.uk/family-tree/person/tree/163868056/person/342132993154/facts" TargetMode="External"/><Relationship Id="rId64" Type="http://schemas.openxmlformats.org/officeDocument/2006/relationships/hyperlink" Target="https://www.ancestry.co.uk/family-tree/person/tree/163868056/person/342133217376/facts" TargetMode="External"/><Relationship Id="rId118" Type="http://schemas.openxmlformats.org/officeDocument/2006/relationships/hyperlink" Target="https://dnapainter.com/tools/sharedcmv4/40?fbclid=IwAR3wqfKWVRq1DI_x4i7OjYx5ayGhdwQu5Tj-9K3u_CVvBxgEWwX7fHipJPs" TargetMode="External"/><Relationship Id="rId139" Type="http://schemas.openxmlformats.org/officeDocument/2006/relationships/hyperlink" Target="https://www.ancestry.co.uk/family-tree/tree/163868056/family?cfpid=342491597245" TargetMode="External"/><Relationship Id="rId85" Type="http://schemas.openxmlformats.org/officeDocument/2006/relationships/hyperlink" Target="https://www.ancestry.co.uk/family-tree/tree/163868056/family?cfpid=342283691315" TargetMode="External"/><Relationship Id="rId150" Type="http://schemas.openxmlformats.org/officeDocument/2006/relationships/hyperlink" Target="https://www.ancestry.co.uk/family-tree/person/tree/163868056/person/342132998055/facts" TargetMode="External"/><Relationship Id="rId171" Type="http://schemas.openxmlformats.org/officeDocument/2006/relationships/hyperlink" Target="https://www.ancestry.co.uk/discoveryui-matches/compare/50a7c5ef-9e94-44be-a86a-5736956a97f2/with/b223715f-bae9-43ce-817f-fbd358c2b7e9" TargetMode="External"/><Relationship Id="rId192" Type="http://schemas.openxmlformats.org/officeDocument/2006/relationships/hyperlink" Target="https://dnapainter.com/tools/sharedcmv4/11?fbclid=IwAR3wqfKWVRq1DI_x4i7OjYx5ayGhdwQu5Tj-9K3u_CVvBxgEWwX7fHipJPs" TargetMode="External"/><Relationship Id="rId206" Type="http://schemas.openxmlformats.org/officeDocument/2006/relationships/hyperlink" Target="https://www.ancestry.co.uk/family-tree/person/tree/163868056/person/342565452124/facts" TargetMode="External"/><Relationship Id="rId227" Type="http://schemas.openxmlformats.org/officeDocument/2006/relationships/hyperlink" Target="https://www.ancestry.co.uk/family-tree/tree/163868056/family?cfpid=342408961711" TargetMode="External"/><Relationship Id="rId12" Type="http://schemas.openxmlformats.org/officeDocument/2006/relationships/hyperlink" Target="https://www.ancestry.co.uk/family-tree/person/tree/163868056/person/342132992964/facts" TargetMode="External"/><Relationship Id="rId33" Type="http://schemas.openxmlformats.org/officeDocument/2006/relationships/hyperlink" Target="https://www.ancestry.co.uk/family-tree/person/tree/163868056/person/342132993142/facts" TargetMode="External"/><Relationship Id="rId108" Type="http://schemas.openxmlformats.org/officeDocument/2006/relationships/hyperlink" Target="https://dnapainter.com/tools/sharedcmv4/20?fbclid=IwAR3wqfKWVRq1DI_x4i7OjYx5ayGhdwQu5Tj-9K3u_CVvBxgEWwX7fHipJPs" TargetMode="External"/><Relationship Id="rId129" Type="http://schemas.openxmlformats.org/officeDocument/2006/relationships/hyperlink" Target="https://www.ancestry.co.uk/family-tree/person/tree/163868056/person/342132993141/facts" TargetMode="External"/><Relationship Id="rId54" Type="http://schemas.openxmlformats.org/officeDocument/2006/relationships/hyperlink" Target="https://www.ancestry.co.uk/family-tree/person/tree/163868056/person/342132998055/facts" TargetMode="External"/><Relationship Id="rId75" Type="http://schemas.openxmlformats.org/officeDocument/2006/relationships/hyperlink" Target="https://www.ancestry.co.uk/family-tree/tree/163868056/family?cfpid=342132994463" TargetMode="External"/><Relationship Id="rId96" Type="http://schemas.openxmlformats.org/officeDocument/2006/relationships/hyperlink" Target="https://www.ancestry.co.uk/discoveryui-matches/compare/50A7C5EF-9E94-44BE-A86A-5736956A97F2/with/ED47F8B5-A7BE-4CE1-9D5B-80742CC8B79B" TargetMode="External"/><Relationship Id="rId140" Type="http://schemas.openxmlformats.org/officeDocument/2006/relationships/hyperlink" Target="https://you.23andme.com/profile/c59ccbcf7cf3f036/" TargetMode="External"/><Relationship Id="rId161" Type="http://schemas.openxmlformats.org/officeDocument/2006/relationships/hyperlink" Target="https://you.23andme.com/p/d636d985a0daf7e4/profile/1ac9a44a477ed88a/?message=1" TargetMode="External"/><Relationship Id="rId182" Type="http://schemas.openxmlformats.org/officeDocument/2006/relationships/hyperlink" Target="https://www.ancestry.co.uk/family-tree/person/tree/163868056/person/342565452124/facts" TargetMode="External"/><Relationship Id="rId217" Type="http://schemas.openxmlformats.org/officeDocument/2006/relationships/hyperlink" Target="https://www.ancestry.co.uk/discoveryui-matches/compare/8955cf51-8070-4a51-8674-b7f01b347aed/with/dd963643-14bc-464a-b03f-7fef8467c151" TargetMode="External"/><Relationship Id="rId6" Type="http://schemas.openxmlformats.org/officeDocument/2006/relationships/hyperlink" Target="https://www.ancestry.co.uk/family-tree/person/tree/163868056/person/342132992964/facts" TargetMode="External"/><Relationship Id="rId23" Type="http://schemas.openxmlformats.org/officeDocument/2006/relationships/hyperlink" Target="https://www.ancestry.co.uk/family-tree/person/tree/163868056/person/342132993141/facts" TargetMode="External"/><Relationship Id="rId119" Type="http://schemas.openxmlformats.org/officeDocument/2006/relationships/hyperlink" Target="https://dnapainter.com/tools/sharedcmv4/43?fbclid=IwAR3wqfKWVRq1DI_x4i7OjYx5ayGhdwQu5Tj-9K3u_CVvBxgEWwX7fHipJPs" TargetMode="External"/><Relationship Id="rId44" Type="http://schemas.openxmlformats.org/officeDocument/2006/relationships/hyperlink" Target="https://www.ancestry.co.uk/family-tree/person/tree/163868056/person/342132993154/facts" TargetMode="External"/><Relationship Id="rId65" Type="http://schemas.openxmlformats.org/officeDocument/2006/relationships/hyperlink" Target="https://www.ancestry.co.uk/family-tree/person/tree/163868056/person/342266787968/facts" TargetMode="External"/><Relationship Id="rId86" Type="http://schemas.openxmlformats.org/officeDocument/2006/relationships/hyperlink" Target="https://www.ancestry.co.uk/discoveryui-matches/compare/8955cf51-8070-4a51-8674-b7f01b347aed/with/781e34eb-8b0f-4f4c-97be-927b5a37dd29" TargetMode="External"/><Relationship Id="rId130" Type="http://schemas.openxmlformats.org/officeDocument/2006/relationships/hyperlink" Target="https://www.ancestry.co.uk/family-tree/person/tree/163868056/person/342132993104/facts" TargetMode="External"/><Relationship Id="rId151" Type="http://schemas.openxmlformats.org/officeDocument/2006/relationships/hyperlink" Target="https://www.ancestry.co.uk/family-tree/person/tree/163868056/person/342133217376/facts" TargetMode="External"/><Relationship Id="rId172" Type="http://schemas.openxmlformats.org/officeDocument/2006/relationships/hyperlink" Target="https://dnapainter.com/tools/sharedcmv4/14?fbclid=IwAR3wqfKWVRq1DI_x4i7OjYx5ayGhdwQu5Tj-9K3u_CVvBxgEWwX7fHipJPs" TargetMode="External"/><Relationship Id="rId193" Type="http://schemas.openxmlformats.org/officeDocument/2006/relationships/hyperlink" Target="https://www.ancestry.co.uk/family-tree/person/tree/163868056/person/342565452122/facts" TargetMode="External"/><Relationship Id="rId207" Type="http://schemas.openxmlformats.org/officeDocument/2006/relationships/hyperlink" Target="https://www.ancestry.co.uk/discoveryui-matches/compare/8955cf51-8070-4a51-8674-b7f01b347aed/with/9896285d-7beb-11ee-b8bb-0e3f96da1e4d" TargetMode="External"/><Relationship Id="rId228" Type="http://schemas.openxmlformats.org/officeDocument/2006/relationships/printerSettings" Target="../printerSettings/printerSettings6.bin"/><Relationship Id="rId13" Type="http://schemas.openxmlformats.org/officeDocument/2006/relationships/hyperlink" Target="https://www.ancestry.co.uk/family-tree/person/tree/163868056/person/342132992964/facts" TargetMode="External"/><Relationship Id="rId109" Type="http://schemas.openxmlformats.org/officeDocument/2006/relationships/hyperlink" Target="https://dnapainter.com/tools/sharedcmv4/11?fbclid=IwAR3wqfKWVRq1DI_x4i7OjYx5ayGhdwQu5Tj-9K3u_CVvBxgEWwX7fHipJPs" TargetMode="External"/><Relationship Id="rId34" Type="http://schemas.openxmlformats.org/officeDocument/2006/relationships/hyperlink" Target="https://www.ancestry.co.uk/family-tree/person/tree/163868056/person/342132993142/facts" TargetMode="External"/><Relationship Id="rId55" Type="http://schemas.openxmlformats.org/officeDocument/2006/relationships/hyperlink" Target="https://www.ancestry.co.uk/family-tree/person/tree/163868056/person/342132998055/facts" TargetMode="External"/><Relationship Id="rId76" Type="http://schemas.openxmlformats.org/officeDocument/2006/relationships/hyperlink" Target="https://www.ancestry.co.uk/family-tree/tree/163868056/family?cfpid=342224745730" TargetMode="External"/><Relationship Id="rId97" Type="http://schemas.openxmlformats.org/officeDocument/2006/relationships/hyperlink" Target="https://www.ancestry.co.uk/discoveryui-matches/compare/50A7C5EF-9E94-44BE-A86A-5736956A97F2/with/63281B68-9DDB-4E28-ACD1-329207F34486" TargetMode="External"/><Relationship Id="rId120" Type="http://schemas.openxmlformats.org/officeDocument/2006/relationships/hyperlink" Target="https://dnapainter.com/tools/sharedcmv4/49?fbclid=IwAR3wqfKWVRq1DI_x4i7OjYx5ayGhdwQu5Tj-9K3u_CVvBxgEWwX7fHipJPs" TargetMode="External"/><Relationship Id="rId141" Type="http://schemas.openxmlformats.org/officeDocument/2006/relationships/hyperlink" Target="https://dnapainter.com/tools/sharedcmv4/28?fbclid=IwAR3wqfKWVRq1DI_x4i7OjYx5ayGhdwQu5Tj-9K3u_CVvBxgEWwX7fHipJPs" TargetMode="External"/><Relationship Id="rId7" Type="http://schemas.openxmlformats.org/officeDocument/2006/relationships/hyperlink" Target="https://www.ancestry.co.uk/family-tree/person/tree/163868056/person/342132992964/facts" TargetMode="External"/><Relationship Id="rId162" Type="http://schemas.openxmlformats.org/officeDocument/2006/relationships/hyperlink" Target="https://www.ancestry.co.uk/family-tree/person/tree/163868056/person/342565452122/facts" TargetMode="External"/><Relationship Id="rId183" Type="http://schemas.openxmlformats.org/officeDocument/2006/relationships/hyperlink" Target="https://www.ancestry.co.uk/family-tree/person/tree/163868056/person/342132992964/facts" TargetMode="External"/><Relationship Id="rId218" Type="http://schemas.openxmlformats.org/officeDocument/2006/relationships/hyperlink" Target="https://www.ancestry.co.uk/family-tree/person/tree/163868056/person/342132993141/facts" TargetMode="External"/><Relationship Id="rId24" Type="http://schemas.openxmlformats.org/officeDocument/2006/relationships/hyperlink" Target="https://www.ancestry.co.uk/family-tree/person/tree/163868056/person/342132993141/facts" TargetMode="External"/><Relationship Id="rId45" Type="http://schemas.openxmlformats.org/officeDocument/2006/relationships/hyperlink" Target="https://www.ancestry.co.uk/family-tree/person/tree/163868056/person/342132993154/facts" TargetMode="External"/><Relationship Id="rId66" Type="http://schemas.openxmlformats.org/officeDocument/2006/relationships/hyperlink" Target="https://www.ancestry.co.uk/family-tree/person/tree/163868056/person/342442141966/facts" TargetMode="External"/><Relationship Id="rId87" Type="http://schemas.openxmlformats.org/officeDocument/2006/relationships/hyperlink" Target="https://www.ancestry.co.uk/family-tree/tree/163868056/family?cfpid=342273423620" TargetMode="External"/><Relationship Id="rId110" Type="http://schemas.openxmlformats.org/officeDocument/2006/relationships/hyperlink" Target="https://dnapainter.com/tools/sharedcmv4/22?fbclid=IwAR3wqfKWVRq1DI_x4i7OjYx5ayGhdwQu5Tj-9K3u_CVvBxgEWwX7fHipJPs" TargetMode="External"/><Relationship Id="rId131" Type="http://schemas.openxmlformats.org/officeDocument/2006/relationships/hyperlink" Target="https://www.ancestry.co.uk/family-tree/person/tree/163868056/person/342132993142/facts" TargetMode="External"/><Relationship Id="rId152" Type="http://schemas.openxmlformats.org/officeDocument/2006/relationships/hyperlink" Target="https://www.ancestry.co.uk/discoveryui-matches/compare/50A7C5EF-9E94-44BE-A86A-5736956A97F2/with/5FB51265-F356-4818-A191-A731AA9D509E" TargetMode="External"/><Relationship Id="rId173" Type="http://schemas.openxmlformats.org/officeDocument/2006/relationships/hyperlink" Target="https://www.ancestry.co.uk/family-tree/tree/163868056/family/pedigree?cfpid=342268620779" TargetMode="External"/><Relationship Id="rId194" Type="http://schemas.openxmlformats.org/officeDocument/2006/relationships/hyperlink" Target="https://www.ancestry.co.uk/family-tree/person/tree/163868056/person/342565452124/facts" TargetMode="External"/><Relationship Id="rId208" Type="http://schemas.openxmlformats.org/officeDocument/2006/relationships/hyperlink" Target="https://www.ancestry.co.uk/family-tree/person/tree/163868056/person/342132992970/facts" TargetMode="External"/><Relationship Id="rId14" Type="http://schemas.openxmlformats.org/officeDocument/2006/relationships/hyperlink" Target="https://www.ancestry.co.uk/family-tree/person/tree/163868056/person/342132992964/facts" TargetMode="External"/><Relationship Id="rId35" Type="http://schemas.openxmlformats.org/officeDocument/2006/relationships/hyperlink" Target="https://www.ancestry.co.uk/family-tree/person/tree/163868056/person/342132993104/facts" TargetMode="External"/><Relationship Id="rId56" Type="http://schemas.openxmlformats.org/officeDocument/2006/relationships/hyperlink" Target="https://www.ancestry.co.uk/family-tree/person/tree/163868056/person/342132998055/facts" TargetMode="External"/><Relationship Id="rId77" Type="http://schemas.openxmlformats.org/officeDocument/2006/relationships/hyperlink" Target="https://www.ancestry.co.uk/family-tree/tree/163868056/family?cfpid=342213234564" TargetMode="External"/><Relationship Id="rId100" Type="http://schemas.openxmlformats.org/officeDocument/2006/relationships/hyperlink" Target="https://you.23andme.com/profile/9758f5752731e330/" TargetMode="External"/><Relationship Id="rId8" Type="http://schemas.openxmlformats.org/officeDocument/2006/relationships/hyperlink" Target="https://www.ancestry.co.uk/family-tree/person/tree/163868056/person/342132992964/facts" TargetMode="External"/><Relationship Id="rId98" Type="http://schemas.openxmlformats.org/officeDocument/2006/relationships/hyperlink" Target="https://www.ancestry.co.uk/discoveryui-matches/compare/50A7C5EF-9E94-44BE-A86A-5736956A97F2/with/DF667827-C20A-4E31-AA82-8FC823B8ACC5" TargetMode="External"/><Relationship Id="rId121" Type="http://schemas.openxmlformats.org/officeDocument/2006/relationships/hyperlink" Target="https://dnapainter.com/tools/sharedcmv4/98?fbclid=IwAR3wqfKWVRq1DI_x4i7OjYx5ayGhdwQu5Tj-9K3u_CVvBxgEWwX7fHipJPs" TargetMode="External"/><Relationship Id="rId142" Type="http://schemas.openxmlformats.org/officeDocument/2006/relationships/hyperlink" Target="https://www.ancestry.co.uk/family-tree/person/tree/163868056/person/342132992970/facts" TargetMode="External"/><Relationship Id="rId163" Type="http://schemas.openxmlformats.org/officeDocument/2006/relationships/hyperlink" Target="https://www.ancestry.co.uk/family-tree/person/tree/163868056/person/342565452124/facts" TargetMode="External"/><Relationship Id="rId184" Type="http://schemas.openxmlformats.org/officeDocument/2006/relationships/hyperlink" Target="https://www.ancestry.co.uk/discoveryui-matches/compare/50A7C5EF-9E94-44BE-A86A-5736956A97F2/with/39D23A50-F935-4904-8FB2-CFAB36FE7F0C" TargetMode="External"/><Relationship Id="rId219" Type="http://schemas.openxmlformats.org/officeDocument/2006/relationships/hyperlink" Target="https://www.ancestry.co.uk/family-tree/person/tree/163868056/person/342132993142/facts" TargetMode="External"/><Relationship Id="rId3" Type="http://schemas.openxmlformats.org/officeDocument/2006/relationships/hyperlink" Target="https://www.ancestry.co.uk/family-tree/person/tree/163868056/person/342132992964/facts" TargetMode="External"/><Relationship Id="rId214" Type="http://schemas.openxmlformats.org/officeDocument/2006/relationships/hyperlink" Target="https://www.ancestry.co.uk/family-tree/person/tree/163868056/person/342132992970/facts" TargetMode="External"/><Relationship Id="rId25" Type="http://schemas.openxmlformats.org/officeDocument/2006/relationships/hyperlink" Target="https://www.ancestry.co.uk/family-tree/person/tree/163868056/person/342132993141/facts" TargetMode="External"/><Relationship Id="rId46" Type="http://schemas.openxmlformats.org/officeDocument/2006/relationships/hyperlink" Target="https://www.ancestry.co.uk/family-tree/person/tree/163868056/person/342132993155/facts" TargetMode="External"/><Relationship Id="rId67" Type="http://schemas.openxmlformats.org/officeDocument/2006/relationships/hyperlink" Target="https://you.23andme.com/profile/732f9e0eac93839d/" TargetMode="External"/><Relationship Id="rId116" Type="http://schemas.openxmlformats.org/officeDocument/2006/relationships/hyperlink" Target="https://dnapainter.com/tools/sharedcmv4/39?fbclid=IwAR3wqfKWVRq1DI_x4i7OjYx5ayGhdwQu5Tj-9K3u_CVvBxgEWwX7fHipJPs" TargetMode="External"/><Relationship Id="rId137" Type="http://schemas.openxmlformats.org/officeDocument/2006/relationships/hyperlink" Target="https://www.ancestry.co.uk/family-tree/person/tree/163868056/person/342132993104/facts" TargetMode="External"/><Relationship Id="rId158" Type="http://schemas.openxmlformats.org/officeDocument/2006/relationships/hyperlink" Target="https://www.ancestry.co.uk/family-tree/person/tree/163868056/person/342565452124/facts" TargetMode="External"/><Relationship Id="rId20" Type="http://schemas.openxmlformats.org/officeDocument/2006/relationships/hyperlink" Target="https://www.ancestry.co.uk/family-tree/person/tree/163868056/person/342132992970/facts" TargetMode="External"/><Relationship Id="rId41" Type="http://schemas.openxmlformats.org/officeDocument/2006/relationships/hyperlink" Target="https://www.ancestry.co.uk/family-tree/person/tree/163868056/person/342132993142/facts" TargetMode="External"/><Relationship Id="rId62" Type="http://schemas.openxmlformats.org/officeDocument/2006/relationships/hyperlink" Target="https://www.ancestry.co.uk/family-tree/person/tree/163868056/person/342133217376/facts" TargetMode="External"/><Relationship Id="rId83" Type="http://schemas.openxmlformats.org/officeDocument/2006/relationships/hyperlink" Target="https://www.ancestry.co.uk/discoveryui-matches/compare/8955cf51-8070-4a51-8674-b7f01b347aed/with/5ef20972-0b6d-49a9-87bc-9c0d101c4c68" TargetMode="External"/><Relationship Id="rId88" Type="http://schemas.openxmlformats.org/officeDocument/2006/relationships/hyperlink" Target="https://www.ancestry.co.uk/family-tree/tree/163868056/family?cfpid=342430049051" TargetMode="External"/><Relationship Id="rId111" Type="http://schemas.openxmlformats.org/officeDocument/2006/relationships/hyperlink" Target="https://dnapainter.com/tools/sharedcmv4/31?fbclid=IwAR3wqfKWVRq1DI_x4i7OjYx5ayGhdwQu5Tj-9K3u_CVvBxgEWwX7fHipJPs" TargetMode="External"/><Relationship Id="rId132" Type="http://schemas.openxmlformats.org/officeDocument/2006/relationships/hyperlink" Target="https://www.ancestry.co.uk/family-tree/tree/163868056/family?cfpid=342491600731" TargetMode="External"/><Relationship Id="rId153" Type="http://schemas.openxmlformats.org/officeDocument/2006/relationships/hyperlink" Target="https://dnapainter.com/tools/sharedcmv4/31?fbclid=IwAR3wqfKWVRq1DI_x4i7OjYx5ayGhdwQu5Tj-9K3u_CVvBxgEWwX7fHipJPs" TargetMode="External"/><Relationship Id="rId174" Type="http://schemas.openxmlformats.org/officeDocument/2006/relationships/hyperlink" Target="https://dnapainter.com/tools/sharedcmv4/19?fbclid=IwAR3wqfKWVRq1DI_x4i7OjYx5ayGhdwQu5Tj-9K3u_CVvBxgEWwX7fHipJPs" TargetMode="External"/><Relationship Id="rId179" Type="http://schemas.openxmlformats.org/officeDocument/2006/relationships/hyperlink" Target="https://www.ancestry.co.uk/family-tree/tree/163868056/family?cfpid=342567919179" TargetMode="External"/><Relationship Id="rId195" Type="http://schemas.openxmlformats.org/officeDocument/2006/relationships/hyperlink" Target="https://www.ancestry.co.uk/discoveryui-matches/compare/8955CF51-8070-4A51-8674-B7F01B347AED/with/29A04C57-5DE8-4A63-942B-3B3959A46B95" TargetMode="External"/><Relationship Id="rId209" Type="http://schemas.openxmlformats.org/officeDocument/2006/relationships/hyperlink" Target="https://www.ancestry.co.uk/family-tree/tree/163868056/family/pedigree?cfpid=342590605974" TargetMode="External"/><Relationship Id="rId190" Type="http://schemas.openxmlformats.org/officeDocument/2006/relationships/hyperlink" Target="https://www.ancestry.co.uk/family-tree/tree/163868056/family/pedigree?cfpid=342567919660" TargetMode="External"/><Relationship Id="rId204" Type="http://schemas.openxmlformats.org/officeDocument/2006/relationships/hyperlink" Target="https://dnapainter.com/tools/sharedcmv4/23?fbclid=IwAR3wqfKWVRq1DI_x4i7OjYx5ayGhdwQu5Tj-9K3u_CVvBxgEWwX7fHipJPs" TargetMode="External"/><Relationship Id="rId220" Type="http://schemas.openxmlformats.org/officeDocument/2006/relationships/hyperlink" Target="https://www.ancestry.co.uk/family-tree/person/tree/163868056/person/342132992964/facts" TargetMode="External"/><Relationship Id="rId225" Type="http://schemas.openxmlformats.org/officeDocument/2006/relationships/hyperlink" Target="https://www.ancestry.co.uk/family-tree/person/tree/163868056/person/342132992964/facts" TargetMode="External"/><Relationship Id="rId15" Type="http://schemas.openxmlformats.org/officeDocument/2006/relationships/hyperlink" Target="https://www.ancestry.co.uk/family-tree/person/tree/163868056/person/342132992964/facts" TargetMode="External"/><Relationship Id="rId36" Type="http://schemas.openxmlformats.org/officeDocument/2006/relationships/hyperlink" Target="https://www.ancestry.co.uk/family-tree/person/tree/163868056/person/342132993104/facts" TargetMode="External"/><Relationship Id="rId57" Type="http://schemas.openxmlformats.org/officeDocument/2006/relationships/hyperlink" Target="https://www.ancestry.co.uk/family-tree/person/tree/163868056/person/342132998055/facts" TargetMode="External"/><Relationship Id="rId106" Type="http://schemas.openxmlformats.org/officeDocument/2006/relationships/hyperlink" Target="https://dnapainter.com/tools/sharedcmv4/17?fbclid=IwAR3wqfKWVRq1DI_x4i7OjYx5ayGhdwQu5Tj-9K3u_CVvBxgEWwX7fHipJPs" TargetMode="External"/><Relationship Id="rId127" Type="http://schemas.openxmlformats.org/officeDocument/2006/relationships/hyperlink" Target="https://dnapainter.com/tools/sharedcmv4/46?fbclid=IwAR3wqfKWVRq1DI_x4i7OjYx5ayGhdwQu5Tj-9K3u_CVvBxgEWwX7fHipJPs" TargetMode="External"/><Relationship Id="rId10" Type="http://schemas.openxmlformats.org/officeDocument/2006/relationships/hyperlink" Target="https://www.ancestry.co.uk/family-tree/person/tree/163868056/person/342132992964/facts" TargetMode="External"/><Relationship Id="rId31" Type="http://schemas.openxmlformats.org/officeDocument/2006/relationships/hyperlink" Target="https://www.ancestry.co.uk/family-tree/person/tree/163868056/person/342132993141/facts" TargetMode="External"/><Relationship Id="rId52" Type="http://schemas.openxmlformats.org/officeDocument/2006/relationships/hyperlink" Target="https://www.ancestry.co.uk/family-tree/person/tree/163868056/person/342132998055/facts" TargetMode="External"/><Relationship Id="rId73" Type="http://schemas.openxmlformats.org/officeDocument/2006/relationships/hyperlink" Target="https://www.ancestry.co.uk/family-tree/tree/163868056/family?cfpid=342168799374" TargetMode="External"/><Relationship Id="rId78" Type="http://schemas.openxmlformats.org/officeDocument/2006/relationships/hyperlink" Target="https://www.ancestry.co.uk/family-tree/tree/163868056/family?cfpid=342371718003" TargetMode="External"/><Relationship Id="rId94" Type="http://schemas.openxmlformats.org/officeDocument/2006/relationships/hyperlink" Target="https://www.ancestry.co.uk/discoveryui-matches/compare/50A7C5EF-9E94-44BE-A86A-5736956A97F2/with/A28B0A8D-0778-4729-8A56-80FECB239A28" TargetMode="External"/><Relationship Id="rId99" Type="http://schemas.openxmlformats.org/officeDocument/2006/relationships/hyperlink" Target="https://www.ancestry.co.uk/discoveryui-matches/compare/8955CF51-8070-4A51-8674-B7F01B347AED/with/2093EA47-A9F4-41A7-93D9-D93F343547E1" TargetMode="External"/><Relationship Id="rId101" Type="http://schemas.openxmlformats.org/officeDocument/2006/relationships/hyperlink" Target="https://you.23andme.com/profile/f0c5fa6fbfc1e5ae/" TargetMode="External"/><Relationship Id="rId122" Type="http://schemas.openxmlformats.org/officeDocument/2006/relationships/hyperlink" Target="https://dnapainter.com/tools/sharedcmv4/110?fbclid=IwAR3wqfKWVRq1DI_x4i7OjYx5ayGhdwQu5Tj-9K3u_CVvBxgEWwX7fHipJPs" TargetMode="External"/><Relationship Id="rId143" Type="http://schemas.openxmlformats.org/officeDocument/2006/relationships/hyperlink" Target="https://www.ancestry.co.uk/family-tree/person/tree/163868056/person/342132998055/facts" TargetMode="External"/><Relationship Id="rId148" Type="http://schemas.openxmlformats.org/officeDocument/2006/relationships/hyperlink" Target="https://www.ancestry.co.uk/family-tree/person/tree/163868056/person/342132993155/facts" TargetMode="External"/><Relationship Id="rId164" Type="http://schemas.openxmlformats.org/officeDocument/2006/relationships/hyperlink" Target="https://www.ancestry.co.uk/family-tree/person/tree/163868056/person/342132992964/facts" TargetMode="External"/><Relationship Id="rId169" Type="http://schemas.openxmlformats.org/officeDocument/2006/relationships/hyperlink" Target="https://www.ancestry.co.uk/family-tree/person/tree/163868056/person/342132998055/facts" TargetMode="External"/><Relationship Id="rId185" Type="http://schemas.openxmlformats.org/officeDocument/2006/relationships/hyperlink" Target="https://www.ancestry.co.uk/family-tree/tree/163868056/family/pedigree?cfpid=342567918991" TargetMode="External"/><Relationship Id="rId4" Type="http://schemas.openxmlformats.org/officeDocument/2006/relationships/hyperlink" Target="https://www.ancestry.co.uk/family-tree/person/tree/163868056/person/342132992964/facts" TargetMode="External"/><Relationship Id="rId9" Type="http://schemas.openxmlformats.org/officeDocument/2006/relationships/hyperlink" Target="https://www.ancestry.co.uk/family-tree/person/tree/163868056/person/342132992964/facts" TargetMode="External"/><Relationship Id="rId180" Type="http://schemas.openxmlformats.org/officeDocument/2006/relationships/hyperlink" Target="https://dnapainter.com/tools/sharedcmv4/9?fbclid=IwAR3wqfKWVRq1DI_x4i7OjYx5ayGhdwQu5Tj-9K3u_CVvBxgEWwX7fHipJPs" TargetMode="External"/><Relationship Id="rId210" Type="http://schemas.openxmlformats.org/officeDocument/2006/relationships/hyperlink" Target="https://dnapainter.com/tools/sharedcmv4/12?fbclid=IwAR3wqfKWVRq1DI_x4i7OjYx5ayGhdwQu5Tj-9K3u_CVvBxgEWwX7fHipJPs" TargetMode="External"/><Relationship Id="rId215" Type="http://schemas.openxmlformats.org/officeDocument/2006/relationships/hyperlink" Target="https://www.ancestry.co.uk/family-tree/tree/163868056/family/pedigree?cfpid=342566161660" TargetMode="External"/><Relationship Id="rId26" Type="http://schemas.openxmlformats.org/officeDocument/2006/relationships/hyperlink" Target="https://www.ancestry.co.uk/family-tree/person/tree/163868056/person/342132993141/facts" TargetMode="External"/><Relationship Id="rId47" Type="http://schemas.openxmlformats.org/officeDocument/2006/relationships/hyperlink" Target="https://www.ancestry.co.uk/family-tree/person/tree/163868056/person/342132993155/facts" TargetMode="External"/><Relationship Id="rId68" Type="http://schemas.openxmlformats.org/officeDocument/2006/relationships/hyperlink" Target="https://you.23andme.com/profile/59d8b4466536c13d/" TargetMode="External"/><Relationship Id="rId89" Type="http://schemas.openxmlformats.org/officeDocument/2006/relationships/hyperlink" Target="https://www.ancestry.co.uk/family-tree/tree/163868056/family?cfpid=342165334682" TargetMode="External"/><Relationship Id="rId112" Type="http://schemas.openxmlformats.org/officeDocument/2006/relationships/hyperlink" Target="https://dnapainter.com/tools/sharedcmv4/25?fbclid=IwAR3wqfKWVRq1DI_x4i7OjYx5ayGhdwQu5Tj-9K3u_CVvBxgEWwX7fHipJPs" TargetMode="External"/><Relationship Id="rId133" Type="http://schemas.openxmlformats.org/officeDocument/2006/relationships/hyperlink" Target="https://you.23andme.com/profile/6f00eec1e98217e5/" TargetMode="External"/><Relationship Id="rId154" Type="http://schemas.openxmlformats.org/officeDocument/2006/relationships/hyperlink" Target="https://www.ancestry.co.uk/family-tree/tree/163868056/family/pedigree?cfpid=342558517377" TargetMode="External"/><Relationship Id="rId175" Type="http://schemas.openxmlformats.org/officeDocument/2006/relationships/hyperlink" Target="https://www.ancestry.co.uk/family-tree/person/tree/163868056/person/342565452122/facts" TargetMode="External"/><Relationship Id="rId196" Type="http://schemas.openxmlformats.org/officeDocument/2006/relationships/hyperlink" Target="https://www.ancestry.co.uk/family-tree/person/tree/163868056/person/342132992970/facts" TargetMode="External"/><Relationship Id="rId200" Type="http://schemas.openxmlformats.org/officeDocument/2006/relationships/hyperlink" Target="https://www.ancestry.co.uk/family-tree/person/tree/163868056/person/342132998055/facts" TargetMode="External"/><Relationship Id="rId16" Type="http://schemas.openxmlformats.org/officeDocument/2006/relationships/hyperlink" Target="https://www.ancestry.co.uk/family-tree/person/tree/163868056/person/342132992970/facts" TargetMode="External"/><Relationship Id="rId221" Type="http://schemas.openxmlformats.org/officeDocument/2006/relationships/hyperlink" Target="https://www.ancestry.co.uk/family-tree/tree/163868056/family/pedigree?cfpid=342132994922" TargetMode="External"/><Relationship Id="rId37" Type="http://schemas.openxmlformats.org/officeDocument/2006/relationships/hyperlink" Target="https://www.ancestry.co.uk/family-tree/person/tree/163868056/person/342132993104/facts" TargetMode="External"/><Relationship Id="rId58" Type="http://schemas.openxmlformats.org/officeDocument/2006/relationships/hyperlink" Target="https://www.ancestry.co.uk/family-tree/person/tree/163868056/person/342133217376/facts" TargetMode="External"/><Relationship Id="rId79" Type="http://schemas.openxmlformats.org/officeDocument/2006/relationships/hyperlink" Target="https://www.ancestry.co.uk/family-tree/tree/163868056/family?cfpid=342268621072" TargetMode="External"/><Relationship Id="rId102" Type="http://schemas.openxmlformats.org/officeDocument/2006/relationships/hyperlink" Target="https://you.23andme.com/profile/e79e07a7ddf56274/" TargetMode="External"/><Relationship Id="rId123" Type="http://schemas.openxmlformats.org/officeDocument/2006/relationships/hyperlink" Target="https://dnapainter.com/tools/sharedcmv4/127?fbclid=IwAR3wqfKWVRq1DI_x4i7OjYx5ayGhdwQu5Tj-9K3u_CVvBxgEWwX7fHipJPs" TargetMode="External"/><Relationship Id="rId144" Type="http://schemas.openxmlformats.org/officeDocument/2006/relationships/hyperlink" Target="https://www.ancestry.co.uk/family-tree/person/tree/163868056/person/342133217376/facts" TargetMode="External"/><Relationship Id="rId90" Type="http://schemas.openxmlformats.org/officeDocument/2006/relationships/hyperlink" Target="https://www.ancestry.co.uk/discoveryui-matches/compare/50A7C5EF-9E94-44BE-A86A-5736956A97F2/with/A9C426F2-F216-43B2-99FF-6708E4949470" TargetMode="External"/><Relationship Id="rId165" Type="http://schemas.openxmlformats.org/officeDocument/2006/relationships/hyperlink" Target="https://you.23andme.com/p/d636d985a0daf7e4/profile/1075a42c2b32aae6/?message=1" TargetMode="External"/><Relationship Id="rId186" Type="http://schemas.openxmlformats.org/officeDocument/2006/relationships/hyperlink" Target="https://dnapainter.com/tools/sharedcmv4/9?fbclid=IwAR3wqfKWVRq1DI_x4i7OjYx5ayGhdwQu5Tj-9K3u_CVvBxgEWwX7fHipJPs" TargetMode="External"/><Relationship Id="rId211" Type="http://schemas.openxmlformats.org/officeDocument/2006/relationships/hyperlink" Target="https://www.ancestry.co.uk/family-tree/person/tree/163868056/person/342565452122/facts" TargetMode="External"/><Relationship Id="rId27" Type="http://schemas.openxmlformats.org/officeDocument/2006/relationships/hyperlink" Target="https://www.ancestry.co.uk/family-tree/person/tree/163868056/person/342132993141/facts" TargetMode="External"/><Relationship Id="rId48" Type="http://schemas.openxmlformats.org/officeDocument/2006/relationships/hyperlink" Target="https://www.ancestry.co.uk/family-tree/person/tree/163868056/person/342132993104/facts" TargetMode="External"/><Relationship Id="rId69" Type="http://schemas.openxmlformats.org/officeDocument/2006/relationships/hyperlink" Target="https://www.ancestry.co.uk/family-tree/tree/163868056/family?cfpid=342153444797" TargetMode="External"/><Relationship Id="rId113" Type="http://schemas.openxmlformats.org/officeDocument/2006/relationships/hyperlink" Target="https://dnapainter.com/tools/sharedcmv4/35?fbclid=IwAR3wqfKWVRq1DI_x4i7OjYx5ayGhdwQu5Tj-9K3u_CVvBxgEWwX7fHipJPs" TargetMode="External"/><Relationship Id="rId134" Type="http://schemas.openxmlformats.org/officeDocument/2006/relationships/hyperlink" Target="https://dnapainter.com/tools/sharedcmv4/34?fbclid=IwAR3wqfKWVRq1DI_x4i7OjYx5ayGhdwQu5Tj-9K3u_CVvBxgEWwX7fHipJPs" TargetMode="External"/><Relationship Id="rId80" Type="http://schemas.openxmlformats.org/officeDocument/2006/relationships/hyperlink" Target="https://www.ancestry.co.uk/family-tree/tree/163868056/family?cfpid=342305763346" TargetMode="External"/><Relationship Id="rId155" Type="http://schemas.openxmlformats.org/officeDocument/2006/relationships/hyperlink" Target="https://dnapainter.com/tools/sharedcmv4/12?fbclid=IwAR3wqfKWVRq1DI_x4i7OjYx5ayGhdwQu5Tj-9K3u_CVvBxgEWwX7fHipJPs" TargetMode="External"/><Relationship Id="rId176" Type="http://schemas.openxmlformats.org/officeDocument/2006/relationships/hyperlink" Target="https://www.ancestry.co.uk/family-tree/person/tree/163868056/person/342565452124/facts" TargetMode="External"/><Relationship Id="rId197" Type="http://schemas.openxmlformats.org/officeDocument/2006/relationships/hyperlink" Target="https://www.ancestry.co.uk/family-tree/tree/163868056/family/pedigree?cfpid=342567920183" TargetMode="External"/><Relationship Id="rId201" Type="http://schemas.openxmlformats.org/officeDocument/2006/relationships/hyperlink" Target="https://www.ancestry.co.uk/family-tree/person/tree/163868056/person/342133217376/facts" TargetMode="External"/><Relationship Id="rId222" Type="http://schemas.openxmlformats.org/officeDocument/2006/relationships/hyperlink" Target="https://dnapainter.com/tools/sharedcmv4/61?fbclid=IwAR3wqfKWVRq1DI_x4i7OjYx5ayGhdwQu5Tj-9K3u_CVvBxgEWwX7fHipJPs" TargetMode="External"/><Relationship Id="rId17" Type="http://schemas.openxmlformats.org/officeDocument/2006/relationships/hyperlink" Target="https://www.ancestry.co.uk/family-tree/person/tree/163868056/person/342132992970/facts" TargetMode="External"/><Relationship Id="rId38" Type="http://schemas.openxmlformats.org/officeDocument/2006/relationships/hyperlink" Target="https://www.ancestry.co.uk/family-tree/person/tree/163868056/person/342132993142/facts" TargetMode="External"/><Relationship Id="rId59" Type="http://schemas.openxmlformats.org/officeDocument/2006/relationships/hyperlink" Target="https://www.ancestry.co.uk/family-tree/person/tree/163868056/person/342133217376/facts" TargetMode="External"/><Relationship Id="rId103" Type="http://schemas.openxmlformats.org/officeDocument/2006/relationships/hyperlink" Target="https://dnapainter.com/tools/sharedcmv4/6?fbclid=IwAR3wqfKWVRq1DI_x4i7OjYx5ayGhdwQu5Tj-9K3u_CVvBxgEWwX7fHipJPs" TargetMode="External"/><Relationship Id="rId124" Type="http://schemas.openxmlformats.org/officeDocument/2006/relationships/hyperlink" Target="https://dnapainter.com/tools/sharedcmv4/112?fbclid=IwAR3wqfKWVRq1DI_x4i7OjYx5ayGhdwQu5Tj-9K3u_CVvBxgEWwX7fHipJPs" TargetMode="External"/><Relationship Id="rId70" Type="http://schemas.openxmlformats.org/officeDocument/2006/relationships/hyperlink" Target="https://www.ancestry.co.uk/family-tree/tree/163868056/family?cfpid=342224747486" TargetMode="External"/><Relationship Id="rId91" Type="http://schemas.openxmlformats.org/officeDocument/2006/relationships/hyperlink" Target="https://www.ancestry.co.uk/discoveryui-matches/compare/50A7C5EF-9E94-44BE-A86A-5736956A97F2/with/CEF3FD25-D666-4A0D-AAF4-BBB2C5974E64" TargetMode="External"/><Relationship Id="rId145" Type="http://schemas.openxmlformats.org/officeDocument/2006/relationships/hyperlink" Target="https://www.myheritage.com/dna/match/D-9E1FE62B-73EF-414E-8CC5-9A2285D9F64A-D-3B6DEF39-7D20-4F05-9052-6C090509EB65/691113321?p=1&amp;ps=10&amp;search=banham&amp;sort=total_shared_segments_length_in_cm&amp;siteId=691113321&amp;individualId=12000007" TargetMode="External"/><Relationship Id="rId166" Type="http://schemas.openxmlformats.org/officeDocument/2006/relationships/hyperlink" Target="https://dnapainter.com/tools/sharedcmv4/46?fbclid=IwAR3wqfKWVRq1DI_x4i7OjYx5ayGhdwQu5Tj-9K3u_CVvBxgEWwX7fHipJPs" TargetMode="External"/><Relationship Id="rId187" Type="http://schemas.openxmlformats.org/officeDocument/2006/relationships/hyperlink" Target="https://www.ancestry.co.uk/family-tree/person/tree/163868056/person/342565452122/facts" TargetMode="External"/><Relationship Id="rId1" Type="http://schemas.openxmlformats.org/officeDocument/2006/relationships/hyperlink" Target="https://www.ancestry.co.uk/family-tree/person/tree/163868056/person/342132992964/facts" TargetMode="External"/><Relationship Id="rId212" Type="http://schemas.openxmlformats.org/officeDocument/2006/relationships/hyperlink" Target="https://www.ancestry.co.uk/family-tree/person/tree/163868056/person/342565452124/facts" TargetMode="External"/><Relationship Id="rId28" Type="http://schemas.openxmlformats.org/officeDocument/2006/relationships/hyperlink" Target="https://www.ancestry.co.uk/family-tree/person/tree/163868056/person/342132993141/facts" TargetMode="External"/><Relationship Id="rId49" Type="http://schemas.openxmlformats.org/officeDocument/2006/relationships/hyperlink" Target="https://www.ancestry.co.uk/family-tree/person/tree/163868056/person/342132993142/facts" TargetMode="External"/><Relationship Id="rId114" Type="http://schemas.openxmlformats.org/officeDocument/2006/relationships/hyperlink" Target="https://dnapainter.com/tools/sharedcmv4/36?fbclid=IwAR3wqfKWVRq1DI_x4i7OjYx5ayGhdwQu5Tj-9K3u_CVvBxgEWwX7fHipJPs" TargetMode="External"/><Relationship Id="rId60" Type="http://schemas.openxmlformats.org/officeDocument/2006/relationships/hyperlink" Target="https://www.ancestry.co.uk/family-tree/person/tree/163868056/person/342133217376/facts" TargetMode="External"/><Relationship Id="rId81" Type="http://schemas.openxmlformats.org/officeDocument/2006/relationships/hyperlink" Target="https://www.ancestry.co.uk/discoveryui-matches/compare/8955cf51-8070-4a51-8674-b7f01b347aed/with/95635237-13b9-424a-8cd6-05d72eb01bba" TargetMode="External"/><Relationship Id="rId135" Type="http://schemas.openxmlformats.org/officeDocument/2006/relationships/hyperlink" Target="https://www.ancestry.co.uk/family-tree/person/tree/163868056/person/342132992964/facts" TargetMode="External"/><Relationship Id="rId156" Type="http://schemas.openxmlformats.org/officeDocument/2006/relationships/hyperlink" Target="https://dnapainter.com/tools/sharedcmv4/61?fbclid=IwAR3wqfKWVRq1DI_x4i7OjYx5ayGhdwQu5Tj-9K3u_CVvBxgEWwX7fHipJPs" TargetMode="External"/><Relationship Id="rId177" Type="http://schemas.openxmlformats.org/officeDocument/2006/relationships/hyperlink" Target="https://www.ancestry.co.uk/family-tree/person/tree/163868056/person/342132992964/facts" TargetMode="External"/><Relationship Id="rId198" Type="http://schemas.openxmlformats.org/officeDocument/2006/relationships/hyperlink" Target="https://www.myheritage.com/dna/match/D-9E1FE62B-73EF-414E-8CC5-9A2285D9F64A-D-E1D67565-5359-4467-897F-B2A1BD30823A/691113321?p=1&amp;ps=10&amp;sort=total_shared_segments_length_in_cm&amp;filter=theories_of_family_relativity&amp;siteId=691113321&amp;individualId=12000007&amp;index=7" TargetMode="External"/><Relationship Id="rId202" Type="http://schemas.openxmlformats.org/officeDocument/2006/relationships/hyperlink" Target="https://www.ancestry.co.uk/family-tree/person/tree/163868056/person/342132992970/facts" TargetMode="External"/><Relationship Id="rId223" Type="http://schemas.openxmlformats.org/officeDocument/2006/relationships/hyperlink" Target="https://www.ancestry.co.uk/family-tree/person/tree/163868056/person/342565452122/facts" TargetMode="External"/><Relationship Id="rId18" Type="http://schemas.openxmlformats.org/officeDocument/2006/relationships/hyperlink" Target="https://www.ancestry.co.uk/family-tree/person/tree/163868056/person/342132992970/facts" TargetMode="External"/><Relationship Id="rId39" Type="http://schemas.openxmlformats.org/officeDocument/2006/relationships/hyperlink" Target="https://www.ancestry.co.uk/family-tree/person/tree/163868056/person/342132993142/facts" TargetMode="External"/><Relationship Id="rId50" Type="http://schemas.openxmlformats.org/officeDocument/2006/relationships/hyperlink" Target="https://www.ancestry.co.uk/family-tree/person/tree/163868056/person/342132998055/facts" TargetMode="External"/><Relationship Id="rId104" Type="http://schemas.openxmlformats.org/officeDocument/2006/relationships/hyperlink" Target="https://dnapainter.com/tools/sharedcmv4/14?fbclid=IwAR3wqfKWVRq1DI_x4i7OjYx5ayGhdwQu5Tj-9K3u_CVvBxgEWwX7fHipJPs" TargetMode="External"/><Relationship Id="rId125" Type="http://schemas.openxmlformats.org/officeDocument/2006/relationships/hyperlink" Target="https://dnapainter.com/tools/sharedcmv4/154?fbclid=IwAR3wqfKWVRq1DI_x4i7OjYx5ayGhdwQu5Tj-9K3u_CVvBxgEWwX7fHipJPs" TargetMode="External"/><Relationship Id="rId146" Type="http://schemas.openxmlformats.org/officeDocument/2006/relationships/hyperlink" Target="https://dnapainter.com/tools/sharedcmv4/55.3?fbclid=IwAR3wqfKWVRq1DI_x4i7OjYx5ayGhdwQu5Tj-9K3u_CVvBxgEWwX7fHipJPs" TargetMode="External"/><Relationship Id="rId167" Type="http://schemas.openxmlformats.org/officeDocument/2006/relationships/hyperlink" Target="https://www.ancestry.co.uk/family-tree/tree/163868056/family?cfpid=342566207594" TargetMode="External"/><Relationship Id="rId188" Type="http://schemas.openxmlformats.org/officeDocument/2006/relationships/hyperlink" Target="https://www.ancestry.co.uk/family-tree/person/tree/163868056/person/342565452124/facts" TargetMode="External"/><Relationship Id="rId71" Type="http://schemas.openxmlformats.org/officeDocument/2006/relationships/hyperlink" Target="https://you.23andme.com/profile/1a6c273ce47b930c/" TargetMode="External"/><Relationship Id="rId92" Type="http://schemas.openxmlformats.org/officeDocument/2006/relationships/hyperlink" Target="https://www.ancestry.co.uk/discoveryui-matches/compare/50A7C5EF-9E94-44BE-A86A-5736956A97F2/with/7DDEFC6C-C306-42F9-9D4A-C6FF9DC7A89B" TargetMode="External"/><Relationship Id="rId213" Type="http://schemas.openxmlformats.org/officeDocument/2006/relationships/hyperlink" Target="https://www.ancestry.co.uk/discoveryui-matches/compare/8955cf51-8070-4a51-8674-b7f01b347aed/with/e8869a50-e3e9-44d4-9fe1-526c325462ba" TargetMode="External"/><Relationship Id="rId2" Type="http://schemas.openxmlformats.org/officeDocument/2006/relationships/hyperlink" Target="https://www.ancestry.co.uk/family-tree/person/tree/163868056/person/342132992964/facts" TargetMode="External"/><Relationship Id="rId29" Type="http://schemas.openxmlformats.org/officeDocument/2006/relationships/hyperlink" Target="https://www.ancestry.co.uk/family-tree/person/tree/163868056/person/342132993141/facts" TargetMode="External"/><Relationship Id="rId40" Type="http://schemas.openxmlformats.org/officeDocument/2006/relationships/hyperlink" Target="https://www.ancestry.co.uk/family-tree/person/tree/163868056/person/342132993142/facts" TargetMode="External"/><Relationship Id="rId115" Type="http://schemas.openxmlformats.org/officeDocument/2006/relationships/hyperlink" Target="https://dnapainter.com/tools/sharedcmv4/37?fbclid=IwAR3wqfKWVRq1DI_x4i7OjYx5ayGhdwQu5Tj-9K3u_CVvBxgEWwX7fHipJPs" TargetMode="External"/><Relationship Id="rId136" Type="http://schemas.openxmlformats.org/officeDocument/2006/relationships/hyperlink" Target="https://www.ancestry.co.uk/family-tree/person/tree/163868056/person/342132993141/facts" TargetMode="External"/><Relationship Id="rId157" Type="http://schemas.openxmlformats.org/officeDocument/2006/relationships/hyperlink" Target="https://www.ancestry.co.uk/family-tree/person/tree/163868056/person/342565452122/facts" TargetMode="External"/><Relationship Id="rId178" Type="http://schemas.openxmlformats.org/officeDocument/2006/relationships/hyperlink" Target="https://www.ancestry.co.uk/discoveryui-matches/compare/50a7c5ef-9e94-44be-a86a-5736956a97f2/with/f7d0c3f6-b42f-4fd5-9a11-caf90e6f543d/sharedmatches" TargetMode="External"/><Relationship Id="rId61" Type="http://schemas.openxmlformats.org/officeDocument/2006/relationships/hyperlink" Target="https://www.ancestry.co.uk/family-tree/person/tree/163868056/person/342133217376/facts" TargetMode="External"/><Relationship Id="rId82" Type="http://schemas.openxmlformats.org/officeDocument/2006/relationships/hyperlink" Target="https://www.ancestry.co.uk/family-tree/tree/163868056/family?cfpid=342165333018" TargetMode="External"/><Relationship Id="rId199" Type="http://schemas.openxmlformats.org/officeDocument/2006/relationships/hyperlink" Target="https://dnapainter.com/tools/sharedcmv4/28?fbclid=IwAR3wqfKWVRq1DI_x4i7OjYx5ayGhdwQu5Tj-9K3u_CVvBxgEWwX7fHipJPs" TargetMode="External"/><Relationship Id="rId203" Type="http://schemas.openxmlformats.org/officeDocument/2006/relationships/hyperlink" Target="https://www.ancestry.co.uk/family-tree/tree/163868056/family?cfpid=342569785026" TargetMode="External"/><Relationship Id="rId19" Type="http://schemas.openxmlformats.org/officeDocument/2006/relationships/hyperlink" Target="https://www.ancestry.co.uk/family-tree/person/tree/163868056/person/342132992970/facts" TargetMode="External"/><Relationship Id="rId224" Type="http://schemas.openxmlformats.org/officeDocument/2006/relationships/hyperlink" Target="https://www.ancestry.co.uk/family-tree/person/tree/163868056/person/342565452124/facts" TargetMode="External"/><Relationship Id="rId30" Type="http://schemas.openxmlformats.org/officeDocument/2006/relationships/hyperlink" Target="https://www.ancestry.co.uk/family-tree/person/tree/163868056/person/342132993141/facts" TargetMode="External"/><Relationship Id="rId105" Type="http://schemas.openxmlformats.org/officeDocument/2006/relationships/hyperlink" Target="https://dnapainter.com/tools/sharedcmv4/15?fbclid=IwAR3wqfKWVRq1DI_x4i7OjYx5ayGhdwQu5Tj-9K3u_CVvBxgEWwX7fHipJPs" TargetMode="External"/><Relationship Id="rId126" Type="http://schemas.openxmlformats.org/officeDocument/2006/relationships/hyperlink" Target="https://dnapainter.com/tools/sharedcmv4/265?fbclid=IwAR3wqfKWVRq1DI_x4i7OjYx5ayGhdwQu5Tj-9K3u_CVvBxgEWwX7fHipJPs" TargetMode="External"/><Relationship Id="rId147" Type="http://schemas.openxmlformats.org/officeDocument/2006/relationships/hyperlink" Target="https://www.ancestry.co.uk/family-tree/person/tree/163868056/person/342133217376/facts" TargetMode="External"/><Relationship Id="rId168" Type="http://schemas.openxmlformats.org/officeDocument/2006/relationships/hyperlink" Target="https://www.ancestry.co.uk/family-tree/person/tree/163868056/person/342132992970/facts" TargetMode="External"/><Relationship Id="rId51" Type="http://schemas.openxmlformats.org/officeDocument/2006/relationships/hyperlink" Target="https://www.ancestry.co.uk/family-tree/person/tree/163868056/person/342132998055/facts" TargetMode="External"/><Relationship Id="rId72" Type="http://schemas.openxmlformats.org/officeDocument/2006/relationships/hyperlink" Target="https://www.ancestry.co.uk/family-tree/tree/163868056/family?cfpid=342379058364" TargetMode="External"/><Relationship Id="rId93" Type="http://schemas.openxmlformats.org/officeDocument/2006/relationships/hyperlink" Target="https://www.myheritage.com/dna/match/D-FCAECA02-7114-4F38-B398-0BCC0AEF0669-D-27D29C75-71E3-4708-8CE0-15AF29A3894A/691113321?p=1&amp;ps=10&amp;search=tim%20swain&amp;sort=total_shared_segments_length_in_cm&amp;memberId=704364871" TargetMode="External"/><Relationship Id="rId189" Type="http://schemas.openxmlformats.org/officeDocument/2006/relationships/hyperlink" Target="https://www.ancestry.co.uk/discoveryui-matches/compare/8955cf51-8070-4a51-8674-b7f01b347aed/with/99186b81-aa40-46ea-8ef1-3661c2d648de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ncestry.co.uk/family-tree/person/tree/163868056/person/342286426340/facts" TargetMode="External"/><Relationship Id="rId2" Type="http://schemas.openxmlformats.org/officeDocument/2006/relationships/hyperlink" Target="https://www.ancestry.co.uk/family-tree/person/tree/163868056/person/342286426339/facts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dnapainter.com/tools/sharedcmv4/9?fbclid=IwAR3wqfKWVRq1DI_x4i7OjYx5ayGhdwQu5Tj-9K3u_CVvBxgEWwX7fHipJPs" TargetMode="External"/><Relationship Id="rId5" Type="http://schemas.openxmlformats.org/officeDocument/2006/relationships/hyperlink" Target="https://www.ancestry.co.uk/discoveryui-matches/compare/50A7C5EF-9E94-44BE-A86A-5736956A97F2/with/F94B4DAA-180F-47D8-A5DA-2563303F2019" TargetMode="External"/><Relationship Id="rId4" Type="http://schemas.openxmlformats.org/officeDocument/2006/relationships/hyperlink" Target="https://www.ancestry.co.uk/family-tree/tree/163868056/family?cfpid=342355383133" TargetMode="External"/></Relationships>
</file>

<file path=xl/worksheets/_rels/sheet28.xml.rels><?xml version="1.0" encoding="UTF-8" standalone="yes"?>
<Relationships xmlns="http://schemas.openxmlformats.org/package/2006/relationships"><Relationship Id="rId13" Type="http://schemas.openxmlformats.org/officeDocument/2006/relationships/hyperlink" Target="https://dnapainter.com/tools/sharedcmv4/10?fbclid=IwAR3wqfKWVRq1DI_x4i7OjYx5ayGhdwQu5Tj-9K3u_CVvBxgEWwX7fHipJPs" TargetMode="External"/><Relationship Id="rId18" Type="http://schemas.openxmlformats.org/officeDocument/2006/relationships/hyperlink" Target="https://www.ancestry.co.uk/discoveryui-matches/compare/50a7c5ef-9e94-44be-a86a-5736956a97f2/with/7ba06dbd-c176-49b5-9f14-ff8adb0c7497" TargetMode="External"/><Relationship Id="rId26" Type="http://schemas.openxmlformats.org/officeDocument/2006/relationships/hyperlink" Target="https://www.ancestry.co.uk/family-tree/person/tree/163868056/person/342132992964/facts" TargetMode="External"/><Relationship Id="rId21" Type="http://schemas.openxmlformats.org/officeDocument/2006/relationships/hyperlink" Target="https://www.ancestry.co.uk/family-tree/person/tree/163868056/person/342132992964/facts" TargetMode="External"/><Relationship Id="rId34" Type="http://schemas.openxmlformats.org/officeDocument/2006/relationships/hyperlink" Target="https://www.ancestry.co.uk/family-tree/person/tree/163868056/person/342173268084/facts" TargetMode="External"/><Relationship Id="rId7" Type="http://schemas.openxmlformats.org/officeDocument/2006/relationships/hyperlink" Target="https://www.ancestry.co.uk/family-tree/person/tree/163868056/person/342185115886/facts" TargetMode="External"/><Relationship Id="rId12" Type="http://schemas.openxmlformats.org/officeDocument/2006/relationships/hyperlink" Target="https://dnapainter.com/tools/sharedcmv4/8?fbclid=IwAR3wqfKWVRq1DI_x4i7OjYx5ayGhdwQu5Tj-9K3u_CVvBxgEWwX7fHipJPs" TargetMode="External"/><Relationship Id="rId17" Type="http://schemas.openxmlformats.org/officeDocument/2006/relationships/hyperlink" Target="https://www.ancestry.co.uk/family-tree/person/tree/163868056/person/342304738690/facts" TargetMode="External"/><Relationship Id="rId25" Type="http://schemas.openxmlformats.org/officeDocument/2006/relationships/hyperlink" Target="https://www.ancestry.co.uk/family-tree/person/tree/163868056/person/342173268084/facts" TargetMode="External"/><Relationship Id="rId33" Type="http://schemas.openxmlformats.org/officeDocument/2006/relationships/hyperlink" Target="https://dnapainter.com/tools/sharedcmv4/19?fbclid=IwAR3wqfKWVRq1DI_x4i7OjYx5ayGhdwQu5Tj-9K3u_CVvBxgEWwX7fHipJPs" TargetMode="External"/><Relationship Id="rId38" Type="http://schemas.openxmlformats.org/officeDocument/2006/relationships/hyperlink" Target="https://dnapainter.com/tools/sharedcmv4/19?fbclid=IwAR3wqfKWVRq1DI_x4i7OjYx5ayGhdwQu5Tj-9K3u_CVvBxgEWwX7fHipJPs" TargetMode="External"/><Relationship Id="rId2" Type="http://schemas.openxmlformats.org/officeDocument/2006/relationships/hyperlink" Target="https://www.ancestry.co.uk/family-tree/person/tree/163868056/person/342132992964/facts" TargetMode="External"/><Relationship Id="rId16" Type="http://schemas.openxmlformats.org/officeDocument/2006/relationships/hyperlink" Target="https://www.ancestry.co.uk/family-tree/person/tree/163868056/person/342185115894/facts" TargetMode="External"/><Relationship Id="rId20" Type="http://schemas.openxmlformats.org/officeDocument/2006/relationships/hyperlink" Target="https://www.ancestry.co.uk/family-tree/tree/163868056/family/pedigree?cfpid=342593371505" TargetMode="External"/><Relationship Id="rId29" Type="http://schemas.openxmlformats.org/officeDocument/2006/relationships/hyperlink" Target="https://www.ancestry.co.uk/family-tree/person/tree/163868056/person/342173268084/facts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www.ancestry.co.uk/family-tree/person/tree/163868056/person/342304738690/facts" TargetMode="External"/><Relationship Id="rId11" Type="http://schemas.openxmlformats.org/officeDocument/2006/relationships/hyperlink" Target="https://www.ancestry.co.uk/discoveryui-matches/compare/50A7C5EF-9E94-44BE-A86A-5736956A97F2/with/A8352D2A-DF01-48C6-AE33-D55DE906D535" TargetMode="External"/><Relationship Id="rId24" Type="http://schemas.openxmlformats.org/officeDocument/2006/relationships/hyperlink" Target="https://dnapainter.com/tools/sharedcmv4/21?fbclid=IwAR3wqfKWVRq1DI_x4i7OjYx5ayGhdwQu5Tj-9K3u_CVvBxgEWwX7fHipJPs" TargetMode="External"/><Relationship Id="rId32" Type="http://schemas.openxmlformats.org/officeDocument/2006/relationships/hyperlink" Target="https://www.ancestry.co.uk/discoveryui-matches/compare/50a7c5ef-9e94-44be-a86a-5736956a97f2/with/b9ab4cdf-0c50-4c6d-b87e-45861f67d835" TargetMode="External"/><Relationship Id="rId37" Type="http://schemas.openxmlformats.org/officeDocument/2006/relationships/hyperlink" Target="https://dnapainter.com/tools/sharedcmv4/19?fbclid=IwAR3wqfKWVRq1DI_x4i7OjYx5ayGhdwQu5Tj-9K3u_CVvBxgEWwX7fHipJPs" TargetMode="External"/><Relationship Id="rId5" Type="http://schemas.openxmlformats.org/officeDocument/2006/relationships/hyperlink" Target="https://www.ancestry.co.uk/family-tree/person/tree/163868056/person/342185115894/facts" TargetMode="External"/><Relationship Id="rId15" Type="http://schemas.openxmlformats.org/officeDocument/2006/relationships/hyperlink" Target="https://www.ancestry.co.uk/family-tree/person/tree/163868056/person/342132992964/facts" TargetMode="External"/><Relationship Id="rId23" Type="http://schemas.openxmlformats.org/officeDocument/2006/relationships/hyperlink" Target="https://www.ancestry.co.uk/discoveryui-matches/compare/50a7c5ef-9e94-44be-a86a-5736956a97f2/with/3d97ba39-0f95-49c6-9cb8-2585cfbb3ab2" TargetMode="External"/><Relationship Id="rId28" Type="http://schemas.openxmlformats.org/officeDocument/2006/relationships/hyperlink" Target="https://dnapainter.com/tools/sharedcmv4/20?fbclid=IwAR3wqfKWVRq1DI_x4i7OjYx5ayGhdwQu5Tj-9K3u_CVvBxgEWwX7fHipJPs" TargetMode="External"/><Relationship Id="rId36" Type="http://schemas.openxmlformats.org/officeDocument/2006/relationships/hyperlink" Target="https://dnapainter.com/tools/sharedcmv4/28?fbclid=IwAR3wqfKWVRq1DI_x4i7OjYx5ayGhdwQu5Tj-9K3u_CVvBxgEWwX7fHipJPs" TargetMode="External"/><Relationship Id="rId10" Type="http://schemas.openxmlformats.org/officeDocument/2006/relationships/hyperlink" Target="https://www.ancestry.co.uk/family-tree/tree/163868056/family?cfpid=342304748209" TargetMode="External"/><Relationship Id="rId19" Type="http://schemas.openxmlformats.org/officeDocument/2006/relationships/hyperlink" Target="https://dnapainter.com/tools/sharedcmv4/9?fbclid=IwAR3wqfKWVRq1DI_x4i7OjYx5ayGhdwQu5Tj-9K3u_CVvBxgEWwX7fHipJPs" TargetMode="External"/><Relationship Id="rId31" Type="http://schemas.openxmlformats.org/officeDocument/2006/relationships/hyperlink" Target="https://www.ancestry.co.uk/family-tree/person/tree/163868056/person/342132992964/facts" TargetMode="External"/><Relationship Id="rId4" Type="http://schemas.openxmlformats.org/officeDocument/2006/relationships/hyperlink" Target="https://www.ancestry.co.uk/family-tree/person/tree/163868056/person/342174861693/facts" TargetMode="External"/><Relationship Id="rId9" Type="http://schemas.openxmlformats.org/officeDocument/2006/relationships/hyperlink" Target="https://www.ancestry.co.uk/discoveryui-matches/compare/8955cf51-8070-4a51-8674-b7f01b347aed/with/f775b3d5-6667-4a30-9df5-5295bfdfe38b" TargetMode="External"/><Relationship Id="rId14" Type="http://schemas.openxmlformats.org/officeDocument/2006/relationships/hyperlink" Target="https://dnapainter.com/tools/sharedcmv4/12?fbclid=IwAR3wqfKWVRq1DI_x4i7OjYx5ayGhdwQu5Tj-9K3u_CVvBxgEWwX7fHipJPs" TargetMode="External"/><Relationship Id="rId22" Type="http://schemas.openxmlformats.org/officeDocument/2006/relationships/hyperlink" Target="https://www.ancestry.co.uk/family-tree/tree/163868056/family/pedigree?cfpid=342607127624" TargetMode="External"/><Relationship Id="rId27" Type="http://schemas.openxmlformats.org/officeDocument/2006/relationships/hyperlink" Target="https://www.ancestry.co.uk/discoveryui-matches/compare/50a7c5ef-9e94-44be-a86a-5736956a97f2/with/5a2e476d-5ef0-46c2-9922-30237839117f" TargetMode="External"/><Relationship Id="rId30" Type="http://schemas.openxmlformats.org/officeDocument/2006/relationships/hyperlink" Target="https://d.docs.live.net/D32613E9A4B09111/Documents/v" TargetMode="External"/><Relationship Id="rId35" Type="http://schemas.openxmlformats.org/officeDocument/2006/relationships/hyperlink" Target="https://www.ancestry.co.uk/family-tree/tree/163868056/family/pedigree?cfpid=342607127716" TargetMode="External"/><Relationship Id="rId8" Type="http://schemas.openxmlformats.org/officeDocument/2006/relationships/hyperlink" Target="https://www.ancestry.co.uk/family-tree/tree/163868056/family?cfpid=342362158872" TargetMode="External"/><Relationship Id="rId3" Type="http://schemas.openxmlformats.org/officeDocument/2006/relationships/hyperlink" Target="https://www.ancestry.co.uk/family-tree/person/tree/163868056/person/342174861700/facts" TargetMode="Externa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ncestry.co.uk/family-tree/person/tree/163868056/person/342236050566/facts" TargetMode="External"/><Relationship Id="rId13" Type="http://schemas.openxmlformats.org/officeDocument/2006/relationships/hyperlink" Target="https://www.ancestry.co.uk/family-tree/person/tree/163868056/person/342236049890/facts" TargetMode="External"/><Relationship Id="rId18" Type="http://schemas.openxmlformats.org/officeDocument/2006/relationships/hyperlink" Target="https://www.ancestry.co.uk/family-tree/tree/163868056/family/pedigree?cfpid=342559559833" TargetMode="External"/><Relationship Id="rId3" Type="http://schemas.openxmlformats.org/officeDocument/2006/relationships/hyperlink" Target="https://www.ancestry.co.uk/discoveryui-matches/compare/50A7C5EF-9E94-44BE-A86A-5736956A97F2/with/69C8FCCD-D069-401F-9456-A7D6ECD2CC57" TargetMode="External"/><Relationship Id="rId7" Type="http://schemas.openxmlformats.org/officeDocument/2006/relationships/hyperlink" Target="https://www.ancestry.co.uk/family-tree/person/tree/163868056/person/342236049890/facts" TargetMode="External"/><Relationship Id="rId12" Type="http://schemas.openxmlformats.org/officeDocument/2006/relationships/hyperlink" Target="https://www.ancestry.co.uk/discoveryui-matches/compare/50A7C5EF-9E94-44BE-A86A-5736956A97F2/with/AEC1B584-22E1-454D-8424-5C63C9AA7143/matchesofmatches" TargetMode="External"/><Relationship Id="rId17" Type="http://schemas.openxmlformats.org/officeDocument/2006/relationships/hyperlink" Target="https://www.ancestry.co.uk/family-tree/tree/163868056/family/pedigree?cfpid=342132992964" TargetMode="External"/><Relationship Id="rId2" Type="http://schemas.openxmlformats.org/officeDocument/2006/relationships/hyperlink" Target="https://www.ancestry.co.uk/family-tree/person/tree/163868056/person/342236050566/facts" TargetMode="External"/><Relationship Id="rId16" Type="http://schemas.openxmlformats.org/officeDocument/2006/relationships/hyperlink" Target="https://dnapainter.com/tools/sharedcmv4/57?fbclid=IwAR3wqfKWVRq1DI_x4i7OjYx5ayGhdwQu5Tj-9K3u_CVvBxgEWwX7fHipJPs" TargetMode="External"/><Relationship Id="rId1" Type="http://schemas.openxmlformats.org/officeDocument/2006/relationships/hyperlink" Target="https://www.ancestry.co.uk/family-tree/person/tree/163868056/person/342236049890/facts" TargetMode="External"/><Relationship Id="rId6" Type="http://schemas.openxmlformats.org/officeDocument/2006/relationships/hyperlink" Target="https://www.ancestry.co.uk/family-tree/tree/163868056/family/pedigree?cfpid=342132992964" TargetMode="External"/><Relationship Id="rId11" Type="http://schemas.openxmlformats.org/officeDocument/2006/relationships/hyperlink" Target="https://www.ancestry.co.uk/family-tree/tree/163868056/family/pedigree?cfpid=342549821095" TargetMode="External"/><Relationship Id="rId5" Type="http://schemas.openxmlformats.org/officeDocument/2006/relationships/hyperlink" Target="https://www.ancestry.co.uk/family-tree/tree/163868056/family/pedigree?cfpid=342559559858" TargetMode="External"/><Relationship Id="rId15" Type="http://schemas.openxmlformats.org/officeDocument/2006/relationships/hyperlink" Target="https://www.ancestry.co.uk/discoveryui-matches/compare/50a7c5ef-9e94-44be-a86a-5736956a97f2/with/21984503-0d68-4e04-82d4-be87f3346d13" TargetMode="External"/><Relationship Id="rId10" Type="http://schemas.openxmlformats.org/officeDocument/2006/relationships/hyperlink" Target="https://www.ancestry.co.uk/family-tree/tree/163868056/family/pedigree?cfpid=342132992964" TargetMode="External"/><Relationship Id="rId4" Type="http://schemas.openxmlformats.org/officeDocument/2006/relationships/hyperlink" Target="https://dnapainter.com/tools/sharedcmv4/57?fbclid=IwAR3wqfKWVRq1DI_x4i7OjYx5ayGhdwQu5Tj-9K3u_CVvBxgEWwX7fHipJPs" TargetMode="External"/><Relationship Id="rId9" Type="http://schemas.openxmlformats.org/officeDocument/2006/relationships/hyperlink" Target="https://dnapainter.com/tools/sharedcmv4/57?fbclid=IwAR3wqfKWVRq1DI_x4i7OjYx5ayGhdwQu5Tj-9K3u_CVvBxgEWwX7fHipJPs" TargetMode="External"/><Relationship Id="rId14" Type="http://schemas.openxmlformats.org/officeDocument/2006/relationships/hyperlink" Target="https://www.ancestry.co.uk/family-tree/person/tree/163868056/person/342236050566/facts" TargetMode="Externa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ncestry.co.uk/family-tree/person/tree/163868056/person/342236049890/facts" TargetMode="External"/><Relationship Id="rId13" Type="http://schemas.openxmlformats.org/officeDocument/2006/relationships/hyperlink" Target="https://www.ancestry.co.uk/family-tree/person/tree/163868056/person/342132992964/facts" TargetMode="External"/><Relationship Id="rId18" Type="http://schemas.openxmlformats.org/officeDocument/2006/relationships/hyperlink" Target="https://www.ancestry.co.uk/family-tree/person/tree/163868056/person/342132992964/facts" TargetMode="External"/><Relationship Id="rId3" Type="http://schemas.openxmlformats.org/officeDocument/2006/relationships/hyperlink" Target="https://www.ancestry.co.uk/family-tree/person/tree/163868056/person/342236050566/facts" TargetMode="External"/><Relationship Id="rId21" Type="http://schemas.openxmlformats.org/officeDocument/2006/relationships/hyperlink" Target="https://www.ancestry.co.uk/family-tree/person/tree/163868056/person/342236050566/facts" TargetMode="External"/><Relationship Id="rId7" Type="http://schemas.openxmlformats.org/officeDocument/2006/relationships/hyperlink" Target="https://dnapainter.com/tools/sharedcmv4/57?fbclid=IwAR3wqfKWVRq1DI_x4i7OjYx5ayGhdwQu5Tj-9K3u_CVvBxgEWwX7fHipJPs" TargetMode="External"/><Relationship Id="rId12" Type="http://schemas.openxmlformats.org/officeDocument/2006/relationships/hyperlink" Target="https://www.ancestry.co.uk/family-tree/tree/163868056/family?cfpid=342621205787" TargetMode="External"/><Relationship Id="rId17" Type="http://schemas.openxmlformats.org/officeDocument/2006/relationships/hyperlink" Target="https://dnapainter.com/tools/sharedcmv4/24?fbclid=IwAR3wqfKWVRq1DI_x4i7OjYx5ayGhdwQu5Tj-9K3u_CVvBxgEWwX7fHipJPs" TargetMode="External"/><Relationship Id="rId25" Type="http://schemas.openxmlformats.org/officeDocument/2006/relationships/hyperlink" Target="https://www.ancestry.co.uk/family-tree/person/tree/163868056/person/342132992964/facts" TargetMode="External"/><Relationship Id="rId2" Type="http://schemas.openxmlformats.org/officeDocument/2006/relationships/hyperlink" Target="https://www.ancestry.co.uk/family-tree/person/tree/163868056/person/342236049890/facts" TargetMode="External"/><Relationship Id="rId16" Type="http://schemas.openxmlformats.org/officeDocument/2006/relationships/hyperlink" Target="https://www.myheritage.com/dna/match/D-F9099B9B-87A1-4274-827C-AF35BD245736-D-3AEC1003-CA4B-4E94-B5C5-C3A8F577805D/691113321?mode=shared" TargetMode="External"/><Relationship Id="rId20" Type="http://schemas.openxmlformats.org/officeDocument/2006/relationships/hyperlink" Target="https://www.ancestry.co.uk/family-tree/person/tree/163868056/person/342236049890/facts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dnapainter.com/tools/sharedcmv4/11?fbclid=IwAR3wqfKWVRq1DI_x4i7OjYx5ayGhdwQu5Tj-9K3u_CVvBxgEWwX7fHipJPs" TargetMode="External"/><Relationship Id="rId11" Type="http://schemas.openxmlformats.org/officeDocument/2006/relationships/hyperlink" Target="https://dnapainter.com/tools/sharedcmv4/45?fbclid=IwAR3wqfKWVRq1DI_x4i7OjYx5ayGhdwQu5Tj-9K3u_CVvBxgEWwX7fHipJPs" TargetMode="External"/><Relationship Id="rId24" Type="http://schemas.openxmlformats.org/officeDocument/2006/relationships/hyperlink" Target="https://www.ancestry.co.uk/family-tree/tree/163868056/family?cfpid=342621205787" TargetMode="External"/><Relationship Id="rId5" Type="http://schemas.openxmlformats.org/officeDocument/2006/relationships/hyperlink" Target="https://www.ancestry.co.uk/discoveryui-matches/compare/8955cf51-8070-4a51-8674-b7f01b347aed/with/01695529-9b64-4dd2-8415-8c07ca8084eb" TargetMode="External"/><Relationship Id="rId15" Type="http://schemas.openxmlformats.org/officeDocument/2006/relationships/hyperlink" Target="https://www.ancestry.co.uk/family-tree/person/tree/163868056/person/342236050566/facts" TargetMode="External"/><Relationship Id="rId23" Type="http://schemas.openxmlformats.org/officeDocument/2006/relationships/hyperlink" Target="https://dnapainter.com/tools/sharedcmv4/45?fbclid=IwAR3wqfKWVRq1DI_x4i7OjYx5ayGhdwQu5Tj-9K3u_CVvBxgEWwX7fHipJPs" TargetMode="External"/><Relationship Id="rId10" Type="http://schemas.openxmlformats.org/officeDocument/2006/relationships/hyperlink" Target="https://www.myheritage.com/dna/match/D-F9099B9B-87A1-4274-827C-AF35BD245736-D-DE285CAE-964A-4A20-BCA3-B9E01A71C6A4/691113321?p=1&amp;ps=10&amp;search=christine%20murray&amp;sort=total_shared_segments_length_in_cm&amp;memberId=704364871&amp;index=0" TargetMode="External"/><Relationship Id="rId19" Type="http://schemas.openxmlformats.org/officeDocument/2006/relationships/hyperlink" Target="https://www.ancestry.co.uk/family-tree/tree/163868056/family?cfpid=342621224498" TargetMode="External"/><Relationship Id="rId4" Type="http://schemas.openxmlformats.org/officeDocument/2006/relationships/hyperlink" Target="https://www.ancestry.co.uk/family-tree/tree/163868056/family?cfpid=342236057657" TargetMode="External"/><Relationship Id="rId9" Type="http://schemas.openxmlformats.org/officeDocument/2006/relationships/hyperlink" Target="https://www.ancestry.co.uk/family-tree/person/tree/163868056/person/342236050566/facts" TargetMode="External"/><Relationship Id="rId14" Type="http://schemas.openxmlformats.org/officeDocument/2006/relationships/hyperlink" Target="https://www.ancestry.co.uk/family-tree/person/tree/163868056/person/342236049890/facts" TargetMode="External"/><Relationship Id="rId22" Type="http://schemas.openxmlformats.org/officeDocument/2006/relationships/hyperlink" Target="https://www.myheritage.com/dna/match/D-F9099B9B-87A1-4274-827C-AF35BD245736-D-DE285CAE-964A-4A20-BCA3-B9E01A71C6A4/691113321?p=1&amp;ps=10&amp;search=christine%20murray&amp;sort=total_shared_segments_length_in_cm&amp;memberId=704364871&amp;index=0" TargetMode="External"/></Relationships>
</file>

<file path=xl/worksheets/_rels/sheet3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ncestry.co.uk/discoveryui-matches/compare/50A7C5EF-9E94-44BE-A86A-5736956A97F2/with/409DB875-2EFB-496A-9BE5-4DF2F0933658" TargetMode="External"/><Relationship Id="rId21" Type="http://schemas.openxmlformats.org/officeDocument/2006/relationships/hyperlink" Target="https://www.ancestry.co.uk/family-tree/person/tree/163868056/person/342132992964/facts" TargetMode="External"/><Relationship Id="rId42" Type="http://schemas.openxmlformats.org/officeDocument/2006/relationships/hyperlink" Target="https://www.ancestry.co.uk/family-tree/person/tree/163868056/person/342173014064/facts" TargetMode="External"/><Relationship Id="rId63" Type="http://schemas.openxmlformats.org/officeDocument/2006/relationships/hyperlink" Target="https://www.ancestry.co.uk/family-tree/person/tree/163868056/person/342173014386/facts" TargetMode="External"/><Relationship Id="rId84" Type="http://schemas.openxmlformats.org/officeDocument/2006/relationships/hyperlink" Target="https://www.ancestry.co.uk/family-tree/tree/163868056/family?cfpid=342235421469&amp;fpid=342173014600&amp;usePUBJs=true" TargetMode="External"/><Relationship Id="rId138" Type="http://schemas.openxmlformats.org/officeDocument/2006/relationships/hyperlink" Target="https://dnapainter.com/tools/sharedcmv4/27?fbclid=IwAR3wqfKWVRq1DI_x4i7OjYx5ayGhdwQu5Tj-9K3u_CVvBxgEWwX7fHipJPs" TargetMode="External"/><Relationship Id="rId159" Type="http://schemas.openxmlformats.org/officeDocument/2006/relationships/hyperlink" Target="https://dnapainter.com/tools/sharedcmv4/77.9?fbclid=IwAR3wqfKWVRq1DI_x4i7OjYx5ayGhdwQu5Tj-9K3u_CVvBxgEWwX7fHipJPs" TargetMode="External"/><Relationship Id="rId170" Type="http://schemas.openxmlformats.org/officeDocument/2006/relationships/hyperlink" Target="https://dnapainter.com/tools/sharedcmv4/86.4?fbclid=IwAR3wqfKWVRq1DI_x4i7OjYx5ayGhdwQu5Tj-9K3u_CVvBxgEWwX7fHipJPs" TargetMode="External"/><Relationship Id="rId191" Type="http://schemas.openxmlformats.org/officeDocument/2006/relationships/hyperlink" Target="https://www.ancestry.co.uk/family-tree/tree/163868056/family/pedigree?cfpid=342533321624" TargetMode="External"/><Relationship Id="rId205" Type="http://schemas.openxmlformats.org/officeDocument/2006/relationships/hyperlink" Target="https://www.ancestry.co.uk/family-tree/person/tree/163868056/person/342173014511/facts" TargetMode="External"/><Relationship Id="rId226" Type="http://schemas.openxmlformats.org/officeDocument/2006/relationships/hyperlink" Target="https://www.myheritage.com/dna/match/D-F9099B9B-87A1-4274-827C-AF35BD245736-D-8EDB98D0-BCE4-4809-B482-B3515872E714/691113321?p=1&amp;ps=10&amp;search=kieran&amp;sort=creation_time&amp;memberId=704364871&amp;index=0" TargetMode="External"/><Relationship Id="rId107" Type="http://schemas.openxmlformats.org/officeDocument/2006/relationships/hyperlink" Target="https://www.ancestry.co.uk/discoveryui-matches/compare/8955cf51-8070-4a51-8674-b7f01b347aed/with/2e7a05ae-397a-4d90-8fbd-6dd9bbe16119" TargetMode="External"/><Relationship Id="rId11" Type="http://schemas.openxmlformats.org/officeDocument/2006/relationships/hyperlink" Target="https://www.ancestry.co.uk/family-tree/person/tree/163868056/person/342132992964/facts" TargetMode="External"/><Relationship Id="rId32" Type="http://schemas.openxmlformats.org/officeDocument/2006/relationships/hyperlink" Target="https://www.ancestry.co.uk/family-tree/person/tree/163868056/person/342173014034/facts" TargetMode="External"/><Relationship Id="rId53" Type="http://schemas.openxmlformats.org/officeDocument/2006/relationships/hyperlink" Target="https://www.ancestry.co.uk/family-tree/person/tree/163868056/person/342173014385/facts" TargetMode="External"/><Relationship Id="rId74" Type="http://schemas.openxmlformats.org/officeDocument/2006/relationships/hyperlink" Target="https://www.ancestry.co.uk/family-tree/person/tree/163868056/person/342173014600/facts" TargetMode="External"/><Relationship Id="rId128" Type="http://schemas.openxmlformats.org/officeDocument/2006/relationships/hyperlink" Target="https://dnapainter.com/tools/sharedcmv4/12?fbclid=IwAR3wqfKWVRq1DI_x4i7OjYx5ayGhdwQu5Tj-9K3u_CVvBxgEWwX7fHipJPs" TargetMode="External"/><Relationship Id="rId149" Type="http://schemas.openxmlformats.org/officeDocument/2006/relationships/hyperlink" Target="https://dnapainter.com/tools/sharedcmv4/54?fbclid=IwAR3wqfKWVRq1DI_x4i7OjYx5ayGhdwQu5Tj-9K3u_CVvBxgEWwX7fHipJPs" TargetMode="External"/><Relationship Id="rId5" Type="http://schemas.openxmlformats.org/officeDocument/2006/relationships/hyperlink" Target="https://www.ancestry.co.uk/family-tree/person/tree/163868056/person/342132992964/facts" TargetMode="External"/><Relationship Id="rId95" Type="http://schemas.openxmlformats.org/officeDocument/2006/relationships/hyperlink" Target="https://www.ancestry.co.uk/family-tree/tree/163868056/family?cfpid=342173298056&amp;fpid=342173014600&amp;usePUBJs=true" TargetMode="External"/><Relationship Id="rId160" Type="http://schemas.openxmlformats.org/officeDocument/2006/relationships/hyperlink" Target="https://dnapainter.com/tools/sharedcmv4/31?fbclid=IwAR3wqfKWVRq1DI_x4i7OjYx5ayGhdwQu5Tj-9K3u_CVvBxgEWwX7fHipJPs" TargetMode="External"/><Relationship Id="rId181" Type="http://schemas.openxmlformats.org/officeDocument/2006/relationships/hyperlink" Target="https://www.ancestry.co.uk/family-tree/person/tree/163868056/person/342173014034/facts" TargetMode="External"/><Relationship Id="rId216" Type="http://schemas.openxmlformats.org/officeDocument/2006/relationships/hyperlink" Target="https://www.ancestry.co.uk/family-tree/person/tree/163868056/person/342132992964/facts" TargetMode="External"/><Relationship Id="rId22" Type="http://schemas.openxmlformats.org/officeDocument/2006/relationships/hyperlink" Target="https://www.ancestry.co.uk/family-tree/person/tree/163868056/person/342132992964/facts" TargetMode="External"/><Relationship Id="rId43" Type="http://schemas.openxmlformats.org/officeDocument/2006/relationships/hyperlink" Target="https://www.ancestry.co.uk/family-tree/person/tree/163868056/person/342173014064/facts" TargetMode="External"/><Relationship Id="rId64" Type="http://schemas.openxmlformats.org/officeDocument/2006/relationships/hyperlink" Target="https://www.ancestry.co.uk/family-tree/person/tree/163868056/person/342173014064/facts" TargetMode="External"/><Relationship Id="rId118" Type="http://schemas.openxmlformats.org/officeDocument/2006/relationships/hyperlink" Target="https://www.ancestry.co.uk/discoveryui-matches/compare/50A7C5EF-9E94-44BE-A86A-5736956A97F2/with/5DDEDAA3-32ED-4933-8E4B-19DD9E5341D3" TargetMode="External"/><Relationship Id="rId139" Type="http://schemas.openxmlformats.org/officeDocument/2006/relationships/hyperlink" Target="https://dnapainter.com/tools/sharedcmv4/11?fbclid=IwAR3wqfKWVRq1DI_x4i7OjYx5ayGhdwQu5Tj-9K3u_CVvBxgEWwX7fHipJPs" TargetMode="External"/><Relationship Id="rId85" Type="http://schemas.openxmlformats.org/officeDocument/2006/relationships/hyperlink" Target="https://www.ancestry.co.uk/discoveryui-matches/compare/50a7c5ef-9e94-44be-a86a-5736956a97f2/with/eedbb214-fe34-41cb-b3f2-bf6edd8fa54f" TargetMode="External"/><Relationship Id="rId150" Type="http://schemas.openxmlformats.org/officeDocument/2006/relationships/hyperlink" Target="https://dnapainter.com/tools/sharedcmv4/38?fbclid=IwAR3wqfKWVRq1DI_x4i7OjYx5ayGhdwQu5Tj-9K3u_CVvBxgEWwX7fHipJPs" TargetMode="External"/><Relationship Id="rId171" Type="http://schemas.openxmlformats.org/officeDocument/2006/relationships/hyperlink" Target="https://dnapainter.com/tools/sharedcmv4/52.5?fbclid=IwAR3wqfKWVRq1DI_x4i7OjYx5ayGhdwQu5Tj-9K3u_CVvBxgEWwX7fHipJPs" TargetMode="External"/><Relationship Id="rId192" Type="http://schemas.openxmlformats.org/officeDocument/2006/relationships/hyperlink" Target="https://www.ancestry.co.uk/discoveryui-matches/compare/50A7C5EF-9E94-44BE-A86A-5736956A97F2/with/4B46415D-B124-405B-9B7B-7689FC18716C" TargetMode="External"/><Relationship Id="rId206" Type="http://schemas.openxmlformats.org/officeDocument/2006/relationships/hyperlink" Target="https://www.ancestry.co.uk/family-tree/person/tree/163868056/person/342173014500/facts" TargetMode="External"/><Relationship Id="rId227" Type="http://schemas.openxmlformats.org/officeDocument/2006/relationships/hyperlink" Target="https://dnapainter.com/tools/sharedcmv4/48?fbclid=IwAR3wqfKWVRq1DI_x4i7OjYx5ayGhdwQu5Tj-9K3u_CVvBxgEWwX7fHipJPs" TargetMode="External"/><Relationship Id="rId12" Type="http://schemas.openxmlformats.org/officeDocument/2006/relationships/hyperlink" Target="https://www.ancestry.co.uk/family-tree/person/tree/163868056/person/342132992964/facts" TargetMode="External"/><Relationship Id="rId33" Type="http://schemas.openxmlformats.org/officeDocument/2006/relationships/hyperlink" Target="https://www.ancestry.co.uk/family-tree/person/tree/163868056/person/342173014034/facts" TargetMode="External"/><Relationship Id="rId108" Type="http://schemas.openxmlformats.org/officeDocument/2006/relationships/hyperlink" Target="https://www.myheritage.com/dna/match/D-F9099B9B-87A1-4274-827C-AF35BD245736-D-3F199409-09FB-460A-8900-AEEA57309200/691113321?p=1&amp;ps=10&amp;search=shane%20jezzard&amp;sort=creation_time&amp;memberId=704364871" TargetMode="External"/><Relationship Id="rId129" Type="http://schemas.openxmlformats.org/officeDocument/2006/relationships/hyperlink" Target="https://dnapainter.com/tools/sharedcmv4/12?fbclid=IwAR3wqfKWVRq1DI_x4i7OjYx5ayGhdwQu5Tj-9K3u_CVvBxgEWwX7fHipJPs" TargetMode="External"/><Relationship Id="rId54" Type="http://schemas.openxmlformats.org/officeDocument/2006/relationships/hyperlink" Target="https://www.ancestry.co.uk/family-tree/person/tree/163868056/person/342173014385/facts" TargetMode="External"/><Relationship Id="rId75" Type="http://schemas.openxmlformats.org/officeDocument/2006/relationships/hyperlink" Target="https://www.ancestry.co.uk/family-tree/person/tree/163868056/person/342173014600/facts" TargetMode="External"/><Relationship Id="rId96" Type="http://schemas.openxmlformats.org/officeDocument/2006/relationships/hyperlink" Target="https://www.ancestry.co.uk/family-tree/tree/163868056/family?cfpid=342173297221&amp;fpid=342173014600&amp;usePUBJs=true" TargetMode="External"/><Relationship Id="rId140" Type="http://schemas.openxmlformats.org/officeDocument/2006/relationships/hyperlink" Target="https://dnapainter.com/tools/sharedcmv4/29?fbclid=IwAR3wqfKWVRq1DI_x4i7OjYx5ayGhdwQu5Tj-9K3u_CVvBxgEWwX7fHipJPs" TargetMode="External"/><Relationship Id="rId161" Type="http://schemas.openxmlformats.org/officeDocument/2006/relationships/hyperlink" Target="https://dnapainter.com/tools/sharedcmv4/108?fbclid=IwAR3wqfKWVRq1DI_x4i7OjYx5ayGhdwQu5Tj-9K3u_CVvBxgEWwX7fHipJPs" TargetMode="External"/><Relationship Id="rId182" Type="http://schemas.openxmlformats.org/officeDocument/2006/relationships/hyperlink" Target="https://www.ancestry.co.uk/family-tree/person/tree/163868056/person/342173014064/facts" TargetMode="External"/><Relationship Id="rId217" Type="http://schemas.openxmlformats.org/officeDocument/2006/relationships/hyperlink" Target="https://www.ancestry.co.uk/family-tree/person/tree/163868056/person/342173014605/facts" TargetMode="External"/><Relationship Id="rId6" Type="http://schemas.openxmlformats.org/officeDocument/2006/relationships/hyperlink" Target="https://www.ancestry.co.uk/family-tree/person/tree/163868056/person/342132992964/facts" TargetMode="External"/><Relationship Id="rId23" Type="http://schemas.openxmlformats.org/officeDocument/2006/relationships/hyperlink" Target="https://www.ancestry.co.uk/family-tree/person/tree/163868056/person/342132992964/facts" TargetMode="External"/><Relationship Id="rId119" Type="http://schemas.openxmlformats.org/officeDocument/2006/relationships/hyperlink" Target="https://www.ancestry.co.uk/discoveryui-matches/compare/50A7C5EF-9E94-44BE-A86A-5736956A97F2/with/EF1F617A-DEF0-4CC8-A1A8-48AF4C165B51" TargetMode="External"/><Relationship Id="rId44" Type="http://schemas.openxmlformats.org/officeDocument/2006/relationships/hyperlink" Target="https://www.ancestry.co.uk/family-tree/person/tree/163868056/person/342173014064/facts" TargetMode="External"/><Relationship Id="rId65" Type="http://schemas.openxmlformats.org/officeDocument/2006/relationships/hyperlink" Target="https://www.ancestry.co.uk/family-tree/person/tree/163868056/person/342173014511/facts" TargetMode="External"/><Relationship Id="rId86" Type="http://schemas.openxmlformats.org/officeDocument/2006/relationships/hyperlink" Target="https://www.ancestry.co.uk/family-tree/tree/163868056/family?cfpid=342466118668&amp;fpid=342173014600&amp;usePUBJs=true" TargetMode="External"/><Relationship Id="rId130" Type="http://schemas.openxmlformats.org/officeDocument/2006/relationships/hyperlink" Target="https://dnapainter.com/tools/sharedcmv4/12?fbclid=IwAR3wqfKWVRq1DI_x4i7OjYx5ayGhdwQu5Tj-9K3u_CVvBxgEWwX7fHipJPs" TargetMode="External"/><Relationship Id="rId151" Type="http://schemas.openxmlformats.org/officeDocument/2006/relationships/hyperlink" Target="https://dnapainter.com/tools/sharedcmv4/42?fbclid=IwAR3wqfKWVRq1DI_x4i7OjYx5ayGhdwQu5Tj-9K3u_CVvBxgEWwX7fHipJPs" TargetMode="External"/><Relationship Id="rId172" Type="http://schemas.openxmlformats.org/officeDocument/2006/relationships/hyperlink" Target="https://www.ancestry.co.uk/family-tree/tree/163868056/family?cfpid=342196412529" TargetMode="External"/><Relationship Id="rId193" Type="http://schemas.openxmlformats.org/officeDocument/2006/relationships/hyperlink" Target="https://dnapainter.com/tools/sharedcmv4/29?fbclid=IwAR3wqfKWVRq1DI_x4i7OjYx5ayGhdwQu5Tj-9K3u_CVvBxgEWwX7fHipJPs" TargetMode="External"/><Relationship Id="rId207" Type="http://schemas.openxmlformats.org/officeDocument/2006/relationships/hyperlink" Target="https://www.ancestry.co.uk/discoveryui-matches/compare/50a7c5ef-9e94-44be-a86a-5736956a97f2/with/338ad270-4bad-4a75-a96d-68c4bb64461b" TargetMode="External"/><Relationship Id="rId228" Type="http://schemas.openxmlformats.org/officeDocument/2006/relationships/hyperlink" Target="https://dnapainter.com/tools/sharedcmv4/48?fbclid=IwAR3wqfKWVRq1DI_x4i7OjYx5ayGhdwQu5Tj-9K3u_CVvBxgEWwX7fHipJPs" TargetMode="External"/><Relationship Id="rId13" Type="http://schemas.openxmlformats.org/officeDocument/2006/relationships/hyperlink" Target="https://www.ancestry.co.uk/family-tree/person/tree/163868056/person/342132992964/facts" TargetMode="External"/><Relationship Id="rId109" Type="http://schemas.openxmlformats.org/officeDocument/2006/relationships/hyperlink" Target="https://www.myheritage.com/dna/match/D-F9099B9B-87A1-4274-827C-AF35BD245736-D-4DBC0238-8802-4704-A962-1C6157B201F5/691113321?mode=shared" TargetMode="External"/><Relationship Id="rId34" Type="http://schemas.openxmlformats.org/officeDocument/2006/relationships/hyperlink" Target="https://www.ancestry.co.uk/family-tree/person/tree/163868056/person/342173014034/facts" TargetMode="External"/><Relationship Id="rId55" Type="http://schemas.openxmlformats.org/officeDocument/2006/relationships/hyperlink" Target="https://www.ancestry.co.uk/family-tree/person/tree/163868056/person/342173014385/facts" TargetMode="External"/><Relationship Id="rId76" Type="http://schemas.openxmlformats.org/officeDocument/2006/relationships/hyperlink" Target="https://www.ancestry.co.uk/family-tree/person/tree/163868056/person/342173014600/facts" TargetMode="External"/><Relationship Id="rId97" Type="http://schemas.openxmlformats.org/officeDocument/2006/relationships/hyperlink" Target="https://www.ancestry.co.uk/family-tree/tree/163868056/family?cfpid=342229586746&amp;fpid=342173014600&amp;usePUBJs=true" TargetMode="External"/><Relationship Id="rId120" Type="http://schemas.openxmlformats.org/officeDocument/2006/relationships/hyperlink" Target="https://www.ancestry.co.uk/discoveryui-matches/compare/50A7C5EF-9E94-44BE-A86A-5736956A97F2/with/51BD8DC8-9F6D-4A54-92AD-F68AADF9BAB3" TargetMode="External"/><Relationship Id="rId141" Type="http://schemas.openxmlformats.org/officeDocument/2006/relationships/hyperlink" Target="https://dnapainter.com/tools/sharedcmv4/29?fbclid=IwAR3wqfKWVRq1DI_x4i7OjYx5ayGhdwQu5Tj-9K3u_CVvBxgEWwX7fHipJPs" TargetMode="External"/><Relationship Id="rId7" Type="http://schemas.openxmlformats.org/officeDocument/2006/relationships/hyperlink" Target="https://www.ancestry.co.uk/family-tree/person/tree/163868056/person/342132992964/facts" TargetMode="External"/><Relationship Id="rId162" Type="http://schemas.openxmlformats.org/officeDocument/2006/relationships/hyperlink" Target="https://dnapainter.com/tools/sharedcmv4/49?fbclid=IwAR3wqfKWVRq1DI_x4i7OjYx5ayGhdwQu5Tj-9K3u_CVvBxgEWwX7fHipJPs" TargetMode="External"/><Relationship Id="rId183" Type="http://schemas.openxmlformats.org/officeDocument/2006/relationships/hyperlink" Target="https://dnapainter.com/tools/sharedcmv4/50?fbclid=IwAR3wqfKWVRq1DI_x4i7OjYx5ayGhdwQu5Tj-9K3u_CVvBxgEWwX7fHipJPs" TargetMode="External"/><Relationship Id="rId218" Type="http://schemas.openxmlformats.org/officeDocument/2006/relationships/hyperlink" Target="https://www.ancestry.co.uk/family-tree/person/tree/163868056/person/342173014600/facts" TargetMode="External"/><Relationship Id="rId24" Type="http://schemas.openxmlformats.org/officeDocument/2006/relationships/hyperlink" Target="https://www.ancestry.co.uk/family-tree/person/tree/163868056/person/342132992964/facts" TargetMode="External"/><Relationship Id="rId45" Type="http://schemas.openxmlformats.org/officeDocument/2006/relationships/hyperlink" Target="https://www.ancestry.co.uk/family-tree/person/tree/163868056/person/342173014064/facts" TargetMode="External"/><Relationship Id="rId66" Type="http://schemas.openxmlformats.org/officeDocument/2006/relationships/hyperlink" Target="https://www.ancestry.co.uk/family-tree/person/tree/163868056/person/342173014511/facts" TargetMode="External"/><Relationship Id="rId87" Type="http://schemas.openxmlformats.org/officeDocument/2006/relationships/hyperlink" Target="https://www.ancestry.co.uk/discoveryui-matches/compare/50a7c5ef-9e94-44be-a86a-5736956a97f2/with/d8e3e119-51db-43d3-9aa9-1a4058883443" TargetMode="External"/><Relationship Id="rId110" Type="http://schemas.openxmlformats.org/officeDocument/2006/relationships/hyperlink" Target="https://www.ancestry.co.uk/discoveryui-matches/compare/50A7C5EF-9E94-44BE-A86A-5736956A97F2/with/B69C6CF1-763B-4A7F-AD3F-E0F34DD3625A" TargetMode="External"/><Relationship Id="rId131" Type="http://schemas.openxmlformats.org/officeDocument/2006/relationships/hyperlink" Target="https://dnapainter.com/tools/sharedcmv4/11?fbclid=IwAR3wqfKWVRq1DI_x4i7OjYx5ayGhdwQu5Tj-9K3u_CVvBxgEWwX7fHipJPs" TargetMode="External"/><Relationship Id="rId152" Type="http://schemas.openxmlformats.org/officeDocument/2006/relationships/hyperlink" Target="https://dnapainter.com/tools/sharedcmv4/56?fbclid=IwAR3wqfKWVRq1DI_x4i7OjYx5ayGhdwQu5Tj-9K3u_CVvBxgEWwX7fHipJPs" TargetMode="External"/><Relationship Id="rId173" Type="http://schemas.openxmlformats.org/officeDocument/2006/relationships/hyperlink" Target="https://www.ancestry.co.uk/family-tree/person/tree/163868056/person/342132992964/facts" TargetMode="External"/><Relationship Id="rId194" Type="http://schemas.openxmlformats.org/officeDocument/2006/relationships/hyperlink" Target="https://www.ancestry.co.uk/family-tree/person/tree/163868056/person/342173014511/facts" TargetMode="External"/><Relationship Id="rId208" Type="http://schemas.openxmlformats.org/officeDocument/2006/relationships/hyperlink" Target="https://dnapainter.com/tools/sharedcmv4/13?fbclid=IwAR3wqfKWVRq1DI_x4i7OjYx5ayGhdwQu5Tj-9K3u_CVvBxgEWwX7fHipJPs" TargetMode="External"/><Relationship Id="rId229" Type="http://schemas.openxmlformats.org/officeDocument/2006/relationships/printerSettings" Target="../printerSettings/printerSettings7.bin"/><Relationship Id="rId14" Type="http://schemas.openxmlformats.org/officeDocument/2006/relationships/hyperlink" Target="https://www.ancestry.co.uk/family-tree/person/tree/163868056/person/342132992964/facts" TargetMode="External"/><Relationship Id="rId35" Type="http://schemas.openxmlformats.org/officeDocument/2006/relationships/hyperlink" Target="https://www.ancestry.co.uk/family-tree/person/tree/163868056/person/342173014034/facts" TargetMode="External"/><Relationship Id="rId56" Type="http://schemas.openxmlformats.org/officeDocument/2006/relationships/hyperlink" Target="https://www.ancestry.co.uk/family-tree/person/tree/163868056/person/342173014385/facts" TargetMode="External"/><Relationship Id="rId77" Type="http://schemas.openxmlformats.org/officeDocument/2006/relationships/hyperlink" Target="https://www.ancestry.co.uk/family-tree/person/tree/163868056/person/342173014386/facts" TargetMode="External"/><Relationship Id="rId100" Type="http://schemas.openxmlformats.org/officeDocument/2006/relationships/hyperlink" Target="https://www.ancestry.co.uk/family-tree/tree/163868056/family?cfpid=342173293915&amp;fpid=342173014600&amp;usePUBJs=true" TargetMode="External"/><Relationship Id="rId8" Type="http://schemas.openxmlformats.org/officeDocument/2006/relationships/hyperlink" Target="https://www.ancestry.co.uk/family-tree/person/tree/163868056/person/342132992964/facts" TargetMode="External"/><Relationship Id="rId98" Type="http://schemas.openxmlformats.org/officeDocument/2006/relationships/hyperlink" Target="https://www.ancestry.co.uk/family-tree/tree/163868056/family?cfpid=342405414237&amp;fpid=342173014600&amp;usePUBJs=true" TargetMode="External"/><Relationship Id="rId121" Type="http://schemas.openxmlformats.org/officeDocument/2006/relationships/hyperlink" Target="https://www.ancestry.co.uk/discoveryui-matches/compare/50A7C5EF-9E94-44BE-A86A-5736956A97F2/with/C6684881-AD36-404B-94E0-8E7E6DD8A8D9" TargetMode="External"/><Relationship Id="rId142" Type="http://schemas.openxmlformats.org/officeDocument/2006/relationships/hyperlink" Target="https://dnapainter.com/tools/sharedcmv4/24?fbclid=IwAR3wqfKWVRq1DI_x4i7OjYx5ayGhdwQu5Tj-9K3u_CVvBxgEWwX7fHipJPs" TargetMode="External"/><Relationship Id="rId163" Type="http://schemas.openxmlformats.org/officeDocument/2006/relationships/hyperlink" Target="https://dnapainter.com/tools/sharedcmv4/113?fbclid=IwAR3wqfKWVRq1DI_x4i7OjYx5ayGhdwQu5Tj-9K3u_CVvBxgEWwX7fHipJPs" TargetMode="External"/><Relationship Id="rId184" Type="http://schemas.openxmlformats.org/officeDocument/2006/relationships/hyperlink" Target="https://dnapainter.com/tools/sharedcmv4/130?fbclid=IwAR3wqfKWVRq1DI_x4i7OjYx5ayGhdwQu5Tj-9K3u_CVvBxgEWwX7fHipJPs" TargetMode="External"/><Relationship Id="rId219" Type="http://schemas.openxmlformats.org/officeDocument/2006/relationships/hyperlink" Target="https://www.ancestry.co.uk/discoveryui-matches/compare/50A7C5EF-9E94-44BE-A86A-5736956A97F2/with/5DDEDAA3-32ED-4933-8E4B-19DD9E5341D3" TargetMode="External"/><Relationship Id="rId25" Type="http://schemas.openxmlformats.org/officeDocument/2006/relationships/hyperlink" Target="https://www.ancestry.co.uk/discoveryui-matches/compare/50a7c5ef-9e94-44be-a86a-5736956a97f2/with/ab0d6d85-e2a7-44f0-9242-c41622c28e43" TargetMode="External"/><Relationship Id="rId46" Type="http://schemas.openxmlformats.org/officeDocument/2006/relationships/hyperlink" Target="https://www.ancestry.co.uk/family-tree/person/tree/163868056/person/342173014064/facts" TargetMode="External"/><Relationship Id="rId67" Type="http://schemas.openxmlformats.org/officeDocument/2006/relationships/hyperlink" Target="https://www.ancestry.co.uk/family-tree/person/tree/163868056/person/342173014500/facts" TargetMode="External"/><Relationship Id="rId116" Type="http://schemas.openxmlformats.org/officeDocument/2006/relationships/hyperlink" Target="https://www.ancestry.co.uk/discoveryui-matches/compare/50A7C5EF-9E94-44BE-A86A-5736956A97F2/with/32C46DFE-7AB9-4807-BAFD-0B259227DEB6" TargetMode="External"/><Relationship Id="rId137" Type="http://schemas.openxmlformats.org/officeDocument/2006/relationships/hyperlink" Target="https://dnapainter.com/tools/sharedcmv4/27?fbclid=IwAR3wqfKWVRq1DI_x4i7OjYx5ayGhdwQu5Tj-9K3u_CVvBxgEWwX7fHipJPs" TargetMode="External"/><Relationship Id="rId158" Type="http://schemas.openxmlformats.org/officeDocument/2006/relationships/hyperlink" Target="https://dnapainter.com/tools/sharedcmv4/48?fbclid=IwAR3wqfKWVRq1DI_x4i7OjYx5ayGhdwQu5Tj-9K3u_CVvBxgEWwX7fHipJPs" TargetMode="External"/><Relationship Id="rId20" Type="http://schemas.openxmlformats.org/officeDocument/2006/relationships/hyperlink" Target="https://www.ancestry.co.uk/family-tree/person/tree/163868056/person/342132992964/facts" TargetMode="External"/><Relationship Id="rId41" Type="http://schemas.openxmlformats.org/officeDocument/2006/relationships/hyperlink" Target="https://www.ancestry.co.uk/family-tree/person/tree/163868056/person/342173014064/facts" TargetMode="External"/><Relationship Id="rId62" Type="http://schemas.openxmlformats.org/officeDocument/2006/relationships/hyperlink" Target="https://www.ancestry.co.uk/family-tree/person/tree/163868056/person/342173014386/facts" TargetMode="External"/><Relationship Id="rId83" Type="http://schemas.openxmlformats.org/officeDocument/2006/relationships/hyperlink" Target="https://www.ancestry.co.uk/family-tree/tree/163868056/family?cfpid=342173438314&amp;fpid=342173014600&amp;usePUBJs=true" TargetMode="External"/><Relationship Id="rId88" Type="http://schemas.openxmlformats.org/officeDocument/2006/relationships/hyperlink" Target="https://www.ancestry.co.uk/family-tree/tree/163868056/family?cfpid=342187631729&amp;fpid=342173014600&amp;usePUBJs=true" TargetMode="External"/><Relationship Id="rId111" Type="http://schemas.openxmlformats.org/officeDocument/2006/relationships/hyperlink" Target="https://you.23andme.com/profile/8c1a0e3c8b2750bc/" TargetMode="External"/><Relationship Id="rId132" Type="http://schemas.openxmlformats.org/officeDocument/2006/relationships/hyperlink" Target="https://dnapainter.com/tools/sharedcmv4/16?fbclid=IwAR3wqfKWVRq1DI_x4i7OjYx5ayGhdwQu5Tj-9K3u_CVvBxgEWwX7fHipJPs" TargetMode="External"/><Relationship Id="rId153" Type="http://schemas.openxmlformats.org/officeDocument/2006/relationships/hyperlink" Target="https://dnapainter.com/tools/sharedcmv4/59?fbclid=IwAR3wqfKWVRq1DI_x4i7OjYx5ayGhdwQu5Tj-9K3u_CVvBxgEWwX7fHipJPs" TargetMode="External"/><Relationship Id="rId174" Type="http://schemas.openxmlformats.org/officeDocument/2006/relationships/hyperlink" Target="https://www.ancestry.co.uk/family-tree/person/tree/163868056/person/342173014605/facts" TargetMode="External"/><Relationship Id="rId179" Type="http://schemas.openxmlformats.org/officeDocument/2006/relationships/hyperlink" Target="https://www.ancestry.co.uk/family-tree/person/tree/163868056/person/342132992964/facts" TargetMode="External"/><Relationship Id="rId195" Type="http://schemas.openxmlformats.org/officeDocument/2006/relationships/hyperlink" Target="https://www.ancestry.co.uk/family-tree/person/tree/163868056/person/342173014500/facts" TargetMode="External"/><Relationship Id="rId209" Type="http://schemas.openxmlformats.org/officeDocument/2006/relationships/hyperlink" Target="https://www.ancestry.co.uk/family-tree/tree/163868056/family/pedigree?cfpid=342533224929" TargetMode="External"/><Relationship Id="rId190" Type="http://schemas.openxmlformats.org/officeDocument/2006/relationships/hyperlink" Target="https://dnapainter.com/tools/sharedcmv4/13?fbclid=IwAR3wqfKWVRq1DI_x4i7OjYx5ayGhdwQu5Tj-9K3u_CVvBxgEWwX7fHipJPs" TargetMode="External"/><Relationship Id="rId204" Type="http://schemas.openxmlformats.org/officeDocument/2006/relationships/hyperlink" Target="https://www.ancestry.co.uk/family-tree/person/tree/163868056/person/342132992964/facts" TargetMode="External"/><Relationship Id="rId220" Type="http://schemas.openxmlformats.org/officeDocument/2006/relationships/hyperlink" Target="https://dnapainter.com/tools/sharedcmv4/11?fbclid=IwAR3wqfKWVRq1DI_x4i7OjYx5ayGhdwQu5Tj-9K3u_CVvBxgEWwX7fHipJPs" TargetMode="External"/><Relationship Id="rId225" Type="http://schemas.openxmlformats.org/officeDocument/2006/relationships/hyperlink" Target="https://www.ancestry.co.uk/family-tree/tree/163868056/family?cfpid=342483637377" TargetMode="External"/><Relationship Id="rId15" Type="http://schemas.openxmlformats.org/officeDocument/2006/relationships/hyperlink" Target="https://www.ancestry.co.uk/family-tree/person/tree/163868056/person/342132992964/facts" TargetMode="External"/><Relationship Id="rId36" Type="http://schemas.openxmlformats.org/officeDocument/2006/relationships/hyperlink" Target="https://www.ancestry.co.uk/family-tree/person/tree/163868056/person/342173014034/facts" TargetMode="External"/><Relationship Id="rId57" Type="http://schemas.openxmlformats.org/officeDocument/2006/relationships/hyperlink" Target="https://www.ancestry.co.uk/family-tree/person/tree/163868056/person/342173014385/facts" TargetMode="External"/><Relationship Id="rId106" Type="http://schemas.openxmlformats.org/officeDocument/2006/relationships/hyperlink" Target="https://www.ancestry.co.uk/discoveryui-matches/compare/50a7c5ef-9e94-44be-a86a-5736956a97f2/with/6d126a8a-3ecf-4028-824a-516bc322f4cb" TargetMode="External"/><Relationship Id="rId127" Type="http://schemas.openxmlformats.org/officeDocument/2006/relationships/hyperlink" Target="https://dnapainter.com/tools/sharedcmv4/11?fbclid=IwAR3wqfKWVRq1DI_x4i7OjYx5ayGhdwQu5Tj-9K3u_CVvBxgEWwX7fHipJPs" TargetMode="External"/><Relationship Id="rId10" Type="http://schemas.openxmlformats.org/officeDocument/2006/relationships/hyperlink" Target="https://www.ancestry.co.uk/family-tree/person/tree/163868056/person/342132992964/facts" TargetMode="External"/><Relationship Id="rId31" Type="http://schemas.openxmlformats.org/officeDocument/2006/relationships/hyperlink" Target="https://www.ancestry.co.uk/family-tree/person/tree/163868056/person/342173014034/facts" TargetMode="External"/><Relationship Id="rId52" Type="http://schemas.openxmlformats.org/officeDocument/2006/relationships/hyperlink" Target="https://www.ancestry.co.uk/family-tree/person/tree/163868056/person/342173014385/facts" TargetMode="External"/><Relationship Id="rId73" Type="http://schemas.openxmlformats.org/officeDocument/2006/relationships/hyperlink" Target="https://www.ancestry.co.uk/family-tree/person/tree/163868056/person/342173014600/facts" TargetMode="External"/><Relationship Id="rId78" Type="http://schemas.openxmlformats.org/officeDocument/2006/relationships/hyperlink" Target="https://www.ancestry.co.uk/family-tree/tree/163868056/family?cfpid=342304490089&amp;fpid=342173014600&amp;usePUBJs=true" TargetMode="External"/><Relationship Id="rId94" Type="http://schemas.openxmlformats.org/officeDocument/2006/relationships/hyperlink" Target="https://www.ancestry.co.uk/family-tree/tree/163868056/family?cfpid=342179704090&amp;fpid=342173014600&amp;usePUBJs=true" TargetMode="External"/><Relationship Id="rId99" Type="http://schemas.openxmlformats.org/officeDocument/2006/relationships/hyperlink" Target="https://www.ancestry.co.uk/discoveryui-matches/compare/50a7c5ef-9e94-44be-a86a-5736956a97f2/with/d04b3acc-754d-4707-8ba9-0f56104db280" TargetMode="External"/><Relationship Id="rId101" Type="http://schemas.openxmlformats.org/officeDocument/2006/relationships/hyperlink" Target="https://www.ancestry.co.uk/family-tree/tree/163868056/family?cfpid=342271526323&amp;fpid=342173014600&amp;usePUBJs=true" TargetMode="External"/><Relationship Id="rId122" Type="http://schemas.openxmlformats.org/officeDocument/2006/relationships/hyperlink" Target="https://www.ancestry.co.uk/discoveryui-matches/compare/50A7C5EF-9E94-44BE-A86A-5736956A97F2/with/1DFA2F5D-C566-46AF-B319-01D7EBDA81C3" TargetMode="External"/><Relationship Id="rId143" Type="http://schemas.openxmlformats.org/officeDocument/2006/relationships/hyperlink" Target="https://dnapainter.com/tools/sharedcmv4/32?fbclid=IwAR3wqfKWVRq1DI_x4i7OjYx5ayGhdwQu5Tj-9K3u_CVvBxgEWwX7fHipJPs" TargetMode="External"/><Relationship Id="rId148" Type="http://schemas.openxmlformats.org/officeDocument/2006/relationships/hyperlink" Target="https://dnapainter.com/tools/sharedcmv4/52?fbclid=IwAR3wqfKWVRq1DI_x4i7OjYx5ayGhdwQu5Tj-9K3u_CVvBxgEWwX7fHipJPs" TargetMode="External"/><Relationship Id="rId164" Type="http://schemas.openxmlformats.org/officeDocument/2006/relationships/hyperlink" Target="https://dnapainter.com/tools/sharedcmv4/50?fbclid=IwAR3wqfKWVRq1DI_x4i7OjYx5ayGhdwQu5Tj-9K3u_CVvBxgEWwX7fHipJPs" TargetMode="External"/><Relationship Id="rId169" Type="http://schemas.openxmlformats.org/officeDocument/2006/relationships/hyperlink" Target="https://www.myheritage.com/dna/match/D-F9099B9B-87A1-4274-827C-AF35BD245736-D-C644B60F-77A6-4F9F-82F8-8B495D77969A/691113321?p=1&amp;ps=10&amp;sort=creation_time&amp;memberId=704364871" TargetMode="External"/><Relationship Id="rId185" Type="http://schemas.openxmlformats.org/officeDocument/2006/relationships/hyperlink" Target="https://www.ancestry.co.uk/family-tree/tree/163868056/family?cfpid=342474897189" TargetMode="External"/><Relationship Id="rId4" Type="http://schemas.openxmlformats.org/officeDocument/2006/relationships/hyperlink" Target="https://www.ancestry.co.uk/family-tree/person/tree/163868056/person/342132992964/facts" TargetMode="External"/><Relationship Id="rId9" Type="http://schemas.openxmlformats.org/officeDocument/2006/relationships/hyperlink" Target="https://www.ancestry.co.uk/family-tree/person/tree/163868056/person/342132992964/facts" TargetMode="External"/><Relationship Id="rId180" Type="http://schemas.openxmlformats.org/officeDocument/2006/relationships/hyperlink" Target="https://www.myheritage.com/dna/match/D-F9099B9B-87A1-4274-827C-AF35BD245736-D-8BAA3256-203B-439B-B1C7-AC8E30741F3B/691113321?p=1&amp;ps=10&amp;sort=creation_time&amp;memberId=704364871" TargetMode="External"/><Relationship Id="rId210" Type="http://schemas.openxmlformats.org/officeDocument/2006/relationships/hyperlink" Target="https://www.ancestry.co.uk/family-tree/person/tree/163868056/person/342132992964/facts" TargetMode="External"/><Relationship Id="rId215" Type="http://schemas.openxmlformats.org/officeDocument/2006/relationships/hyperlink" Target="https://dnapainter.com/tools/sharedcmv4/12?fbclid=IwAR3wqfKWVRq1DI_x4i7OjYx5ayGhdwQu5Tj-9K3u_CVvBxgEWwX7fHipJPs" TargetMode="External"/><Relationship Id="rId26" Type="http://schemas.openxmlformats.org/officeDocument/2006/relationships/hyperlink" Target="https://www.ancestry.co.uk/family-tree/person/tree/163868056/person/342173014034/facts" TargetMode="External"/><Relationship Id="rId47" Type="http://schemas.openxmlformats.org/officeDocument/2006/relationships/hyperlink" Target="https://www.ancestry.co.uk/family-tree/person/tree/163868056/person/342173014064/facts" TargetMode="External"/><Relationship Id="rId68" Type="http://schemas.openxmlformats.org/officeDocument/2006/relationships/hyperlink" Target="https://www.ancestry.co.uk/family-tree/person/tree/163868056/person/342173014500/facts" TargetMode="External"/><Relationship Id="rId89" Type="http://schemas.openxmlformats.org/officeDocument/2006/relationships/hyperlink" Target="https://www.ancestry.co.uk/family-tree/tree/163868056/family?cfpid=342173291611&amp;fpid=342173014600&amp;usePUBJs=true" TargetMode="External"/><Relationship Id="rId112" Type="http://schemas.openxmlformats.org/officeDocument/2006/relationships/hyperlink" Target="https://you.23andme.com/profile/6566b5df69cf0179/" TargetMode="External"/><Relationship Id="rId133" Type="http://schemas.openxmlformats.org/officeDocument/2006/relationships/hyperlink" Target="https://dnapainter.com/tools/sharedcmv4/16?fbclid=IwAR3wqfKWVRq1DI_x4i7OjYx5ayGhdwQu5Tj-9K3u_CVvBxgEWwX7fHipJPs" TargetMode="External"/><Relationship Id="rId154" Type="http://schemas.openxmlformats.org/officeDocument/2006/relationships/hyperlink" Target="https://dnapainter.com/tools/sharedcmv4/59?fbclid=IwAR3wqfKWVRq1DI_x4i7OjYx5ayGhdwQu5Tj-9K3u_CVvBxgEWwX7fHipJPs" TargetMode="External"/><Relationship Id="rId175" Type="http://schemas.openxmlformats.org/officeDocument/2006/relationships/hyperlink" Target="https://www.ancestry.co.uk/family-tree/person/tree/163868056/person/342173014600/facts" TargetMode="External"/><Relationship Id="rId196" Type="http://schemas.openxmlformats.org/officeDocument/2006/relationships/hyperlink" Target="https://www.ancestry.co.uk/family-tree/tree/163868056/family?cfpid=342555520743" TargetMode="External"/><Relationship Id="rId200" Type="http://schemas.openxmlformats.org/officeDocument/2006/relationships/hyperlink" Target="https://www.ancestry.co.uk/family-tree/person/tree/163868056/person/342173014386/facts" TargetMode="External"/><Relationship Id="rId16" Type="http://schemas.openxmlformats.org/officeDocument/2006/relationships/hyperlink" Target="https://www.ancestry.co.uk/family-tree/person/tree/163868056/person/342132992964/facts" TargetMode="External"/><Relationship Id="rId221" Type="http://schemas.openxmlformats.org/officeDocument/2006/relationships/hyperlink" Target="https://www.ancestry.co.uk/family-tree/tree/163868056/family/pedigree?cfpid=342593456064" TargetMode="External"/><Relationship Id="rId37" Type="http://schemas.openxmlformats.org/officeDocument/2006/relationships/hyperlink" Target="https://www.ancestry.co.uk/family-tree/person/tree/163868056/person/342173014034/facts" TargetMode="External"/><Relationship Id="rId58" Type="http://schemas.openxmlformats.org/officeDocument/2006/relationships/hyperlink" Target="https://www.ancestry.co.uk/family-tree/person/tree/163868056/person/342173014386/facts" TargetMode="External"/><Relationship Id="rId79" Type="http://schemas.openxmlformats.org/officeDocument/2006/relationships/hyperlink" Target="https://www.ancestry.co.uk/family-tree/tree/163868056/family?cfpid=342473645646&amp;fpid=342173014600&amp;usePUBJs=true" TargetMode="External"/><Relationship Id="rId102" Type="http://schemas.openxmlformats.org/officeDocument/2006/relationships/hyperlink" Target="https://www.ancestry.co.uk/family-tree/tree/163868056/family?cfpid=342324621822&amp;fpid=342173014600&amp;usePUBJs=true" TargetMode="External"/><Relationship Id="rId123" Type="http://schemas.openxmlformats.org/officeDocument/2006/relationships/hyperlink" Target="https://www.myheritage.com/dna/match/D-FCAECA02-7114-4F38-B398-0BCC0AEF0669-D-19AF3690-376A-445C-AFE3-43968A068E8E/691113321?p=1&amp;ps=10&amp;search=barbara%20ann%20grout&amp;sort=total_shared_segments_length_in_cm&amp;memberId=704364871" TargetMode="External"/><Relationship Id="rId144" Type="http://schemas.openxmlformats.org/officeDocument/2006/relationships/hyperlink" Target="https://dnapainter.com/tools/sharedcmv4/19?fbclid=IwAR3wqfKWVRq1DI_x4i7OjYx5ayGhdwQu5Tj-9K3u_CVvBxgEWwX7fHipJPs" TargetMode="External"/><Relationship Id="rId90" Type="http://schemas.openxmlformats.org/officeDocument/2006/relationships/hyperlink" Target="https://www.ancestry.co.uk/family-tree/tree/163868056/family?cfpid=342228404175&amp;fpid=342173014600&amp;usePUBJs=true" TargetMode="External"/><Relationship Id="rId165" Type="http://schemas.openxmlformats.org/officeDocument/2006/relationships/hyperlink" Target="https://dnapainter.com/tools/sharedcmv4/130?fbclid=IwAR3wqfKWVRq1DI_x4i7OjYx5ayGhdwQu5Tj-9K3u_CVvBxgEWwX7fHipJPs" TargetMode="External"/><Relationship Id="rId186" Type="http://schemas.openxmlformats.org/officeDocument/2006/relationships/hyperlink" Target="https://www.ancestry.co.uk/family-tree/person/tree/163868056/person/342132992964/facts" TargetMode="External"/><Relationship Id="rId211" Type="http://schemas.openxmlformats.org/officeDocument/2006/relationships/hyperlink" Target="https://www.ancestry.co.uk/family-tree/person/tree/163868056/person/342173014605/facts" TargetMode="External"/><Relationship Id="rId27" Type="http://schemas.openxmlformats.org/officeDocument/2006/relationships/hyperlink" Target="https://www.ancestry.co.uk/family-tree/person/tree/163868056/person/342173014064/facts" TargetMode="External"/><Relationship Id="rId48" Type="http://schemas.openxmlformats.org/officeDocument/2006/relationships/hyperlink" Target="https://www.ancestry.co.uk/family-tree/person/tree/163868056/person/342173014064/facts" TargetMode="External"/><Relationship Id="rId69" Type="http://schemas.openxmlformats.org/officeDocument/2006/relationships/hyperlink" Target="https://www.ancestry.co.uk/family-tree/person/tree/163868056/person/342173014605/facts" TargetMode="External"/><Relationship Id="rId113" Type="http://schemas.openxmlformats.org/officeDocument/2006/relationships/hyperlink" Target="https://www.ancestry.co.uk/discoveryui-matches/compare/50A7C5EF-9E94-44BE-A86A-5736956A97F2/with/683C1CE5-F1B8-4B01-AE11-F1D9710D4B16" TargetMode="External"/><Relationship Id="rId134" Type="http://schemas.openxmlformats.org/officeDocument/2006/relationships/hyperlink" Target="https://dnapainter.com/tools/sharedcmv4/19?fbclid=IwAR3wqfKWVRq1DI_x4i7OjYx5ayGhdwQu5Tj-9K3u_CVvBxgEWwX7fHipJPs" TargetMode="External"/><Relationship Id="rId80" Type="http://schemas.openxmlformats.org/officeDocument/2006/relationships/hyperlink" Target="https://www.ancestry.co.uk/family-tree/tree/163868056/family?cfpid=342173438329&amp;fpid=342173014600&amp;usePUBJs=true" TargetMode="External"/><Relationship Id="rId155" Type="http://schemas.openxmlformats.org/officeDocument/2006/relationships/hyperlink" Target="https://dnapainter.com/tools/sharedcmv4/59?fbclid=IwAR3wqfKWVRq1DI_x4i7OjYx5ayGhdwQu5Tj-9K3u_CVvBxgEWwX7fHipJPs" TargetMode="External"/><Relationship Id="rId176" Type="http://schemas.openxmlformats.org/officeDocument/2006/relationships/hyperlink" Target="https://www.ancestry.co.uk/discoveryui-matches/compare/50a7c5ef-9e94-44be-a86a-5736956a97f2/with/625d067d-d24c-4d69-8297-f4c7ce0acce7" TargetMode="External"/><Relationship Id="rId197" Type="http://schemas.openxmlformats.org/officeDocument/2006/relationships/hyperlink" Target="https://www.ancestry.co.uk/family-tree/person/tree/163868056/person/342132992964/facts" TargetMode="External"/><Relationship Id="rId201" Type="http://schemas.openxmlformats.org/officeDocument/2006/relationships/hyperlink" Target="https://you.23andme.com/profile/37b40e87bcc0c10a/" TargetMode="External"/><Relationship Id="rId222" Type="http://schemas.openxmlformats.org/officeDocument/2006/relationships/hyperlink" Target="https://www.ancestry.co.uk/family-tree/person/tree/163868056/person/342132992964/facts" TargetMode="External"/><Relationship Id="rId17" Type="http://schemas.openxmlformats.org/officeDocument/2006/relationships/hyperlink" Target="https://www.ancestry.co.uk/family-tree/person/tree/163868056/person/342132992964/facts" TargetMode="External"/><Relationship Id="rId38" Type="http://schemas.openxmlformats.org/officeDocument/2006/relationships/hyperlink" Target="https://www.ancestry.co.uk/family-tree/person/tree/163868056/person/342173014034/facts" TargetMode="External"/><Relationship Id="rId59" Type="http://schemas.openxmlformats.org/officeDocument/2006/relationships/hyperlink" Target="https://www.ancestry.co.uk/family-tree/person/tree/163868056/person/342173014386/facts" TargetMode="External"/><Relationship Id="rId103" Type="http://schemas.openxmlformats.org/officeDocument/2006/relationships/hyperlink" Target="https://www.ancestry.co.uk/family-tree/tree/163868056/family?cfpid=342434598129&amp;fpid=342173014600&amp;usePUBJs=true" TargetMode="External"/><Relationship Id="rId124" Type="http://schemas.openxmlformats.org/officeDocument/2006/relationships/hyperlink" Target="https://www.myheritage.com/dna/match/D-F9099B9B-87A1-4274-827C-AF35BD245736-D-88AF9DB9-AB9B-4AEC-9214-B64B9AC46D75/691113321?p=1&amp;ps=10&amp;search=devon&amp;sort=total_shared_segments_length_in_cm&amp;memberId=704364871" TargetMode="External"/><Relationship Id="rId70" Type="http://schemas.openxmlformats.org/officeDocument/2006/relationships/hyperlink" Target="https://www.ancestry.co.uk/family-tree/person/tree/163868056/person/342173014605/facts" TargetMode="External"/><Relationship Id="rId91" Type="http://schemas.openxmlformats.org/officeDocument/2006/relationships/hyperlink" Target="https://www.ancestry.co.uk/family-tree/tree/163868056/family?cfpid=342235869125&amp;fpid=342173014600&amp;usePUBJs=true" TargetMode="External"/><Relationship Id="rId145" Type="http://schemas.openxmlformats.org/officeDocument/2006/relationships/hyperlink" Target="https://dnapainter.com/tools/sharedcmv4/34?fbclid=IwAR3wqfKWVRq1DI_x4i7OjYx5ayGhdwQu5Tj-9K3u_CVvBxgEWwX7fHipJPs" TargetMode="External"/><Relationship Id="rId166" Type="http://schemas.openxmlformats.org/officeDocument/2006/relationships/hyperlink" Target="https://www.ancestry.co.uk/family-tree/person/tree/163868056/person/342132992964/facts" TargetMode="External"/><Relationship Id="rId187" Type="http://schemas.openxmlformats.org/officeDocument/2006/relationships/hyperlink" Target="https://www.ancestry.co.uk/family-tree/person/tree/163868056/person/342173014511/facts" TargetMode="External"/><Relationship Id="rId1" Type="http://schemas.openxmlformats.org/officeDocument/2006/relationships/hyperlink" Target="https://www.ancestry.co.uk/family-tree/person/tree/163868056/person/342132992964/facts" TargetMode="External"/><Relationship Id="rId212" Type="http://schemas.openxmlformats.org/officeDocument/2006/relationships/hyperlink" Target="https://www.ancestry.co.uk/family-tree/person/tree/163868056/person/342173014600/facts" TargetMode="External"/><Relationship Id="rId28" Type="http://schemas.openxmlformats.org/officeDocument/2006/relationships/hyperlink" Target="https://www.ancestry.co.uk/family-tree/tree/163868056/family/pedigree?cfpid=342474897343" TargetMode="External"/><Relationship Id="rId49" Type="http://schemas.openxmlformats.org/officeDocument/2006/relationships/hyperlink" Target="https://www.ancestry.co.uk/family-tree/person/tree/163868056/person/342173014064/facts" TargetMode="External"/><Relationship Id="rId114" Type="http://schemas.openxmlformats.org/officeDocument/2006/relationships/hyperlink" Target="https://www.ancestry.co.uk/discoveryui-matches/compare/50A7C5EF-9E94-44BE-A86A-5736956A97F2/with/B31268DC-5AB3-4C7A-AAAD-1700AB3FB7CA" TargetMode="External"/><Relationship Id="rId60" Type="http://schemas.openxmlformats.org/officeDocument/2006/relationships/hyperlink" Target="https://www.ancestry.co.uk/family-tree/person/tree/163868056/person/342173014386/facts" TargetMode="External"/><Relationship Id="rId81" Type="http://schemas.openxmlformats.org/officeDocument/2006/relationships/hyperlink" Target="https://www.ancestry.co.uk/family-tree/tree/163868056/family?cfpid=342206171806&amp;fpid=342173014600&amp;usePUBJs=true" TargetMode="External"/><Relationship Id="rId135" Type="http://schemas.openxmlformats.org/officeDocument/2006/relationships/hyperlink" Target="https://dnapainter.com/tools/sharedcmv4/19.2?fbclid=IwAR3wqfKWVRq1DI_x4i7OjYx5ayGhdwQu5Tj-9K3u_CVvBxgEWwX7fHipJPs" TargetMode="External"/><Relationship Id="rId156" Type="http://schemas.openxmlformats.org/officeDocument/2006/relationships/hyperlink" Target="https://dnapainter.com/tools/sharedcmv4/17?fbclid=IwAR3wqfKWVRq1DI_x4i7OjYx5ayGhdwQu5Tj-9K3u_CVvBxgEWwX7fHipJPs" TargetMode="External"/><Relationship Id="rId177" Type="http://schemas.openxmlformats.org/officeDocument/2006/relationships/hyperlink" Target="https://dnapainter.com/tools/sharedcmv4/6?fbclid=IwAR3wqfKWVRq1DI_x4i7OjYx5ayGhdwQu5Tj-9K3u_CVvBxgEWwX7fHipJPs" TargetMode="External"/><Relationship Id="rId198" Type="http://schemas.openxmlformats.org/officeDocument/2006/relationships/hyperlink" Target="https://www.ancestry.co.uk/family-tree/person/tree/163868056/person/342132992964/facts" TargetMode="External"/><Relationship Id="rId202" Type="http://schemas.openxmlformats.org/officeDocument/2006/relationships/hyperlink" Target="https://dnapainter.com/tools/sharedcmv4/39?fbclid=IwAR3wqfKWVRq1DI_x4i7OjYx5ayGhdwQu5Tj-9K3u_CVvBxgEWwX7fHipJPs" TargetMode="External"/><Relationship Id="rId223" Type="http://schemas.openxmlformats.org/officeDocument/2006/relationships/hyperlink" Target="https://www.ancestry.co.uk/family-tree/person/tree/163868056/person/342173014034/facts" TargetMode="External"/><Relationship Id="rId18" Type="http://schemas.openxmlformats.org/officeDocument/2006/relationships/hyperlink" Target="https://www.ancestry.co.uk/family-tree/person/tree/163868056/person/342132992964/facts" TargetMode="External"/><Relationship Id="rId39" Type="http://schemas.openxmlformats.org/officeDocument/2006/relationships/hyperlink" Target="https://www.ancestry.co.uk/family-tree/person/tree/163868056/person/342173014034/facts" TargetMode="External"/><Relationship Id="rId50" Type="http://schemas.openxmlformats.org/officeDocument/2006/relationships/hyperlink" Target="https://www.ancestry.co.uk/family-tree/person/tree/163868056/person/342173014064/facts" TargetMode="External"/><Relationship Id="rId104" Type="http://schemas.openxmlformats.org/officeDocument/2006/relationships/hyperlink" Target="https://www.ancestry.co.uk/family-tree/tree/163868056/family?cfpid=342192463113&amp;fpid=342173014600&amp;usePUBJs=true" TargetMode="External"/><Relationship Id="rId125" Type="http://schemas.openxmlformats.org/officeDocument/2006/relationships/hyperlink" Target="https://tree.familytreedna.com/family-tree/pedigree-view?sharedView=c151d435-0513-49e3-85f9-52af63053e64" TargetMode="External"/><Relationship Id="rId146" Type="http://schemas.openxmlformats.org/officeDocument/2006/relationships/hyperlink" Target="https://dnapainter.com/tools/sharedcmv4/16.7?fbclid=IwAR3wqfKWVRq1DI_x4i7OjYx5ayGhdwQu5Tj-9K3u_CVvBxgEWwX7fHipJPs" TargetMode="External"/><Relationship Id="rId167" Type="http://schemas.openxmlformats.org/officeDocument/2006/relationships/hyperlink" Target="https://www.ancestry.co.uk/family-tree/person/tree/163868056/person/342173014034/facts" TargetMode="External"/><Relationship Id="rId188" Type="http://schemas.openxmlformats.org/officeDocument/2006/relationships/hyperlink" Target="https://www.ancestry.co.uk/family-tree/person/tree/163868056/person/342173014500/facts" TargetMode="External"/><Relationship Id="rId71" Type="http://schemas.openxmlformats.org/officeDocument/2006/relationships/hyperlink" Target="https://www.ancestry.co.uk/family-tree/person/tree/163868056/person/342173014605/facts" TargetMode="External"/><Relationship Id="rId92" Type="http://schemas.openxmlformats.org/officeDocument/2006/relationships/hyperlink" Target="https://www.ancestry.co.uk/discoveryui-matches/compare/50a7c5ef-9e94-44be-a86a-5736956a97f2/with/97b16734-e6d3-4e15-bca3-6148a16b019d" TargetMode="External"/><Relationship Id="rId213" Type="http://schemas.openxmlformats.org/officeDocument/2006/relationships/hyperlink" Target="https://www.ancestry.co.uk/family-tree/tree/163868056/family/pedigree?cfpid=342593457182" TargetMode="External"/><Relationship Id="rId2" Type="http://schemas.openxmlformats.org/officeDocument/2006/relationships/hyperlink" Target="https://www.ancestry.co.uk/family-tree/person/tree/163868056/person/342132992964/facts" TargetMode="External"/><Relationship Id="rId29" Type="http://schemas.openxmlformats.org/officeDocument/2006/relationships/hyperlink" Target="https://www.ancestry.co.uk/family-tree/person/tree/163868056/person/342132992964/facts" TargetMode="External"/><Relationship Id="rId40" Type="http://schemas.openxmlformats.org/officeDocument/2006/relationships/hyperlink" Target="https://www.ancestry.co.uk/family-tree/person/tree/163868056/person/342173014034/facts" TargetMode="External"/><Relationship Id="rId115" Type="http://schemas.openxmlformats.org/officeDocument/2006/relationships/hyperlink" Target="https://www.ancestry.co.uk/discoveryui-matches/compare/50A7C5EF-9E94-44BE-A86A-5736956A97F2/with/9BE7F49D-78E1-4674-9501-BF5200185C17" TargetMode="External"/><Relationship Id="rId136" Type="http://schemas.openxmlformats.org/officeDocument/2006/relationships/hyperlink" Target="https://dnapainter.com/tools/sharedcmv4/10?fbclid=IwAR3wqfKWVRq1DI_x4i7OjYx5ayGhdwQu5Tj-9K3u_CVvBxgEWwX7fHipJPs" TargetMode="External"/><Relationship Id="rId157" Type="http://schemas.openxmlformats.org/officeDocument/2006/relationships/hyperlink" Target="https://dnapainter.com/tools/sharedcmv4/62?fbclid=IwAR3wqfKWVRq1DI_x4i7OjYx5ayGhdwQu5Tj-9K3u_CVvBxgEWwX7fHipJPs" TargetMode="External"/><Relationship Id="rId178" Type="http://schemas.openxmlformats.org/officeDocument/2006/relationships/hyperlink" Target="https://www.ancestry.co.uk/family-tree/tree/163868056/family/pedigree?cfpid=342513231737" TargetMode="External"/><Relationship Id="rId61" Type="http://schemas.openxmlformats.org/officeDocument/2006/relationships/hyperlink" Target="https://www.ancestry.co.uk/family-tree/person/tree/163868056/person/342173014386/facts" TargetMode="External"/><Relationship Id="rId82" Type="http://schemas.openxmlformats.org/officeDocument/2006/relationships/hyperlink" Target="https://www.ancestry.co.uk/family-tree/tree/163868056/family?cfpid=342175084221&amp;fpid=342173014600&amp;usePUBJs=true" TargetMode="External"/><Relationship Id="rId199" Type="http://schemas.openxmlformats.org/officeDocument/2006/relationships/hyperlink" Target="https://www.ancestry.co.uk/family-tree/person/tree/163868056/person/342173014385/facts" TargetMode="External"/><Relationship Id="rId203" Type="http://schemas.openxmlformats.org/officeDocument/2006/relationships/hyperlink" Target="https://www.ancestry.co.uk/family-tree/tree/163868056/family?cfpid=342566421212" TargetMode="External"/><Relationship Id="rId19" Type="http://schemas.openxmlformats.org/officeDocument/2006/relationships/hyperlink" Target="https://www.ancestry.co.uk/family-tree/person/tree/163868056/person/342132992964/facts" TargetMode="External"/><Relationship Id="rId224" Type="http://schemas.openxmlformats.org/officeDocument/2006/relationships/hyperlink" Target="https://www.ancestry.co.uk/family-tree/person/tree/163868056/person/342173014064/facts" TargetMode="External"/><Relationship Id="rId30" Type="http://schemas.openxmlformats.org/officeDocument/2006/relationships/hyperlink" Target="https://www.ancestry.co.uk/family-tree/person/tree/163868056/person/342173014034/facts" TargetMode="External"/><Relationship Id="rId105" Type="http://schemas.openxmlformats.org/officeDocument/2006/relationships/hyperlink" Target="https://www.ancestry.co.uk/family-tree/tree/163868056/family?cfpid=342173299410&amp;fpid=342173014600&amp;usePUBJs=true" TargetMode="External"/><Relationship Id="rId126" Type="http://schemas.openxmlformats.org/officeDocument/2006/relationships/hyperlink" Target="https://dnapainter.com/tools/sharedcmv4/7?fbclid=IwAR3wqfKWVRq1DI_x4i7OjYx5ayGhdwQu5Tj-9K3u_CVvBxgEWwX7fHipJPs" TargetMode="External"/><Relationship Id="rId147" Type="http://schemas.openxmlformats.org/officeDocument/2006/relationships/hyperlink" Target="https://dnapainter.com/tools/sharedcmv4/39?fbclid=IwAR3wqfKWVRq1DI_x4i7OjYx5ayGhdwQu5Tj-9K3u_CVvBxgEWwX7fHipJPs" TargetMode="External"/><Relationship Id="rId168" Type="http://schemas.openxmlformats.org/officeDocument/2006/relationships/hyperlink" Target="https://www.ancestry.co.uk/family-tree/person/tree/163868056/person/342173014064/facts" TargetMode="External"/><Relationship Id="rId51" Type="http://schemas.openxmlformats.org/officeDocument/2006/relationships/hyperlink" Target="https://www.ancestry.co.uk/family-tree/person/tree/163868056/person/342173014385/facts" TargetMode="External"/><Relationship Id="rId72" Type="http://schemas.openxmlformats.org/officeDocument/2006/relationships/hyperlink" Target="https://www.ancestry.co.uk/family-tree/person/tree/163868056/person/342173014605/facts" TargetMode="External"/><Relationship Id="rId93" Type="http://schemas.openxmlformats.org/officeDocument/2006/relationships/hyperlink" Target="https://www.ancestry.co.uk/family-tree/tree/163868056/family?cfpid=342173438314&amp;fpid=342173014600&amp;usePUBJs=true" TargetMode="External"/><Relationship Id="rId189" Type="http://schemas.openxmlformats.org/officeDocument/2006/relationships/hyperlink" Target="https://www.ancestry.co.uk/discoveryui-matches/compare/50a7c5ef-9e94-44be-a86a-5736956a97f2/with/765274c3-4e68-4370-9b68-0dd2a67782ab" TargetMode="External"/><Relationship Id="rId3" Type="http://schemas.openxmlformats.org/officeDocument/2006/relationships/hyperlink" Target="https://www.ancestry.co.uk/family-tree/person/tree/163868056/person/342132992964/facts" TargetMode="External"/><Relationship Id="rId214" Type="http://schemas.openxmlformats.org/officeDocument/2006/relationships/hyperlink" Target="https://www.ancestry.co.uk/discoveryui-matches/compare/50a7c5ef-9e94-44be-a86a-5736956a97f2/with/0891567f-865b-40df-b8fc-25e50c20b7e5" TargetMode="Externa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ncestry.co.uk/family-tree/person/tree/163868056/person/342475439919/story" TargetMode="External"/><Relationship Id="rId13" Type="http://schemas.openxmlformats.org/officeDocument/2006/relationships/hyperlink" Target="https://dnapainter.com/tools/sharedcmv4/26?fbclid=IwAR3wqfKWVRq1DI_x4i7OjYx5ayGhdwQu5Tj-9K3u_CVvBxgEWwX7fHipJPs" TargetMode="External"/><Relationship Id="rId18" Type="http://schemas.openxmlformats.org/officeDocument/2006/relationships/hyperlink" Target="https://www.ancestry.co.uk/family-tree/person/tree/163868056/person/342475439919/story" TargetMode="External"/><Relationship Id="rId3" Type="http://schemas.openxmlformats.org/officeDocument/2006/relationships/hyperlink" Target="https://www.ancestry.co.uk/family-tree/person/tree/163868056/person/342475439918/story" TargetMode="External"/><Relationship Id="rId7" Type="http://schemas.openxmlformats.org/officeDocument/2006/relationships/hyperlink" Target="https://www.ancestry.co.uk/family-tree/person/tree/163868056/person/342475439918/story" TargetMode="External"/><Relationship Id="rId12" Type="http://schemas.openxmlformats.org/officeDocument/2006/relationships/hyperlink" Target="https://www.ancestry.co.uk/family-tree/person/tree/163868056/person/342475439919/story" TargetMode="External"/><Relationship Id="rId17" Type="http://schemas.openxmlformats.org/officeDocument/2006/relationships/hyperlink" Target="https://www.ancestry.co.uk/family-tree/person/tree/163868056/person/342475439918/story" TargetMode="External"/><Relationship Id="rId2" Type="http://schemas.openxmlformats.org/officeDocument/2006/relationships/hyperlink" Target="https://www.ancestry.co.uk/family-tree/tree/163868056/family/pedigree?cfpid=342475461782" TargetMode="External"/><Relationship Id="rId16" Type="http://schemas.openxmlformats.org/officeDocument/2006/relationships/hyperlink" Target="https://www.ancestry.co.uk/discoveryui-matches/compare/50a7c5ef-9e94-44be-a86a-5736956a97f2/with/b07ef7fc-9fdd-424c-8464-382f234b14ad" TargetMode="External"/><Relationship Id="rId20" Type="http://schemas.openxmlformats.org/officeDocument/2006/relationships/hyperlink" Target="https://www.ancestry.co.uk/family-tree/tree/163868056/family/pedigree?cfpid=342606026211" TargetMode="External"/><Relationship Id="rId1" Type="http://schemas.openxmlformats.org/officeDocument/2006/relationships/hyperlink" Target="https://www.ancestry.co.uk/discoveryui-matches/compare/50A7C5EF-9E94-44BE-A86A-5736956A97F2/with/2E5BF54B-9D58-4B74-8234-5032AC88C7EF" TargetMode="External"/><Relationship Id="rId6" Type="http://schemas.openxmlformats.org/officeDocument/2006/relationships/hyperlink" Target="https://www.ancestry.co.uk/family-tree/tree/163868056/family/pedigree?cfpid=342475461257" TargetMode="External"/><Relationship Id="rId11" Type="http://schemas.openxmlformats.org/officeDocument/2006/relationships/hyperlink" Target="https://www.ancestry.co.uk/family-tree/person/tree/163868056/person/342475439918/story" TargetMode="External"/><Relationship Id="rId5" Type="http://schemas.openxmlformats.org/officeDocument/2006/relationships/hyperlink" Target="https://www.ancestry.co.uk/discoveryui-matches/compare/50a7c5ef-9e94-44be-a86a-5736956a97f2/with/77ceac58-9ec6-4459-88b5-4959f0eab7be" TargetMode="External"/><Relationship Id="rId15" Type="http://schemas.openxmlformats.org/officeDocument/2006/relationships/hyperlink" Target="https://dnapainter.com/tools/sharedcmv4/28?fbclid=IwAR3wqfKWVRq1DI_x4i7OjYx5ayGhdwQu5Tj-9K3u_CVvBxgEWwX7fHipJPs" TargetMode="External"/><Relationship Id="rId10" Type="http://schemas.openxmlformats.org/officeDocument/2006/relationships/hyperlink" Target="https://www.ancestry.co.uk/family-tree/tree/163868056/family/pedigree?cfpid=342475462221" TargetMode="External"/><Relationship Id="rId19" Type="http://schemas.openxmlformats.org/officeDocument/2006/relationships/hyperlink" Target="https://dnapainter.com/tools/sharedcmv4/19?fbclid=IwAR3wqfKWVRq1DI_x4i7OjYx5ayGhdwQu5Tj-9K3u_CVvBxgEWwX7fHipJPs" TargetMode="External"/><Relationship Id="rId4" Type="http://schemas.openxmlformats.org/officeDocument/2006/relationships/hyperlink" Target="https://www.ancestry.co.uk/family-tree/person/tree/163868056/person/342475439919/story" TargetMode="External"/><Relationship Id="rId9" Type="http://schemas.openxmlformats.org/officeDocument/2006/relationships/hyperlink" Target="https://www.ancestry.co.uk/discoveryui-matches/compare/50A7C5EF-9E94-44BE-A86A-5736956A97F2/with/BE393974-C7C5-4851-BA4F-B4C7FA98EFFE" TargetMode="External"/><Relationship Id="rId14" Type="http://schemas.openxmlformats.org/officeDocument/2006/relationships/hyperlink" Target="https://dnapainter.com/tools/sharedcmv4/26?fbclid=IwAR3wqfKWVRq1DI_x4i7OjYx5ayGhdwQu5Tj-9K3u_CVvBxgEWwX7fHipJPs" TargetMode="External"/></Relationships>
</file>

<file path=xl/worksheets/_rels/sheet3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ncestry.co.uk/family-tree/person/tree/163868056/person/342144478153/facts" TargetMode="External"/><Relationship Id="rId21" Type="http://schemas.openxmlformats.org/officeDocument/2006/relationships/hyperlink" Target="https://www.ancestry.co.uk/family-tree/person/tree/163868056/person/342145742229/facts" TargetMode="External"/><Relationship Id="rId42" Type="http://schemas.openxmlformats.org/officeDocument/2006/relationships/hyperlink" Target="https://www.ancestry.co.uk/family-tree/person/tree/163868056/person/342144478153/facts" TargetMode="External"/><Relationship Id="rId63" Type="http://schemas.openxmlformats.org/officeDocument/2006/relationships/hyperlink" Target="https://www.ancestry.co.uk/discoveryui-matches/compare/8955cf51-8070-4a51-8674-b7f01b347aed/with/518fd2b6-1480-4c59-ae24-f75f186ef18b" TargetMode="External"/><Relationship Id="rId84" Type="http://schemas.openxmlformats.org/officeDocument/2006/relationships/hyperlink" Target="https://www.ancestry.co.uk/discoveryui-matches/compare/50A7C5EF-9E94-44BE-A86A-5736956A97F2/with/1D564DF4-1A7B-4353-8539-A733F3848D0D" TargetMode="External"/><Relationship Id="rId138" Type="http://schemas.openxmlformats.org/officeDocument/2006/relationships/hyperlink" Target="https://www.ancestry.co.uk/discoveryui-matches/compare/50a7c5ef-9e94-44be-a86a-5736956a97f2/with/e78e1a23-74b2-4dea-b4ae-c5ce47bf09e1" TargetMode="External"/><Relationship Id="rId107" Type="http://schemas.openxmlformats.org/officeDocument/2006/relationships/hyperlink" Target="https://dnapainter.com/tools/sharedcmv4/9?fbclid=IwAR3wqfKWVRq1DI_x4i7OjYx5ayGhdwQu5Tj-9K3u_CVvBxgEWwX7fHipJPs" TargetMode="External"/><Relationship Id="rId11" Type="http://schemas.openxmlformats.org/officeDocument/2006/relationships/hyperlink" Target="https://www.ancestry.co.uk/family-tree/person/tree/163868056/person/342132992964/facts" TargetMode="External"/><Relationship Id="rId32" Type="http://schemas.openxmlformats.org/officeDocument/2006/relationships/hyperlink" Target="https://www.ancestry.co.uk/family-tree/person/tree/163868056/person/342145742230/facts" TargetMode="External"/><Relationship Id="rId53" Type="http://schemas.openxmlformats.org/officeDocument/2006/relationships/hyperlink" Target="https://www.ancestry.co.uk/family-tree/person/tree/163868056/person/342144478155/facts" TargetMode="External"/><Relationship Id="rId74" Type="http://schemas.openxmlformats.org/officeDocument/2006/relationships/hyperlink" Target="https://www.ancestry.co.uk/family-tree/tree/163868056/family?cfpid=342373334977" TargetMode="External"/><Relationship Id="rId128" Type="http://schemas.openxmlformats.org/officeDocument/2006/relationships/hyperlink" Target="https://www.ancestry.co.uk/family-tree/person/tree/163868056/person/342132992970/facts" TargetMode="External"/><Relationship Id="rId5" Type="http://schemas.openxmlformats.org/officeDocument/2006/relationships/hyperlink" Target="https://www.ancestry.co.uk/family-tree/person/tree/163868056/person/342132992964/facts" TargetMode="External"/><Relationship Id="rId90" Type="http://schemas.openxmlformats.org/officeDocument/2006/relationships/hyperlink" Target="https://www.ancestry.co.uk/discoveryui-matches/compare/50A7C5EF-9E94-44BE-A86A-5736956A97F2/with/4585EDD0-C8A8-48B4-80CE-7042AFDD1ED8" TargetMode="External"/><Relationship Id="rId95" Type="http://schemas.openxmlformats.org/officeDocument/2006/relationships/hyperlink" Target="https://dnapainter.com/tools/sharedcmv4/6?fbclid=IwAR3wqfKWVRq1DI_x4i7OjYx5ayGhdwQu5Tj-9K3u_CVvBxgEWwX7fHipJPs" TargetMode="External"/><Relationship Id="rId22" Type="http://schemas.openxmlformats.org/officeDocument/2006/relationships/hyperlink" Target="https://www.ancestry.co.uk/family-tree/person/tree/163868056/person/342145742229/facts" TargetMode="External"/><Relationship Id="rId27" Type="http://schemas.openxmlformats.org/officeDocument/2006/relationships/hyperlink" Target="https://www.ancestry.co.uk/family-tree/person/tree/163868056/person/342145742229/facts" TargetMode="External"/><Relationship Id="rId43" Type="http://schemas.openxmlformats.org/officeDocument/2006/relationships/hyperlink" Target="https://www.ancestry.co.uk/family-tree/person/tree/163868056/person/342144478153/facts" TargetMode="External"/><Relationship Id="rId48" Type="http://schemas.openxmlformats.org/officeDocument/2006/relationships/hyperlink" Target="https://www.ancestry.co.uk/family-tree/person/tree/163868056/person/342144478153/facts" TargetMode="External"/><Relationship Id="rId64" Type="http://schemas.openxmlformats.org/officeDocument/2006/relationships/hyperlink" Target="https://www.ancestry.co.uk/family-tree/tree/163868056/family?cfpid=342373913396" TargetMode="External"/><Relationship Id="rId69" Type="http://schemas.openxmlformats.org/officeDocument/2006/relationships/hyperlink" Target="https://www.ancestry.co.uk/family-tree/tree/163868056/family?cfpid=342373917792" TargetMode="External"/><Relationship Id="rId113" Type="http://schemas.openxmlformats.org/officeDocument/2006/relationships/hyperlink" Target="https://dnapainter.com/tools/sharedcmv4/13?fbclid=IwAR3wqfKWVRq1DI_x4i7OjYx5ayGhdwQu5Tj-9K3u_CVvBxgEWwX7fHipJPs" TargetMode="External"/><Relationship Id="rId118" Type="http://schemas.openxmlformats.org/officeDocument/2006/relationships/hyperlink" Target="https://www.ancestry.co.uk/family-tree/person/tree/163868056/person/342144478155/facts" TargetMode="External"/><Relationship Id="rId134" Type="http://schemas.openxmlformats.org/officeDocument/2006/relationships/hyperlink" Target="https://www.ancestry.co.uk/family-tree/person/tree/163868056/person/342132992964/facts" TargetMode="External"/><Relationship Id="rId139" Type="http://schemas.openxmlformats.org/officeDocument/2006/relationships/hyperlink" Target="https://dnapainter.com/tools/sharedcmv4/11?fbclid=IwAR3wqfKWVRq1DI_x4i7OjYx5ayGhdwQu5Tj-9K3u_CVvBxgEWwX7fHipJPs" TargetMode="External"/><Relationship Id="rId80" Type="http://schemas.openxmlformats.org/officeDocument/2006/relationships/hyperlink" Target="https://www.myheritage.com/dna/match/D-9E1FE62B-73EF-414E-8CC5-9A2285D9F64A-D-781B551B-727A-4338-92E0-F5331553DDA4/691113321?p=1&amp;ps=10&amp;search=lippincot&amp;sort=total_shared_segments_length_in_cm&amp;siteId=691113321&amp;individualId=12000007" TargetMode="External"/><Relationship Id="rId85" Type="http://schemas.openxmlformats.org/officeDocument/2006/relationships/hyperlink" Target="https://www.ancestry.co.uk/discoveryui-matches/compare/50A7C5EF-9E94-44BE-A86A-5736956A97F2/with/DA48E802-7F4A-4346-8760-48B6B716E946" TargetMode="External"/><Relationship Id="rId12" Type="http://schemas.openxmlformats.org/officeDocument/2006/relationships/hyperlink" Target="https://www.ancestry.co.uk/family-tree/person/tree/163868056/person/342132992964/facts" TargetMode="External"/><Relationship Id="rId17" Type="http://schemas.openxmlformats.org/officeDocument/2006/relationships/hyperlink" Target="https://www.ancestry.co.uk/family-tree/person/tree/163868056/person/342132992970/facts" TargetMode="External"/><Relationship Id="rId33" Type="http://schemas.openxmlformats.org/officeDocument/2006/relationships/hyperlink" Target="https://www.ancestry.co.uk/family-tree/person/tree/163868056/person/342145742230/facts" TargetMode="External"/><Relationship Id="rId38" Type="http://schemas.openxmlformats.org/officeDocument/2006/relationships/hyperlink" Target="https://www.ancestry.co.uk/family-tree/person/tree/163868056/person/342145742230/facts" TargetMode="External"/><Relationship Id="rId59" Type="http://schemas.openxmlformats.org/officeDocument/2006/relationships/hyperlink" Target="https://www.ancestry.co.uk/family-tree/tree/163868056/family?cfpid=342373922097" TargetMode="External"/><Relationship Id="rId103" Type="http://schemas.openxmlformats.org/officeDocument/2006/relationships/hyperlink" Target="https://dnapainter.com/tools/sharedcmv4/8?fbclid=IwAR3wqfKWVRq1DI_x4i7OjYx5ayGhdwQu5Tj-9K3u_CVvBxgEWwX7fHipJPs" TargetMode="External"/><Relationship Id="rId108" Type="http://schemas.openxmlformats.org/officeDocument/2006/relationships/hyperlink" Target="https://dnapainter.com/tools/sharedcmv4/9?fbclid=IwAR3wqfKWVRq1DI_x4i7OjYx5ayGhdwQu5Tj-9K3u_CVvBxgEWwX7fHipJPs" TargetMode="External"/><Relationship Id="rId124" Type="http://schemas.openxmlformats.org/officeDocument/2006/relationships/hyperlink" Target="https://www.ancestry.co.uk/family-tree/person/tree/163868056/person/342144478155/facts" TargetMode="External"/><Relationship Id="rId129" Type="http://schemas.openxmlformats.org/officeDocument/2006/relationships/hyperlink" Target="https://www.ancestry.co.uk/family-tree/person/tree/163868056/person/342144478153/facts" TargetMode="External"/><Relationship Id="rId54" Type="http://schemas.openxmlformats.org/officeDocument/2006/relationships/hyperlink" Target="https://www.ancestry.co.uk/family-tree/person/tree/163868056/person/342144478155/facts" TargetMode="External"/><Relationship Id="rId70" Type="http://schemas.openxmlformats.org/officeDocument/2006/relationships/hyperlink" Target="https://www.ancestry.co.uk/discoveryui-matches/compare/8955cf51-8070-4a51-8674-b7f01b347aed/with/d3f61a7c-2c45-4672-9d4e-f7be5413b4ed" TargetMode="External"/><Relationship Id="rId75" Type="http://schemas.openxmlformats.org/officeDocument/2006/relationships/hyperlink" Target="https://www.ancestry.co.uk/family-tree/tree/163868056/family?cfpid=342373335461" TargetMode="External"/><Relationship Id="rId91" Type="http://schemas.openxmlformats.org/officeDocument/2006/relationships/hyperlink" Target="https://www.ancestry.co.uk/discoveryui-matches/compare/8955cf51-8070-4a51-8674-b7f01b347aed/with/2a7d693a-fa2a-474c-bd21-33e289edb150" TargetMode="External"/><Relationship Id="rId96" Type="http://schemas.openxmlformats.org/officeDocument/2006/relationships/hyperlink" Target="https://dnapainter.com/tools/sharedcmv4/6?fbclid=IwAR3wqfKWVRq1DI_x4i7OjYx5ayGhdwQu5Tj-9K3u_CVvBxgEWwX7fHipJPs" TargetMode="External"/><Relationship Id="rId140" Type="http://schemas.openxmlformats.org/officeDocument/2006/relationships/hyperlink" Target="https://www.ancestry.co.uk/family-tree/person/tree/163868056/person/342132992964/facts" TargetMode="External"/><Relationship Id="rId145" Type="http://schemas.openxmlformats.org/officeDocument/2006/relationships/hyperlink" Target="https://www.ancestry.co.uk/family-tree/tree/163868056/family/pedigree?cfpid=342593463386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www.ancestry.co.uk/family-tree/person/tree/163868056/person/342132992964/facts" TargetMode="External"/><Relationship Id="rId23" Type="http://schemas.openxmlformats.org/officeDocument/2006/relationships/hyperlink" Target="https://www.ancestry.co.uk/family-tree/person/tree/163868056/person/342145742229/facts" TargetMode="External"/><Relationship Id="rId28" Type="http://schemas.openxmlformats.org/officeDocument/2006/relationships/hyperlink" Target="https://www.ancestry.co.uk/family-tree/person/tree/163868056/person/342145742229/facts" TargetMode="External"/><Relationship Id="rId49" Type="http://schemas.openxmlformats.org/officeDocument/2006/relationships/hyperlink" Target="https://www.ancestry.co.uk/family-tree/person/tree/163868056/person/342144478155/facts" TargetMode="External"/><Relationship Id="rId114" Type="http://schemas.openxmlformats.org/officeDocument/2006/relationships/hyperlink" Target="https://dnapainter.com/tools/sharedcmv4/12.2?fbclid=IwAR3wqfKWVRq1DI_x4i7OjYx5ayGhdwQu5Tj-9K3u_CVvBxgEWwX7fHipJPs" TargetMode="External"/><Relationship Id="rId119" Type="http://schemas.openxmlformats.org/officeDocument/2006/relationships/hyperlink" Target="https://www.ancestry.co.uk/discoveryui-matches/compare/8955cf51-8070-4a51-8674-b7f01b347aed/with/c54d3e7c-95ac-45c5-b694-ba0ac4e550fc" TargetMode="External"/><Relationship Id="rId44" Type="http://schemas.openxmlformats.org/officeDocument/2006/relationships/hyperlink" Target="https://www.ancestry.co.uk/family-tree/person/tree/163868056/person/342144478153/facts" TargetMode="External"/><Relationship Id="rId60" Type="http://schemas.openxmlformats.org/officeDocument/2006/relationships/hyperlink" Target="https://www.ancestry.co.uk/family-tree/tree/163868056/family?cfpid=342373207961" TargetMode="External"/><Relationship Id="rId65" Type="http://schemas.openxmlformats.org/officeDocument/2006/relationships/hyperlink" Target="https://www.ancestry.co.uk/family-tree/tree/163868056/family?cfpid=342373914023" TargetMode="External"/><Relationship Id="rId81" Type="http://schemas.openxmlformats.org/officeDocument/2006/relationships/hyperlink" Target="https://www.ancestry.co.uk/discoveryui-matches/compare/50A7C5EF-9E94-44BE-A86A-5736956A97F2/with/1A2D4DFF-5D6F-497C-9B41-735679A06302" TargetMode="External"/><Relationship Id="rId86" Type="http://schemas.openxmlformats.org/officeDocument/2006/relationships/hyperlink" Target="https://www.ancestry.co.uk/discoveryui-matches/compare/50A7C5EF-9E94-44BE-A86A-5736956A97F2/with/FB35D4E8-5DD8-4A1B-91DA-891868952453" TargetMode="External"/><Relationship Id="rId130" Type="http://schemas.openxmlformats.org/officeDocument/2006/relationships/hyperlink" Target="https://www.ancestry.co.uk/family-tree/person/tree/163868056/person/342144478155/facts" TargetMode="External"/><Relationship Id="rId135" Type="http://schemas.openxmlformats.org/officeDocument/2006/relationships/hyperlink" Target="https://www.ancestry.co.uk/family-tree/person/tree/163868056/person/342144478153/facts" TargetMode="External"/><Relationship Id="rId13" Type="http://schemas.openxmlformats.org/officeDocument/2006/relationships/hyperlink" Target="https://www.ancestry.co.uk/family-tree/person/tree/163868056/person/342132992964/facts" TargetMode="External"/><Relationship Id="rId18" Type="http://schemas.openxmlformats.org/officeDocument/2006/relationships/hyperlink" Target="https://www.ancestry.co.uk/family-tree/person/tree/163868056/person/342132992970/facts" TargetMode="External"/><Relationship Id="rId39" Type="http://schemas.openxmlformats.org/officeDocument/2006/relationships/hyperlink" Target="https://www.ancestry.co.uk/family-tree/person/tree/163868056/person/342145742230/facts" TargetMode="External"/><Relationship Id="rId109" Type="http://schemas.openxmlformats.org/officeDocument/2006/relationships/hyperlink" Target="https://dnapainter.com/tools/sharedcmv4/9?fbclid=IwAR3wqfKWVRq1DI_x4i7OjYx5ayGhdwQu5Tj-9K3u_CVvBxgEWwX7fHipJPs" TargetMode="External"/><Relationship Id="rId34" Type="http://schemas.openxmlformats.org/officeDocument/2006/relationships/hyperlink" Target="https://www.ancestry.co.uk/family-tree/person/tree/163868056/person/342145742230/facts" TargetMode="External"/><Relationship Id="rId50" Type="http://schemas.openxmlformats.org/officeDocument/2006/relationships/hyperlink" Target="https://www.ancestry.co.uk/family-tree/person/tree/163868056/person/342144478155/facts" TargetMode="External"/><Relationship Id="rId55" Type="http://schemas.openxmlformats.org/officeDocument/2006/relationships/hyperlink" Target="https://www.ancestry.co.uk/family-tree/person/tree/163868056/person/342144478155/facts" TargetMode="External"/><Relationship Id="rId76" Type="http://schemas.openxmlformats.org/officeDocument/2006/relationships/hyperlink" Target="https://www.ancestry.co.uk/family-tree/tree/163868056/family?cfpid=342373374416" TargetMode="External"/><Relationship Id="rId97" Type="http://schemas.openxmlformats.org/officeDocument/2006/relationships/hyperlink" Target="https://dnapainter.com/tools/sharedcmv4/6?fbclid=IwAR3wqfKWVRq1DI_x4i7OjYx5ayGhdwQu5Tj-9K3u_CVvBxgEWwX7fHipJPs" TargetMode="External"/><Relationship Id="rId104" Type="http://schemas.openxmlformats.org/officeDocument/2006/relationships/hyperlink" Target="https://dnapainter.com/tools/sharedcmv4/9?fbclid=IwAR3wqfKWVRq1DI_x4i7OjYx5ayGhdwQu5Tj-9K3u_CVvBxgEWwX7fHipJPs" TargetMode="External"/><Relationship Id="rId120" Type="http://schemas.openxmlformats.org/officeDocument/2006/relationships/hyperlink" Target="https://dnapainter.com/tools/sharedcmv4/10?fbclid=IwAR3wqfKWVRq1DI_x4i7OjYx5ayGhdwQu5Tj-9K3u_CVvBxgEWwX7fHipJPs" TargetMode="External"/><Relationship Id="rId125" Type="http://schemas.openxmlformats.org/officeDocument/2006/relationships/hyperlink" Target="https://www.ancestry.co.uk/discoveryui-matches/compare/8955cf51-8070-4a51-8674-b7f01b347aed/with/314e79be-6f57-46f3-a63a-b00f14cc6ddb" TargetMode="External"/><Relationship Id="rId141" Type="http://schemas.openxmlformats.org/officeDocument/2006/relationships/hyperlink" Target="https://www.ancestry.co.uk/family-tree/person/tree/163868056/person/342145742229/facts" TargetMode="External"/><Relationship Id="rId146" Type="http://schemas.openxmlformats.org/officeDocument/2006/relationships/printerSettings" Target="../printerSettings/printerSettings8.bin"/><Relationship Id="rId7" Type="http://schemas.openxmlformats.org/officeDocument/2006/relationships/hyperlink" Target="https://www.ancestry.co.uk/family-tree/person/tree/163868056/person/342132992964/facts" TargetMode="External"/><Relationship Id="rId71" Type="http://schemas.openxmlformats.org/officeDocument/2006/relationships/hyperlink" Target="https://www.ancestry.co.uk/family-tree/tree/163868056/family?cfpid=342373324523" TargetMode="External"/><Relationship Id="rId92" Type="http://schemas.openxmlformats.org/officeDocument/2006/relationships/hyperlink" Target="https://www.ancestry.co.uk/discoveryui-matches/compare/8955CF51-8070-4A51-8674-B7F01B347AED/with/D523A102-59C1-4D9F-B34F-52BC6654DE99" TargetMode="External"/><Relationship Id="rId2" Type="http://schemas.openxmlformats.org/officeDocument/2006/relationships/hyperlink" Target="https://www.ancestry.co.uk/family-tree/person/tree/163868056/person/342132992964/facts" TargetMode="External"/><Relationship Id="rId29" Type="http://schemas.openxmlformats.org/officeDocument/2006/relationships/hyperlink" Target="https://www.ancestry.co.uk/family-tree/person/tree/163868056/person/342145742229/facts" TargetMode="External"/><Relationship Id="rId24" Type="http://schemas.openxmlformats.org/officeDocument/2006/relationships/hyperlink" Target="https://www.ancestry.co.uk/family-tree/person/tree/163868056/person/342145742229/facts" TargetMode="External"/><Relationship Id="rId40" Type="http://schemas.openxmlformats.org/officeDocument/2006/relationships/hyperlink" Target="https://www.ancestry.co.uk/family-tree/person/tree/163868056/person/342145742230/facts" TargetMode="External"/><Relationship Id="rId45" Type="http://schemas.openxmlformats.org/officeDocument/2006/relationships/hyperlink" Target="https://www.ancestry.co.uk/family-tree/person/tree/163868056/person/342144478153/facts" TargetMode="External"/><Relationship Id="rId66" Type="http://schemas.openxmlformats.org/officeDocument/2006/relationships/hyperlink" Target="https://www.ancestry.co.uk/family-tree/tree/163868056/family?cfpid=342373915978" TargetMode="External"/><Relationship Id="rId87" Type="http://schemas.openxmlformats.org/officeDocument/2006/relationships/hyperlink" Target="https://www.ancestry.co.uk/discoveryui-matches/compare/50A7C5EF-9E94-44BE-A86A-5736956A97F2/with/97ABCDB5-FBB9-4DE0-9DA4-698ABC68BCC7" TargetMode="External"/><Relationship Id="rId110" Type="http://schemas.openxmlformats.org/officeDocument/2006/relationships/hyperlink" Target="https://dnapainter.com/tools/sharedcmv4/7?fbclid=IwAR3wqfKWVRq1DI_x4i7OjYx5ayGhdwQu5Tj-9K3u_CVvBxgEWwX7fHipJPs" TargetMode="External"/><Relationship Id="rId115" Type="http://schemas.openxmlformats.org/officeDocument/2006/relationships/hyperlink" Target="https://dnapainter.com/tools/sharedcmv4/17.3?fbclid=IwAR3wqfKWVRq1DI_x4i7OjYx5ayGhdwQu5Tj-9K3u_CVvBxgEWwX7fHipJPs" TargetMode="External"/><Relationship Id="rId131" Type="http://schemas.openxmlformats.org/officeDocument/2006/relationships/hyperlink" Target="https://www.ancestry.co.uk/discoveryui-matches/compare/8955cf51-8070-4a51-8674-b7f01b347aed/with/86ea27e4-acc5-4143-8c4f-a2b2bf3ce070" TargetMode="External"/><Relationship Id="rId136" Type="http://schemas.openxmlformats.org/officeDocument/2006/relationships/hyperlink" Target="https://www.ancestry.co.uk/family-tree/person/tree/163868056/person/342144478155/facts" TargetMode="External"/><Relationship Id="rId61" Type="http://schemas.openxmlformats.org/officeDocument/2006/relationships/hyperlink" Target="https://www.ancestry.co.uk/family-tree/tree/163868056/family?cfpid=342373384870" TargetMode="External"/><Relationship Id="rId82" Type="http://schemas.openxmlformats.org/officeDocument/2006/relationships/hyperlink" Target="https://www.ancestry.co.uk/discoveryui-matches/compare/50A7C5EF-9E94-44BE-A86A-5736956A97F2/with/D992EC97-B2C4-4D88-8BA7-EAF3C0C25D6A" TargetMode="External"/><Relationship Id="rId19" Type="http://schemas.openxmlformats.org/officeDocument/2006/relationships/hyperlink" Target="https://www.ancestry.co.uk/family-tree/person/tree/163868056/person/342132992970/facts" TargetMode="External"/><Relationship Id="rId14" Type="http://schemas.openxmlformats.org/officeDocument/2006/relationships/hyperlink" Target="https://www.ancestry.co.uk/family-tree/person/tree/163868056/person/342132992964/facts" TargetMode="External"/><Relationship Id="rId30" Type="http://schemas.openxmlformats.org/officeDocument/2006/relationships/hyperlink" Target="https://www.ancestry.co.uk/family-tree/person/tree/163868056/person/342145742229/facts" TargetMode="External"/><Relationship Id="rId35" Type="http://schemas.openxmlformats.org/officeDocument/2006/relationships/hyperlink" Target="https://www.ancestry.co.uk/family-tree/person/tree/163868056/person/342145742230/facts" TargetMode="External"/><Relationship Id="rId56" Type="http://schemas.openxmlformats.org/officeDocument/2006/relationships/hyperlink" Target="https://www.ancestry.co.uk/family-tree/person/tree/163868056/person/342145768557/facts" TargetMode="External"/><Relationship Id="rId77" Type="http://schemas.openxmlformats.org/officeDocument/2006/relationships/hyperlink" Target="https://www.ancestry.co.uk/family-tree/person/tree/163868056/person/342373363658/facts" TargetMode="External"/><Relationship Id="rId100" Type="http://schemas.openxmlformats.org/officeDocument/2006/relationships/hyperlink" Target="https://dnapainter.com/tools/sharedcmv4/7?fbclid=IwAR3wqfKWVRq1DI_x4i7OjYx5ayGhdwQu5Tj-9K3u_CVvBxgEWwX7fHipJPs" TargetMode="External"/><Relationship Id="rId105" Type="http://schemas.openxmlformats.org/officeDocument/2006/relationships/hyperlink" Target="https://dnapainter.com/tools/sharedcmv4/9?fbclid=IwAR3wqfKWVRq1DI_x4i7OjYx5ayGhdwQu5Tj-9K3u_CVvBxgEWwX7fHipJPs" TargetMode="External"/><Relationship Id="rId126" Type="http://schemas.openxmlformats.org/officeDocument/2006/relationships/hyperlink" Target="https://dnapainter.com/tools/sharedcmv4/9?fbclid=IwAR3wqfKWVRq1DI_x4i7OjYx5ayGhdwQu5Tj-9K3u_CVvBxgEWwX7fHipJPs" TargetMode="External"/><Relationship Id="rId8" Type="http://schemas.openxmlformats.org/officeDocument/2006/relationships/hyperlink" Target="https://www.ancestry.co.uk/family-tree/person/tree/163868056/person/342132992964/facts" TargetMode="External"/><Relationship Id="rId51" Type="http://schemas.openxmlformats.org/officeDocument/2006/relationships/hyperlink" Target="https://www.ancestry.co.uk/family-tree/person/tree/163868056/person/342144478155/facts" TargetMode="External"/><Relationship Id="rId72" Type="http://schemas.openxmlformats.org/officeDocument/2006/relationships/hyperlink" Target="https://www.ancestry.co.uk/family-tree/tree/163868056/family?cfpid=342373332830" TargetMode="External"/><Relationship Id="rId93" Type="http://schemas.openxmlformats.org/officeDocument/2006/relationships/hyperlink" Target="https://www.ancestry.co.uk/discoveryui-matches/compare/8955CF51-8070-4A51-8674-B7F01B347AED/with/EA563511-68B1-4512-B43D-E91921EDAB41" TargetMode="External"/><Relationship Id="rId98" Type="http://schemas.openxmlformats.org/officeDocument/2006/relationships/hyperlink" Target="https://dnapainter.com/tools/sharedcmv4/7?fbclid=IwAR3wqfKWVRq1DI_x4i7OjYx5ayGhdwQu5Tj-9K3u_CVvBxgEWwX7fHipJPs" TargetMode="External"/><Relationship Id="rId121" Type="http://schemas.openxmlformats.org/officeDocument/2006/relationships/hyperlink" Target="https://www.ancestry.co.uk/family-tree/tree/163868056/family/pedigree?cfpid=342593461452" TargetMode="External"/><Relationship Id="rId142" Type="http://schemas.openxmlformats.org/officeDocument/2006/relationships/hyperlink" Target="https://www.ancestry.co.uk/family-tree/person/tree/163868056/person/342145742230/facts" TargetMode="External"/><Relationship Id="rId3" Type="http://schemas.openxmlformats.org/officeDocument/2006/relationships/hyperlink" Target="https://www.ancestry.co.uk/family-tree/person/tree/163868056/person/342132992964/facts" TargetMode="External"/><Relationship Id="rId25" Type="http://schemas.openxmlformats.org/officeDocument/2006/relationships/hyperlink" Target="https://www.ancestry.co.uk/family-tree/person/tree/163868056/person/342145742229/facts" TargetMode="External"/><Relationship Id="rId46" Type="http://schemas.openxmlformats.org/officeDocument/2006/relationships/hyperlink" Target="https://www.ancestry.co.uk/family-tree/person/tree/163868056/person/342144478153/facts" TargetMode="External"/><Relationship Id="rId67" Type="http://schemas.openxmlformats.org/officeDocument/2006/relationships/hyperlink" Target="https://www.ancestry.co.uk/discoveryui-matches/compare/8955cf51-8070-4a51-8674-b7f01b347aed/with/5d981373-5bbd-4c99-bfb6-662ab0597a5e" TargetMode="External"/><Relationship Id="rId116" Type="http://schemas.openxmlformats.org/officeDocument/2006/relationships/hyperlink" Target="https://www.ancestry.co.uk/family-tree/person/tree/163868056/person/342132992964/facts" TargetMode="External"/><Relationship Id="rId137" Type="http://schemas.openxmlformats.org/officeDocument/2006/relationships/hyperlink" Target="https://d.docs.live.net/D32613E9A4B09111/Documents/v" TargetMode="External"/><Relationship Id="rId20" Type="http://schemas.openxmlformats.org/officeDocument/2006/relationships/hyperlink" Target="https://www.ancestry.co.uk/family-tree/person/tree/163868056/person/342145742229/facts" TargetMode="External"/><Relationship Id="rId41" Type="http://schemas.openxmlformats.org/officeDocument/2006/relationships/hyperlink" Target="https://www.ancestry.co.uk/family-tree/person/tree/163868056/person/342145742230/facts" TargetMode="External"/><Relationship Id="rId62" Type="http://schemas.openxmlformats.org/officeDocument/2006/relationships/hyperlink" Target="https://www.ancestry.co.uk/family-tree/tree/163868056/family?cfpid=342373912721" TargetMode="External"/><Relationship Id="rId83" Type="http://schemas.openxmlformats.org/officeDocument/2006/relationships/hyperlink" Target="https://www.ancestry.co.uk/discoveryui-matches/compare/50A7C5EF-9E94-44BE-A86A-5736956A97F2/with/6AFEC096-32AB-44D7-ACB4-F336E9994F47" TargetMode="External"/><Relationship Id="rId88" Type="http://schemas.openxmlformats.org/officeDocument/2006/relationships/hyperlink" Target="https://www.ancestry.co.uk/discoveryui-matches/compare/50A7C5EF-9E94-44BE-A86A-5736956A97F2/with/1B950315-4F0B-47D2-BE5B-01FBC9772447" TargetMode="External"/><Relationship Id="rId111" Type="http://schemas.openxmlformats.org/officeDocument/2006/relationships/hyperlink" Target="https://dnapainter.com/tools/sharedcmv4/10?fbclid=IwAR3wqfKWVRq1DI_x4i7OjYx5ayGhdwQu5Tj-9K3u_CVvBxgEWwX7fHipJPs" TargetMode="External"/><Relationship Id="rId132" Type="http://schemas.openxmlformats.org/officeDocument/2006/relationships/hyperlink" Target="https://dnapainter.com/tools/sharedcmv4/9?fbclid=IwAR3wqfKWVRq1DI_x4i7OjYx5ayGhdwQu5Tj-9K3u_CVvBxgEWwX7fHipJPs" TargetMode="External"/><Relationship Id="rId15" Type="http://schemas.openxmlformats.org/officeDocument/2006/relationships/hyperlink" Target="https://www.ancestry.co.uk/family-tree/person/tree/163868056/person/342132992964/facts" TargetMode="External"/><Relationship Id="rId36" Type="http://schemas.openxmlformats.org/officeDocument/2006/relationships/hyperlink" Target="https://www.ancestry.co.uk/family-tree/person/tree/163868056/person/342145742230/facts" TargetMode="External"/><Relationship Id="rId57" Type="http://schemas.openxmlformats.org/officeDocument/2006/relationships/hyperlink" Target="https://www.ancestry.co.uk/family-tree/person/tree/163868056/person/342145768558/facts" TargetMode="External"/><Relationship Id="rId106" Type="http://schemas.openxmlformats.org/officeDocument/2006/relationships/hyperlink" Target="https://dnapainter.com/tools/sharedcmv4/9?fbclid=IwAR3wqfKWVRq1DI_x4i7OjYx5ayGhdwQu5Tj-9K3u_CVvBxgEWwX7fHipJPs" TargetMode="External"/><Relationship Id="rId127" Type="http://schemas.openxmlformats.org/officeDocument/2006/relationships/hyperlink" Target="https://www.ancestry.co.uk/family-tree/tree/163868056/family/pedigree?cfpid=342593461075" TargetMode="External"/><Relationship Id="rId10" Type="http://schemas.openxmlformats.org/officeDocument/2006/relationships/hyperlink" Target="https://www.ancestry.co.uk/family-tree/person/tree/163868056/person/342132992964/facts" TargetMode="External"/><Relationship Id="rId31" Type="http://schemas.openxmlformats.org/officeDocument/2006/relationships/hyperlink" Target="https://www.ancestry.co.uk/family-tree/person/tree/163868056/person/342145742230/facts" TargetMode="External"/><Relationship Id="rId52" Type="http://schemas.openxmlformats.org/officeDocument/2006/relationships/hyperlink" Target="https://www.ancestry.co.uk/family-tree/person/tree/163868056/person/342144478155/facts" TargetMode="External"/><Relationship Id="rId73" Type="http://schemas.openxmlformats.org/officeDocument/2006/relationships/hyperlink" Target="https://www.ancestry.co.uk/family-tree/tree/163868056/family?cfpid=342373334021" TargetMode="External"/><Relationship Id="rId78" Type="http://schemas.openxmlformats.org/officeDocument/2006/relationships/hyperlink" Target="https://www.ancestry.co.uk/family-tree/tree/163868056/family?cfpid=342373372028" TargetMode="External"/><Relationship Id="rId94" Type="http://schemas.openxmlformats.org/officeDocument/2006/relationships/hyperlink" Target="https://www.myheritage.com/dna/match/D-F9099B9B-87A1-4274-827C-AF35BD245736-D-4DAB58BF-C6CE-47F0-9A46-769B30CC7825/691113321?p=1&amp;ps=10&amp;search=vijay&amp;sort=total_shared_segments_length_in_cm&amp;memberId=704364871" TargetMode="External"/><Relationship Id="rId99" Type="http://schemas.openxmlformats.org/officeDocument/2006/relationships/hyperlink" Target="https://dnapainter.com/tools/sharedcmv4/7?fbclid=IwAR3wqfKWVRq1DI_x4i7OjYx5ayGhdwQu5Tj-9K3u_CVvBxgEWwX7fHipJPs" TargetMode="External"/><Relationship Id="rId101" Type="http://schemas.openxmlformats.org/officeDocument/2006/relationships/hyperlink" Target="https://dnapainter.com/tools/sharedcmv4/7?fbclid=IwAR3wqfKWVRq1DI_x4i7OjYx5ayGhdwQu5Tj-9K3u_CVvBxgEWwX7fHipJPs" TargetMode="External"/><Relationship Id="rId122" Type="http://schemas.openxmlformats.org/officeDocument/2006/relationships/hyperlink" Target="https://www.ancestry.co.uk/family-tree/person/tree/163868056/person/342132992970/facts" TargetMode="External"/><Relationship Id="rId143" Type="http://schemas.openxmlformats.org/officeDocument/2006/relationships/hyperlink" Target="https://www.ancestry.co.uk/discoveryui-matches/compare/50a7c5ef-9e94-44be-a86a-5736956a97f2/with/f7e5395a-d5e3-47ad-ad3e-8c1adaa4a230" TargetMode="External"/><Relationship Id="rId4" Type="http://schemas.openxmlformats.org/officeDocument/2006/relationships/hyperlink" Target="https://www.ancestry.co.uk/family-tree/person/tree/163868056/person/342132992964/facts" TargetMode="External"/><Relationship Id="rId9" Type="http://schemas.openxmlformats.org/officeDocument/2006/relationships/hyperlink" Target="https://www.ancestry.co.uk/family-tree/person/tree/163868056/person/342132992964/facts" TargetMode="External"/><Relationship Id="rId26" Type="http://schemas.openxmlformats.org/officeDocument/2006/relationships/hyperlink" Target="https://www.ancestry.co.uk/family-tree/person/tree/163868056/person/342145742229/facts" TargetMode="External"/><Relationship Id="rId47" Type="http://schemas.openxmlformats.org/officeDocument/2006/relationships/hyperlink" Target="https://www.ancestry.co.uk/family-tree/person/tree/163868056/person/342144478153/facts" TargetMode="External"/><Relationship Id="rId68" Type="http://schemas.openxmlformats.org/officeDocument/2006/relationships/hyperlink" Target="https://www.ancestry.co.uk/family-tree/tree/163868056/family?cfpid=342373917046" TargetMode="External"/><Relationship Id="rId89" Type="http://schemas.openxmlformats.org/officeDocument/2006/relationships/hyperlink" Target="https://www.ancestry.co.uk/discoveryui-matches/compare/50A7C5EF-9E94-44BE-A86A-5736956A97F2/with/B1364104-03C4-48FE-AA72-D5CF925B1FFA" TargetMode="External"/><Relationship Id="rId112" Type="http://schemas.openxmlformats.org/officeDocument/2006/relationships/hyperlink" Target="https://dnapainter.com/tools/sharedcmv4/10?fbclid=IwAR3wqfKWVRq1DI_x4i7OjYx5ayGhdwQu5Tj-9K3u_CVvBxgEWwX7fHipJPs" TargetMode="External"/><Relationship Id="rId133" Type="http://schemas.openxmlformats.org/officeDocument/2006/relationships/hyperlink" Target="https://d.docs.live.net/D32613E9A4B09111/Documents/v" TargetMode="External"/><Relationship Id="rId16" Type="http://schemas.openxmlformats.org/officeDocument/2006/relationships/hyperlink" Target="https://www.ancestry.co.uk/family-tree/person/tree/163868056/person/342132992964/facts" TargetMode="External"/><Relationship Id="rId37" Type="http://schemas.openxmlformats.org/officeDocument/2006/relationships/hyperlink" Target="https://www.ancestry.co.uk/family-tree/person/tree/163868056/person/342145742230/facts" TargetMode="External"/><Relationship Id="rId58" Type="http://schemas.openxmlformats.org/officeDocument/2006/relationships/hyperlink" Target="https://www.ancestry.co.uk/family-tree/tree/163868056/family?cfpid=342373383509" TargetMode="External"/><Relationship Id="rId79" Type="http://schemas.openxmlformats.org/officeDocument/2006/relationships/hyperlink" Target="https://www.myheritage.com/dna/match/D-F9099B9B-87A1-4274-827C-AF35BD245736-D-005F8EE0-7707-43D8-AC20-1DDB9BEDC547/691113321?p=1&amp;ps=10&amp;search=judy%20langston&amp;sort=total_shared_segments_length_in_cm&amp;memberId=704364871" TargetMode="External"/><Relationship Id="rId102" Type="http://schemas.openxmlformats.org/officeDocument/2006/relationships/hyperlink" Target="https://dnapainter.com/tools/sharedcmv4/7?fbclid=IwAR3wqfKWVRq1DI_x4i7OjYx5ayGhdwQu5Tj-9K3u_CVvBxgEWwX7fHipJPs" TargetMode="External"/><Relationship Id="rId123" Type="http://schemas.openxmlformats.org/officeDocument/2006/relationships/hyperlink" Target="https://www.ancestry.co.uk/family-tree/person/tree/163868056/person/342144478153/facts" TargetMode="External"/><Relationship Id="rId144" Type="http://schemas.openxmlformats.org/officeDocument/2006/relationships/hyperlink" Target="https://dnapainter.com/tools/sharedcmv4/7?fbclid=IwAR3wqfKWVRq1DI_x4i7OjYx5ayGhdwQu5Tj-9K3u_CVvBxgEWwX7fHipJPs" TargetMode="External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ncestry.co.uk/family-tree/tree/163868056/family/pedigree?cfpid=342475238174" TargetMode="External"/><Relationship Id="rId13" Type="http://schemas.openxmlformats.org/officeDocument/2006/relationships/hyperlink" Target="https://www.ancestry.co.uk/family-tree/person/tree/163868056/person/342475189743/facts" TargetMode="External"/><Relationship Id="rId18" Type="http://schemas.openxmlformats.org/officeDocument/2006/relationships/hyperlink" Target="https://www.ancestry.co.uk/family-tree/person/tree/163868056/person/342475189742/facts" TargetMode="External"/><Relationship Id="rId3" Type="http://schemas.openxmlformats.org/officeDocument/2006/relationships/hyperlink" Target="https://www.ancestry.co.uk/family-tree/person/tree/163868056/person/342475189743/facts" TargetMode="External"/><Relationship Id="rId21" Type="http://schemas.openxmlformats.org/officeDocument/2006/relationships/hyperlink" Target="https://www.ancestry.co.uk/family-tree/tree/163868056/family/pedigree?cfpid=342593465021" TargetMode="External"/><Relationship Id="rId7" Type="http://schemas.openxmlformats.org/officeDocument/2006/relationships/hyperlink" Target="https://www.ancestry.co.uk/family-tree/person/tree/163868056/person/342475189743/facts" TargetMode="External"/><Relationship Id="rId12" Type="http://schemas.openxmlformats.org/officeDocument/2006/relationships/hyperlink" Target="https://www.ancestry.co.uk/family-tree/person/tree/163868056/person/342475189742/facts" TargetMode="External"/><Relationship Id="rId17" Type="http://schemas.openxmlformats.org/officeDocument/2006/relationships/hyperlink" Target="https://www.ancestry.co.uk/discoveryui-matches/compare/50a7c5ef-9e94-44be-a86a-5736956a97f2/with/79ef3b3c-e713-4602-9d89-965221ce1196" TargetMode="External"/><Relationship Id="rId2" Type="http://schemas.openxmlformats.org/officeDocument/2006/relationships/hyperlink" Target="https://www.ancestry.co.uk/family-tree/person/tree/163868056/person/342475189742/facts" TargetMode="External"/><Relationship Id="rId16" Type="http://schemas.openxmlformats.org/officeDocument/2006/relationships/hyperlink" Target="https://dnapainter.com/tools/sharedcmv4/8?fbclid=IwAR3wqfKWVRq1DI_x4i7OjYx5ayGhdwQu5Tj-9K3u_CVvBxgEWwX7fHipJPs" TargetMode="External"/><Relationship Id="rId20" Type="http://schemas.openxmlformats.org/officeDocument/2006/relationships/hyperlink" Target="https://dnapainter.com/tools/sharedcmv4/6?fbclid=IwAR3wqfKWVRq1DI_x4i7OjYx5ayGhdwQu5Tj-9K3u_CVvBxgEWwX7fHipJPs" TargetMode="External"/><Relationship Id="rId1" Type="http://schemas.openxmlformats.org/officeDocument/2006/relationships/hyperlink" Target="https://www.ancestry.co.uk/discoveryui-matches/compare/50a7c5ef-9e94-44be-a86a-5736956a97f2/with/56bba64b-1d68-4ff4-9462-3bb1b0b1dac2" TargetMode="External"/><Relationship Id="rId6" Type="http://schemas.openxmlformats.org/officeDocument/2006/relationships/hyperlink" Target="https://www.ancestry.co.uk/family-tree/person/tree/163868056/person/342475189742/facts" TargetMode="External"/><Relationship Id="rId11" Type="http://schemas.openxmlformats.org/officeDocument/2006/relationships/hyperlink" Target="https://www.ancestry.co.uk/discoveryui-matches/compare/50A7C5EF-9E94-44BE-A86A-5736956A97F2/with/90BB2995-B745-4313-87D5-042A42278227" TargetMode="External"/><Relationship Id="rId5" Type="http://schemas.openxmlformats.org/officeDocument/2006/relationships/hyperlink" Target="https://www.ancestry.co.uk/discoveryui-matches/compare/50a7c5ef-9e94-44be-a86a-5736956a97f2/with/9d11050f-3eb3-4921-a420-c6b6251a58c1" TargetMode="External"/><Relationship Id="rId15" Type="http://schemas.openxmlformats.org/officeDocument/2006/relationships/hyperlink" Target="https://www.ancestry.co.uk/family-tree/tree/163868056/family?cfpid=342482869277" TargetMode="External"/><Relationship Id="rId10" Type="http://schemas.openxmlformats.org/officeDocument/2006/relationships/hyperlink" Target="https://dnapainter.com/tools/sharedcmv4/7?fbclid=IwAR3wqfKWVRq1DI_x4i7OjYx5ayGhdwQu5Tj-9K3u_CVvBxgEWwX7fHipJPs" TargetMode="External"/><Relationship Id="rId19" Type="http://schemas.openxmlformats.org/officeDocument/2006/relationships/hyperlink" Target="https://www.ancestry.co.uk/family-tree/person/tree/163868056/person/342475189743/facts" TargetMode="External"/><Relationship Id="rId4" Type="http://schemas.openxmlformats.org/officeDocument/2006/relationships/hyperlink" Target="https://www.ancestry.co.uk/family-tree/tree/163868056/family/pedigree?cfpid=342475194025" TargetMode="External"/><Relationship Id="rId9" Type="http://schemas.openxmlformats.org/officeDocument/2006/relationships/hyperlink" Target="https://dnapainter.com/tools/sharedcmv4/7?fbclid=IwAR3wqfKWVRq1DI_x4i7OjYx5ayGhdwQu5Tj-9K3u_CVvBxgEWwX7fHipJPs" TargetMode="External"/><Relationship Id="rId14" Type="http://schemas.openxmlformats.org/officeDocument/2006/relationships/hyperlink" Target="https://dnapainter.com/tools/sharedcmv4/8?fbclid=IwAR3wqfKWVRq1DI_x4i7OjYx5ayGhdwQu5Tj-9K3u_CVvBxgEWwX7fHipJPs" TargetMode="External"/></Relationships>
</file>

<file path=xl/worksheets/_rels/sheet35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ncestry.co.uk/family-tree/person/tree/163868056/person/342173014461/facts" TargetMode="External"/><Relationship Id="rId21" Type="http://schemas.openxmlformats.org/officeDocument/2006/relationships/hyperlink" Target="https://www.ancestry.co.uk/family-tree/person/tree/163868056/person/342173014469/facts" TargetMode="External"/><Relationship Id="rId42" Type="http://schemas.openxmlformats.org/officeDocument/2006/relationships/hyperlink" Target="https://www.ancestry.co.uk/family-tree/tree/163868056/family?cfpid=342428093606" TargetMode="External"/><Relationship Id="rId47" Type="http://schemas.openxmlformats.org/officeDocument/2006/relationships/hyperlink" Target="https://www.ancestry.co.uk/family-tree/tree/163868056/family?cfpid=342273422623" TargetMode="External"/><Relationship Id="rId63" Type="http://schemas.openxmlformats.org/officeDocument/2006/relationships/hyperlink" Target="https://dnapainter.com/tools/sharedcmv4/13?fbclid=IwAR3wqfKWVRq1DI_x4i7OjYx5ayGhdwQu5Tj-9K3u_CVvBxgEWwX7fHipJPs" TargetMode="External"/><Relationship Id="rId68" Type="http://schemas.openxmlformats.org/officeDocument/2006/relationships/hyperlink" Target="https://dnapainter.com/tools/sharedcmv4/19?fbclid=IwAR3wqfKWVRq1DI_x4i7OjYx5ayGhdwQu5Tj-9K3u_CVvBxgEWwX7fHipJPs" TargetMode="External"/><Relationship Id="rId84" Type="http://schemas.openxmlformats.org/officeDocument/2006/relationships/hyperlink" Target="https://dnapainter.com/tools/sharedcmv4/11?fbclid=IwAR3wqfKWVRq1DI_x4i7OjYx5ayGhdwQu5Tj-9K3u_CVvBxgEWwX7fHipJPs" TargetMode="External"/><Relationship Id="rId89" Type="http://schemas.openxmlformats.org/officeDocument/2006/relationships/hyperlink" Target="https://www.ancestry.co.uk/family-tree/person/tree/163868056/person/342241177787/facts" TargetMode="External"/><Relationship Id="rId16" Type="http://schemas.openxmlformats.org/officeDocument/2006/relationships/hyperlink" Target="https://www.ancestry.co.uk/family-tree/person/tree/163868056/person/342173014469/facts" TargetMode="External"/><Relationship Id="rId11" Type="http://schemas.openxmlformats.org/officeDocument/2006/relationships/hyperlink" Target="https://www.ancestry.co.uk/family-tree/person/tree/163868056/person/342132992970/facts" TargetMode="External"/><Relationship Id="rId32" Type="http://schemas.openxmlformats.org/officeDocument/2006/relationships/hyperlink" Target="https://www.ancestry.co.uk/family-tree/person/tree/163868056/person/342173014461/facts" TargetMode="External"/><Relationship Id="rId37" Type="http://schemas.openxmlformats.org/officeDocument/2006/relationships/hyperlink" Target="https://www.ancestry.co.uk/family-tree/tree/163868056/family?cfpid=342174870904" TargetMode="External"/><Relationship Id="rId53" Type="http://schemas.openxmlformats.org/officeDocument/2006/relationships/hyperlink" Target="https://www.myheritage.com/dna/match/D-9E1FE62B-73EF-414E-8CC5-9A2285D9F64A-D-48E08F61-8410-419D-80F3-FE7DF57180E7/691113321?p=1&amp;ps=10&amp;search=dylan&amp;sort=total_shared_segments_length_in_cm&amp;siteId=691113321&amp;individualId=12000007" TargetMode="External"/><Relationship Id="rId58" Type="http://schemas.openxmlformats.org/officeDocument/2006/relationships/hyperlink" Target="https://dnapainter.com/tools/sharedcmv4/7?fbclid=IwAR3wqfKWVRq1DI_x4i7OjYx5ayGhdwQu5Tj-9K3u_CVvBxgEWwX7fHipJPs" TargetMode="External"/><Relationship Id="rId74" Type="http://schemas.openxmlformats.org/officeDocument/2006/relationships/hyperlink" Target="https://www.ancestry.co.uk/family-tree/person/tree/163868056/person/342173014469/facts" TargetMode="External"/><Relationship Id="rId79" Type="http://schemas.openxmlformats.org/officeDocument/2006/relationships/hyperlink" Target="https://www.ancestry.co.uk/discoveryui-matches/compare/8955cf51-8070-4a51-8674-b7f01b347aed/with/8bbde924-d0a3-42db-9293-bb8c7f7fd678" TargetMode="External"/><Relationship Id="rId5" Type="http://schemas.openxmlformats.org/officeDocument/2006/relationships/hyperlink" Target="https://www.ancestry.co.uk/family-tree/person/tree/163868056/person/342132992964/facts" TargetMode="External"/><Relationship Id="rId90" Type="http://schemas.openxmlformats.org/officeDocument/2006/relationships/hyperlink" Target="https://www.ancestry.co.uk/discoveryui-matches/compare/50a7c5ef-9e94-44be-a86a-5736956a97f2/with/e5dbfe7d-e333-4c2b-aa86-87817d31ee25" TargetMode="External"/><Relationship Id="rId95" Type="http://schemas.openxmlformats.org/officeDocument/2006/relationships/hyperlink" Target="https://www.ancestry.co.uk/discoveryui-matches/compare/8955cf51-8070-4a51-8674-b7f01b347aed/with/6993562f-f5a2-458f-9218-6785622a3e4f" TargetMode="External"/><Relationship Id="rId22" Type="http://schemas.openxmlformats.org/officeDocument/2006/relationships/hyperlink" Target="https://www.ancestry.co.uk/family-tree/person/tree/163868056/person/342173014469/facts" TargetMode="External"/><Relationship Id="rId27" Type="http://schemas.openxmlformats.org/officeDocument/2006/relationships/hyperlink" Target="https://www.ancestry.co.uk/family-tree/person/tree/163868056/person/342173014461/facts" TargetMode="External"/><Relationship Id="rId43" Type="http://schemas.openxmlformats.org/officeDocument/2006/relationships/hyperlink" Target="https://www.ancestry.co.uk/family-tree/tree/163868056/family?cfpid=342376753985" TargetMode="External"/><Relationship Id="rId48" Type="http://schemas.openxmlformats.org/officeDocument/2006/relationships/hyperlink" Target="https://www.ancestry.co.uk/family-tree/tree/163868056/family?cfpid=342412768723" TargetMode="External"/><Relationship Id="rId64" Type="http://schemas.openxmlformats.org/officeDocument/2006/relationships/hyperlink" Target="https://dnapainter.com/tools/sharedcmv4/13?fbclid=IwAR3wqfKWVRq1DI_x4i7OjYx5ayGhdwQu5Tj-9K3u_CVvBxgEWwX7fHipJPs" TargetMode="External"/><Relationship Id="rId69" Type="http://schemas.openxmlformats.org/officeDocument/2006/relationships/hyperlink" Target="https://dnapainter.com/tools/sharedcmv4/20?fbclid=IwAR3wqfKWVRq1DI_x4i7OjYx5ayGhdwQu5Tj-9K3u_CVvBxgEWwX7fHipJPs" TargetMode="External"/><Relationship Id="rId80" Type="http://schemas.openxmlformats.org/officeDocument/2006/relationships/hyperlink" Target="https://www.ancestry.co.uk/family-tree/person/tree/163868056/person/342132992970/facts" TargetMode="External"/><Relationship Id="rId85" Type="http://schemas.openxmlformats.org/officeDocument/2006/relationships/hyperlink" Target="https://www.ancestry.co.uk/family-tree/tree/163868056/family/pedigree?cfpid=342525607417" TargetMode="External"/><Relationship Id="rId3" Type="http://schemas.openxmlformats.org/officeDocument/2006/relationships/hyperlink" Target="https://www.ancestry.co.uk/family-tree/person/tree/163868056/person/342132992964/facts" TargetMode="External"/><Relationship Id="rId12" Type="http://schemas.openxmlformats.org/officeDocument/2006/relationships/hyperlink" Target="https://www.ancestry.co.uk/family-tree/person/tree/163868056/person/342132992970/facts" TargetMode="External"/><Relationship Id="rId17" Type="http://schemas.openxmlformats.org/officeDocument/2006/relationships/hyperlink" Target="https://www.ancestry.co.uk/family-tree/person/tree/163868056/person/342173014469/facts" TargetMode="External"/><Relationship Id="rId25" Type="http://schemas.openxmlformats.org/officeDocument/2006/relationships/hyperlink" Target="https://www.ancestry.co.uk/family-tree/person/tree/163868056/person/342173014461/facts" TargetMode="External"/><Relationship Id="rId33" Type="http://schemas.openxmlformats.org/officeDocument/2006/relationships/hyperlink" Target="https://www.ancestry.co.uk/family-tree/person/tree/163868056/person/342173014461/facts" TargetMode="External"/><Relationship Id="rId38" Type="http://schemas.openxmlformats.org/officeDocument/2006/relationships/hyperlink" Target="https://www.ancestry.co.uk/family-tree/tree/163868056/family?cfpid=342241029483" TargetMode="External"/><Relationship Id="rId46" Type="http://schemas.openxmlformats.org/officeDocument/2006/relationships/hyperlink" Target="https://www.ancestry.co.uk/family-tree/tree/163868056/family?cfpid=342426061119" TargetMode="External"/><Relationship Id="rId59" Type="http://schemas.openxmlformats.org/officeDocument/2006/relationships/hyperlink" Target="https://dnapainter.com/tools/sharedcmv4/10?fbclid=IwAR3wqfKWVRq1DI_x4i7OjYx5ayGhdwQu5Tj-9K3u_CVvBxgEWwX7fHipJPs" TargetMode="External"/><Relationship Id="rId67" Type="http://schemas.openxmlformats.org/officeDocument/2006/relationships/hyperlink" Target="https://dnapainter.com/tools/sharedcmv4/16?fbclid=IwAR3wqfKWVRq1DI_x4i7OjYx5ayGhdwQu5Tj-9K3u_CVvBxgEWwX7fHipJPs" TargetMode="External"/><Relationship Id="rId20" Type="http://schemas.openxmlformats.org/officeDocument/2006/relationships/hyperlink" Target="https://www.ancestry.co.uk/family-tree/person/tree/163868056/person/342173014469/facts" TargetMode="External"/><Relationship Id="rId41" Type="http://schemas.openxmlformats.org/officeDocument/2006/relationships/hyperlink" Target="https://www.ancestry.co.uk/family-tree/tree/163868056/family?cfpid=342363195949" TargetMode="External"/><Relationship Id="rId54" Type="http://schemas.openxmlformats.org/officeDocument/2006/relationships/hyperlink" Target="https://www.ancestry.co.uk/discoveryui-matches/compare/8955CF51-8070-4A51-8674-B7F01B347AED/with/691AEF47-2BA6-4E1E-9DAB-4B9C23A3FD46" TargetMode="External"/><Relationship Id="rId62" Type="http://schemas.openxmlformats.org/officeDocument/2006/relationships/hyperlink" Target="https://dnapainter.com/tools/sharedcmv4/11.4?fbclid=IwAR3wqfKWVRq1DI_x4i7OjYx5ayGhdwQu5Tj-9K3u_CVvBxgEWwX7fHipJPs" TargetMode="External"/><Relationship Id="rId70" Type="http://schemas.openxmlformats.org/officeDocument/2006/relationships/hyperlink" Target="https://dnapainter.com/tools/sharedcmv4/20?fbclid=IwAR3wqfKWVRq1DI_x4i7OjYx5ayGhdwQu5Tj-9K3u_CVvBxgEWwX7fHipJPs" TargetMode="External"/><Relationship Id="rId75" Type="http://schemas.openxmlformats.org/officeDocument/2006/relationships/hyperlink" Target="https://www.ancestry.co.uk/family-tree/person/tree/163868056/person/342173014461/facts" TargetMode="External"/><Relationship Id="rId83" Type="http://schemas.openxmlformats.org/officeDocument/2006/relationships/hyperlink" Target="https://www.ancestry.co.uk/discoveryui-matches/compare/8955cf51-8070-4a51-8674-b7f01b347aed/with/8b70342a-8c92-471e-9756-22d346415db0" TargetMode="External"/><Relationship Id="rId88" Type="http://schemas.openxmlformats.org/officeDocument/2006/relationships/hyperlink" Target="https://www.ancestry.co.uk/family-tree/person/tree/163868056/person/342241177786/facts" TargetMode="External"/><Relationship Id="rId91" Type="http://schemas.openxmlformats.org/officeDocument/2006/relationships/hyperlink" Target="https://www.ancestry.co.uk/family-tree/person/tree/163868056/person/342132992964/facts" TargetMode="External"/><Relationship Id="rId96" Type="http://schemas.openxmlformats.org/officeDocument/2006/relationships/hyperlink" Target="https://dnapainter.com/tools/sharedcmv4/11?fbclid=IwAR3wqfKWVRq1DI_x4i7OjYx5ayGhdwQu5Tj-9K3u_CVvBxgEWwX7fHipJPs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www.ancestry.co.uk/family-tree/person/tree/163868056/person/342132992964/facts" TargetMode="External"/><Relationship Id="rId15" Type="http://schemas.openxmlformats.org/officeDocument/2006/relationships/hyperlink" Target="https://www.ancestry.co.uk/family-tree/person/tree/163868056/person/342173014469/facts" TargetMode="External"/><Relationship Id="rId23" Type="http://schemas.openxmlformats.org/officeDocument/2006/relationships/hyperlink" Target="https://www.ancestry.co.uk/family-tree/person/tree/163868056/person/342173014469/facts" TargetMode="External"/><Relationship Id="rId28" Type="http://schemas.openxmlformats.org/officeDocument/2006/relationships/hyperlink" Target="https://www.ancestry.co.uk/family-tree/person/tree/163868056/person/342173014461/facts" TargetMode="External"/><Relationship Id="rId36" Type="http://schemas.openxmlformats.org/officeDocument/2006/relationships/hyperlink" Target="https://www.ancestry.co.uk/family-tree/person/tree/163868056/person/342241177787/facts" TargetMode="External"/><Relationship Id="rId49" Type="http://schemas.openxmlformats.org/officeDocument/2006/relationships/hyperlink" Target="https://www.ancestry.co.uk/family-tree/tree/163868056/family?cfpid=342268600537" TargetMode="External"/><Relationship Id="rId57" Type="http://schemas.openxmlformats.org/officeDocument/2006/relationships/hyperlink" Target="https://www.ancestry.co.uk/discoveryui-matches/compare/8955CF51-8070-4A51-8674-B7F01B347AED/with/114A850F-4DC9-42D0-B6C3-3985D6A4C092" TargetMode="External"/><Relationship Id="rId10" Type="http://schemas.openxmlformats.org/officeDocument/2006/relationships/hyperlink" Target="https://www.ancestry.co.uk/family-tree/person/tree/163868056/person/342132992970/facts" TargetMode="External"/><Relationship Id="rId31" Type="http://schemas.openxmlformats.org/officeDocument/2006/relationships/hyperlink" Target="https://www.ancestry.co.uk/family-tree/person/tree/163868056/person/342173014461/facts" TargetMode="External"/><Relationship Id="rId44" Type="http://schemas.openxmlformats.org/officeDocument/2006/relationships/hyperlink" Target="https://www.ancestry.co.uk/family-tree/tree/163868056/family?cfpid=342412770534" TargetMode="External"/><Relationship Id="rId52" Type="http://schemas.openxmlformats.org/officeDocument/2006/relationships/hyperlink" Target="https://www.ancestry.co.uk/discoveryui-matches/compare/50A7C5EF-9E94-44BE-A86A-5736956A97F2/with/E91A4074-F3C2-426C-AD41-4A9DC6C50CB6" TargetMode="External"/><Relationship Id="rId60" Type="http://schemas.openxmlformats.org/officeDocument/2006/relationships/hyperlink" Target="https://dnapainter.com/tools/sharedcmv4/10?fbclid=IwAR3wqfKWVRq1DI_x4i7OjYx5ayGhdwQu5Tj-9K3u_CVvBxgEWwX7fHipJPs" TargetMode="External"/><Relationship Id="rId65" Type="http://schemas.openxmlformats.org/officeDocument/2006/relationships/hyperlink" Target="https://dnapainter.com/tools/sharedcmv4/16?fbclid=IwAR3wqfKWVRq1DI_x4i7OjYx5ayGhdwQu5Tj-9K3u_CVvBxgEWwX7fHipJPs" TargetMode="External"/><Relationship Id="rId73" Type="http://schemas.openxmlformats.org/officeDocument/2006/relationships/hyperlink" Target="https://www.ancestry.co.uk/family-tree/person/tree/163868056/person/342132992964/facts" TargetMode="External"/><Relationship Id="rId78" Type="http://schemas.openxmlformats.org/officeDocument/2006/relationships/hyperlink" Target="https://www.ancestry.co.uk/family-tree/tree/163868056/family/pedigree?cfpid=342270629651" TargetMode="External"/><Relationship Id="rId81" Type="http://schemas.openxmlformats.org/officeDocument/2006/relationships/hyperlink" Target="https://www.ancestry.co.uk/family-tree/person/tree/163868056/person/342173014469/facts" TargetMode="External"/><Relationship Id="rId86" Type="http://schemas.openxmlformats.org/officeDocument/2006/relationships/hyperlink" Target="https://www.ancestry.co.uk/family-tree/tree/163868056/family?cfpid=342571594693" TargetMode="External"/><Relationship Id="rId94" Type="http://schemas.openxmlformats.org/officeDocument/2006/relationships/hyperlink" Target="https://www.ancestry.co.uk/family-tree/person/tree/163868056/person/342173014461/facts" TargetMode="External"/><Relationship Id="rId4" Type="http://schemas.openxmlformats.org/officeDocument/2006/relationships/hyperlink" Target="https://www.ancestry.co.uk/family-tree/person/tree/163868056/person/342132992964/facts" TargetMode="External"/><Relationship Id="rId9" Type="http://schemas.openxmlformats.org/officeDocument/2006/relationships/hyperlink" Target="https://www.ancestry.co.uk/family-tree/person/tree/163868056/person/342132992970/facts" TargetMode="External"/><Relationship Id="rId13" Type="http://schemas.openxmlformats.org/officeDocument/2006/relationships/hyperlink" Target="https://www.ancestry.co.uk/family-tree/person/tree/163868056/person/342173014469/facts" TargetMode="External"/><Relationship Id="rId18" Type="http://schemas.openxmlformats.org/officeDocument/2006/relationships/hyperlink" Target="https://www.ancestry.co.uk/family-tree/person/tree/163868056/person/342173014469/facts" TargetMode="External"/><Relationship Id="rId39" Type="http://schemas.openxmlformats.org/officeDocument/2006/relationships/hyperlink" Target="https://www.myheritage.com/dna/match/D-F9099B9B-87A1-4274-827C-AF35BD245736-D-33A67AE5-2EE1-4BDB-A0A7-76DC7C079A83/691113321?p=1&amp;ps=10&amp;search=jennifer%20smith&amp;sort=total_shared_segments_length_in_cm&amp;memberId=704364871" TargetMode="External"/><Relationship Id="rId34" Type="http://schemas.openxmlformats.org/officeDocument/2006/relationships/hyperlink" Target="https://www.ancestry.co.uk/family-tree/person/tree/163868056/person/342173014461/facts" TargetMode="External"/><Relationship Id="rId50" Type="http://schemas.openxmlformats.org/officeDocument/2006/relationships/hyperlink" Target="https://www.ancestry.co.uk/family-tree/tree/163868056/family?cfpid=342310180239" TargetMode="External"/><Relationship Id="rId55" Type="http://schemas.openxmlformats.org/officeDocument/2006/relationships/hyperlink" Target="https://www.myheritage.com/dna/match/D-F9099B9B-87A1-4274-827C-AF35BD245736-D-F9B8DDFE-8A31-43D8-A5CD-8C6C37328CE8/691113321?p=1&amp;ps=10&amp;search=heather%20fereday&amp;sort=total_shared_segments_length_in_cm&amp;memberId=704364871" TargetMode="External"/><Relationship Id="rId76" Type="http://schemas.openxmlformats.org/officeDocument/2006/relationships/hyperlink" Target="https://dnapainter.com/tools/sharedcmv4/19?fbclid=IwAR3wqfKWVRq1DI_x4i7OjYx5ayGhdwQu5Tj-9K3u_CVvBxgEWwX7fHipJPs" TargetMode="External"/><Relationship Id="rId97" Type="http://schemas.openxmlformats.org/officeDocument/2006/relationships/hyperlink" Target="https://www.ancestry.co.uk/family-tree/tree/163868056/family/pedigree?cfpid=342310180219" TargetMode="External"/><Relationship Id="rId7" Type="http://schemas.openxmlformats.org/officeDocument/2006/relationships/hyperlink" Target="https://www.ancestry.co.uk/family-tree/person/tree/163868056/person/342132992964/facts" TargetMode="External"/><Relationship Id="rId71" Type="http://schemas.openxmlformats.org/officeDocument/2006/relationships/hyperlink" Target="https://dnapainter.com/tools/sharedcmv4/12?fbclid=IwAR3wqfKWVRq1DI_x4i7OjYx5ayGhdwQu5Tj-9K3u_CVvBxgEWwX7fHipJPs" TargetMode="External"/><Relationship Id="rId92" Type="http://schemas.openxmlformats.org/officeDocument/2006/relationships/hyperlink" Target="https://www.ancestry.co.uk/family-tree/person/tree/163868056/person/342132992970/facts" TargetMode="External"/><Relationship Id="rId2" Type="http://schemas.openxmlformats.org/officeDocument/2006/relationships/hyperlink" Target="https://www.ancestry.co.uk/family-tree/person/tree/163868056/person/342132992964/facts" TargetMode="External"/><Relationship Id="rId29" Type="http://schemas.openxmlformats.org/officeDocument/2006/relationships/hyperlink" Target="https://www.ancestry.co.uk/family-tree/person/tree/163868056/person/342173014461/facts" TargetMode="External"/><Relationship Id="rId24" Type="http://schemas.openxmlformats.org/officeDocument/2006/relationships/hyperlink" Target="https://www.ancestry.co.uk/family-tree/person/tree/163868056/person/342173014461/facts" TargetMode="External"/><Relationship Id="rId40" Type="http://schemas.openxmlformats.org/officeDocument/2006/relationships/hyperlink" Target="https://you.23andme.com/profile/1e8aa06802f4b89f/" TargetMode="External"/><Relationship Id="rId45" Type="http://schemas.openxmlformats.org/officeDocument/2006/relationships/hyperlink" Target="https://www.ancestry.co.uk/family-tree/tree/163868056/family?cfpid=342174919080" TargetMode="External"/><Relationship Id="rId66" Type="http://schemas.openxmlformats.org/officeDocument/2006/relationships/hyperlink" Target="https://dnapainter.com/tools/sharedcmv4/16?fbclid=IwAR3wqfKWVRq1DI_x4i7OjYx5ayGhdwQu5Tj-9K3u_CVvBxgEWwX7fHipJPs" TargetMode="External"/><Relationship Id="rId87" Type="http://schemas.openxmlformats.org/officeDocument/2006/relationships/hyperlink" Target="https://dnapainter.com/tools/sharedcmv4/20?fbclid=IwAR3wqfKWVRq1DI_x4i7OjYx5ayGhdwQu5Tj-9K3u_CVvBxgEWwX7fHipJPs" TargetMode="External"/><Relationship Id="rId61" Type="http://schemas.openxmlformats.org/officeDocument/2006/relationships/hyperlink" Target="https://dnapainter.com/tools/sharedcmv4/8.4?fbclid=IwAR3wqfKWVRq1DI_x4i7OjYx5ayGhdwQu5Tj-9K3u_CVvBxgEWwX7fHipJPs" TargetMode="External"/><Relationship Id="rId82" Type="http://schemas.openxmlformats.org/officeDocument/2006/relationships/hyperlink" Target="https://www.ancestry.co.uk/family-tree/person/tree/163868056/person/342173014461/facts" TargetMode="External"/><Relationship Id="rId19" Type="http://schemas.openxmlformats.org/officeDocument/2006/relationships/hyperlink" Target="https://www.ancestry.co.uk/family-tree/person/tree/163868056/person/342173014469/facts" TargetMode="External"/><Relationship Id="rId14" Type="http://schemas.openxmlformats.org/officeDocument/2006/relationships/hyperlink" Target="https://www.ancestry.co.uk/family-tree/person/tree/163868056/person/342173014469/facts" TargetMode="External"/><Relationship Id="rId30" Type="http://schemas.openxmlformats.org/officeDocument/2006/relationships/hyperlink" Target="https://www.ancestry.co.uk/family-tree/person/tree/163868056/person/342173014461/facts" TargetMode="External"/><Relationship Id="rId35" Type="http://schemas.openxmlformats.org/officeDocument/2006/relationships/hyperlink" Target="https://www.ancestry.co.uk/family-tree/person/tree/163868056/person/342241177786/facts" TargetMode="External"/><Relationship Id="rId56" Type="http://schemas.openxmlformats.org/officeDocument/2006/relationships/hyperlink" Target="https://www.ancestry.co.uk/discoveryui-matches/compare/8955CF51-8070-4A51-8674-B7F01B347AED/with/344835D5-279B-43BB-83FD-D475919758C5" TargetMode="External"/><Relationship Id="rId77" Type="http://schemas.openxmlformats.org/officeDocument/2006/relationships/hyperlink" Target="https://dnapainter.com/tools/sharedcmv4/44?fbclid=IwAR3wqfKWVRq1DI_x4i7OjYx5ayGhdwQu5Tj-9K3u_CVvBxgEWwX7fHipJPs" TargetMode="External"/><Relationship Id="rId8" Type="http://schemas.openxmlformats.org/officeDocument/2006/relationships/hyperlink" Target="https://www.ancestry.co.uk/family-tree/person/tree/163868056/person/342132992970/facts" TargetMode="External"/><Relationship Id="rId51" Type="http://schemas.openxmlformats.org/officeDocument/2006/relationships/hyperlink" Target="https://www.ancestry.co.uk/discoveryui-matches/compare/8955CF51-8070-4A51-8674-B7F01B347AED/with/4D63C1B1-AC0A-4F5C-A06A-BD0FDE28686D" TargetMode="External"/><Relationship Id="rId72" Type="http://schemas.openxmlformats.org/officeDocument/2006/relationships/hyperlink" Target="https://dnapainter.com/tools/sharedcmv4/43?fbclid=IwAR3wqfKWVRq1DI_x4i7OjYx5ayGhdwQu5Tj-9K3u_CVvBxgEWwX7fHipJPs" TargetMode="External"/><Relationship Id="rId93" Type="http://schemas.openxmlformats.org/officeDocument/2006/relationships/hyperlink" Target="https://www.ancestry.co.uk/family-tree/person/tree/163868056/person/342173014469/facts" TargetMode="External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ncestry.co.uk/family-tree/tree/163868056/family?cfpid=342305638559" TargetMode="External"/><Relationship Id="rId13" Type="http://schemas.openxmlformats.org/officeDocument/2006/relationships/hyperlink" Target="https://d.docs.live.net/D32613E9A4B09111/Documents/v" TargetMode="External"/><Relationship Id="rId3" Type="http://schemas.openxmlformats.org/officeDocument/2006/relationships/hyperlink" Target="https://www.ancestry.co.uk/family-tree/person/tree/163868056/person/342175143852/facts" TargetMode="External"/><Relationship Id="rId7" Type="http://schemas.openxmlformats.org/officeDocument/2006/relationships/hyperlink" Target="https://www.ancestry.co.uk/family-tree/tree/163868056/family?cfpid=342305637481" TargetMode="External"/><Relationship Id="rId12" Type="http://schemas.openxmlformats.org/officeDocument/2006/relationships/hyperlink" Target="https://dnapainter.com/tools/sharedcmv4/7?fbclid=IwAR3wqfKWVRq1DI_x4i7OjYx5ayGhdwQu5Tj-9K3u_CVvBxgEWwX7fHipJPs" TargetMode="External"/><Relationship Id="rId2" Type="http://schemas.openxmlformats.org/officeDocument/2006/relationships/hyperlink" Target="https://www.ancestry.co.uk/family-tree/person/tree/163868056/person/342132992964/facts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www.ancestry.co.uk/family-tree/person/tree/163868056/person/342175108992/facts" TargetMode="External"/><Relationship Id="rId11" Type="http://schemas.openxmlformats.org/officeDocument/2006/relationships/hyperlink" Target="https://dnapainter.com/tools/sharedcmv4/6?fbclid=IwAR3wqfKWVRq1DI_x4i7OjYx5ayGhdwQu5Tj-9K3u_CVvBxgEWwX7fHipJPs" TargetMode="External"/><Relationship Id="rId5" Type="http://schemas.openxmlformats.org/officeDocument/2006/relationships/hyperlink" Target="https://www.ancestry.co.uk/family-tree/person/tree/163868056/person/342175108999/facts" TargetMode="External"/><Relationship Id="rId10" Type="http://schemas.openxmlformats.org/officeDocument/2006/relationships/hyperlink" Target="https://www.ancestry.co.uk/discoveryui-matches/compare/50a7c5ef-9e94-44be-a86a-5736956a97f2/with/f99add22-c403-4e96-8560-8c0d7f930bb9/sharedmatches" TargetMode="External"/><Relationship Id="rId4" Type="http://schemas.openxmlformats.org/officeDocument/2006/relationships/hyperlink" Target="https://www.ancestry.co.uk/family-tree/person/tree/163868056/person/342175143843/facts" TargetMode="External"/><Relationship Id="rId9" Type="http://schemas.openxmlformats.org/officeDocument/2006/relationships/hyperlink" Target="https://www.ancestry.co.uk/discoveryui-matches/compare/50A7C5EF-9E94-44BE-A86A-5736956A97F2/with/71A2826D-6D3F-4D30-820C-3101F526A5D7" TargetMode="External"/><Relationship Id="rId14" Type="http://schemas.openxmlformats.org/officeDocument/2006/relationships/printerSettings" Target="../printerSettings/printerSettings9.bin"/></Relationships>
</file>

<file path=xl/worksheets/_rels/sheet3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ncestry.co.uk/family-tree/person/tree/163868056/person/342144499005/facts" TargetMode="External"/><Relationship Id="rId18" Type="http://schemas.openxmlformats.org/officeDocument/2006/relationships/hyperlink" Target="https://www.ancestry.co.uk/family-tree/person/tree/163868056/person/342144499006/facts" TargetMode="External"/><Relationship Id="rId26" Type="http://schemas.openxmlformats.org/officeDocument/2006/relationships/hyperlink" Target="https://www.ancestry.co.uk/discoveryui-matches/compare/50A7C5EF-9E94-44BE-A86A-5736956A97F2/with/2D9F8290-7A61-4C00-9157-D0A682B61122" TargetMode="External"/><Relationship Id="rId39" Type="http://schemas.openxmlformats.org/officeDocument/2006/relationships/hyperlink" Target="https://www.ancestry.co.uk/family-tree/person/tree/163868056/person/342142174978/facts" TargetMode="External"/><Relationship Id="rId21" Type="http://schemas.openxmlformats.org/officeDocument/2006/relationships/hyperlink" Target="https://www.ancestry.co.uk/family-tree/tree/163868056/family?cfpid=342155166069" TargetMode="External"/><Relationship Id="rId34" Type="http://schemas.openxmlformats.org/officeDocument/2006/relationships/hyperlink" Target="https://dnapainter.com/tools/sharedcmv4/10.5?fbclid=IwAR3wqfKWVRq1DI_x4i7OjYx5ayGhdwQu5Tj-9K3u_CVvBxgEWwX7fHipJPs" TargetMode="External"/><Relationship Id="rId42" Type="http://schemas.openxmlformats.org/officeDocument/2006/relationships/hyperlink" Target="https://dnapainter.com/tools/sharedcmv4/9?fbclid=IwAR3wqfKWVRq1DI_x4i7OjYx5ayGhdwQu5Tj-9K3u_CVvBxgEWwX7fHipJPs" TargetMode="External"/><Relationship Id="rId7" Type="http://schemas.openxmlformats.org/officeDocument/2006/relationships/hyperlink" Target="https://www.ancestry.co.uk/family-tree/person/tree/163868056/person/342142046928/facts" TargetMode="External"/><Relationship Id="rId2" Type="http://schemas.openxmlformats.org/officeDocument/2006/relationships/hyperlink" Target="https://www.ancestry.co.uk/family-tree/person/tree/163868056/person/342132992964/facts" TargetMode="External"/><Relationship Id="rId16" Type="http://schemas.openxmlformats.org/officeDocument/2006/relationships/hyperlink" Target="https://www.ancestry.co.uk/family-tree/person/tree/163868056/person/342142046929/facts" TargetMode="External"/><Relationship Id="rId20" Type="http://schemas.openxmlformats.org/officeDocument/2006/relationships/hyperlink" Target="https://www.ancestry.co.uk/family-tree/tree/163868056/family?cfpid=342353900405" TargetMode="External"/><Relationship Id="rId29" Type="http://schemas.openxmlformats.org/officeDocument/2006/relationships/hyperlink" Target="https://www.myheritage.com/dna/match/D-F9099B9B-87A1-4274-827C-AF35BD245736-D-EB424242-ABA7-4D04-84EA-65BFB8F74906/691113321?p=1&amp;ps=10&amp;search=nankivel&amp;sort=total_shared_segments_length_in_cm&amp;memberId=704364871" TargetMode="External"/><Relationship Id="rId41" Type="http://schemas.openxmlformats.org/officeDocument/2006/relationships/hyperlink" Target="https://www.ancestry.co.uk/discoveryui-matches/compare/7F8D61F6-1FA4-47C1-9A03-3889CC97CC0C/with/88FF5A06-C3B9-4D75-B1C0-1B6767D7B6D8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www.ancestry.co.uk/family-tree/person/tree/163868056/person/342132992964/facts" TargetMode="External"/><Relationship Id="rId11" Type="http://schemas.openxmlformats.org/officeDocument/2006/relationships/hyperlink" Target="https://www.ancestry.co.uk/family-tree/person/tree/163868056/person/342142046929/facts" TargetMode="External"/><Relationship Id="rId24" Type="http://schemas.openxmlformats.org/officeDocument/2006/relationships/hyperlink" Target="https://www.ancestry.co.uk/family-tree/tree/163868056/family?cfpid=342155558420" TargetMode="External"/><Relationship Id="rId32" Type="http://schemas.openxmlformats.org/officeDocument/2006/relationships/hyperlink" Target="https://dnapainter.com/tools/sharedcmv4/7?fbclid=IwAR3wqfKWVRq1DI_x4i7OjYx5ayGhdwQu5Tj-9K3u_CVvBxgEWwX7fHipJPs" TargetMode="External"/><Relationship Id="rId37" Type="http://schemas.openxmlformats.org/officeDocument/2006/relationships/hyperlink" Target="https://www.ancestry.co.uk/family-tree/person/tree/163868056/person/342132993681/facts" TargetMode="External"/><Relationship Id="rId40" Type="http://schemas.openxmlformats.org/officeDocument/2006/relationships/hyperlink" Target="https://www.ancestry.co.uk/family-tree/tree/163868056/family?cfpid=342434627321" TargetMode="External"/><Relationship Id="rId5" Type="http://schemas.openxmlformats.org/officeDocument/2006/relationships/hyperlink" Target="https://www.ancestry.co.uk/family-tree/person/tree/163868056/person/342132992964/facts" TargetMode="External"/><Relationship Id="rId15" Type="http://schemas.openxmlformats.org/officeDocument/2006/relationships/hyperlink" Target="https://www.ancestry.co.uk/family-tree/person/tree/163868056/person/342144499005/facts" TargetMode="External"/><Relationship Id="rId23" Type="http://schemas.openxmlformats.org/officeDocument/2006/relationships/hyperlink" Target="https://www.ancestry.co.uk/family-tree/tree/163868056/family?cfpid=342235177270" TargetMode="External"/><Relationship Id="rId28" Type="http://schemas.openxmlformats.org/officeDocument/2006/relationships/hyperlink" Target="https://www.ancestry.co.uk/discoveryui-matches/compare/50A7C5EF-9E94-44BE-A86A-5736956A97F2/with/B857DF1E-B647-4A1E-90D3-9D32A2FC8111" TargetMode="External"/><Relationship Id="rId36" Type="http://schemas.openxmlformats.org/officeDocument/2006/relationships/hyperlink" Target="https://dnapainter.com/tools/sharedcmv4/12?fbclid=IwAR3wqfKWVRq1DI_x4i7OjYx5ayGhdwQu5Tj-9K3u_CVvBxgEWwX7fHipJPs" TargetMode="External"/><Relationship Id="rId10" Type="http://schemas.openxmlformats.org/officeDocument/2006/relationships/hyperlink" Target="https://www.ancestry.co.uk/family-tree/person/tree/163868056/person/342142046929/facts" TargetMode="External"/><Relationship Id="rId19" Type="http://schemas.openxmlformats.org/officeDocument/2006/relationships/hyperlink" Target="https://www.ancestry.co.uk/family-tree/person/tree/163868056/person/342144499006/facts" TargetMode="External"/><Relationship Id="rId31" Type="http://schemas.openxmlformats.org/officeDocument/2006/relationships/hyperlink" Target="https://dnapainter.com/tools/sharedcmv4/7?fbclid=IwAR3wqfKWVRq1DI_x4i7OjYx5ayGhdwQu5Tj-9K3u_CVvBxgEWwX7fHipJPs" TargetMode="External"/><Relationship Id="rId4" Type="http://schemas.openxmlformats.org/officeDocument/2006/relationships/hyperlink" Target="https://www.ancestry.co.uk/family-tree/person/tree/163868056/person/342132992964/facts" TargetMode="External"/><Relationship Id="rId9" Type="http://schemas.openxmlformats.org/officeDocument/2006/relationships/hyperlink" Target="https://www.ancestry.co.uk/family-tree/person/tree/163868056/person/342142046928/facts" TargetMode="External"/><Relationship Id="rId14" Type="http://schemas.openxmlformats.org/officeDocument/2006/relationships/hyperlink" Target="https://www.ancestry.co.uk/family-tree/person/tree/163868056/person/342144499005/facts" TargetMode="External"/><Relationship Id="rId22" Type="http://schemas.openxmlformats.org/officeDocument/2006/relationships/hyperlink" Target="https://www.ancestry.co.uk/family-tree/tree/163868056/family?cfpid=342192490638" TargetMode="External"/><Relationship Id="rId27" Type="http://schemas.openxmlformats.org/officeDocument/2006/relationships/hyperlink" Target="https://www.ancestry.co.uk/discoveryui-matches/compare/50A7C5EF-9E94-44BE-A86A-5736956A97F2/with/B4163377-7CDC-485E-A76E-6DBAFE62E675" TargetMode="External"/><Relationship Id="rId30" Type="http://schemas.openxmlformats.org/officeDocument/2006/relationships/hyperlink" Target="https://dnapainter.com/tools/sharedcmv4/9?fbclid=IwAR3wqfKWVRq1DI_x4i7OjYx5ayGhdwQu5Tj-9K3u_CVvBxgEWwX7fHipJPs" TargetMode="External"/><Relationship Id="rId35" Type="http://schemas.openxmlformats.org/officeDocument/2006/relationships/hyperlink" Target="https://dnapainter.com/tools/sharedcmv4/10?fbclid=IwAR3wqfKWVRq1DI_x4i7OjYx5ayGhdwQu5Tj-9K3u_CVvBxgEWwX7fHipJPs" TargetMode="External"/><Relationship Id="rId8" Type="http://schemas.openxmlformats.org/officeDocument/2006/relationships/hyperlink" Target="https://www.ancestry.co.uk/family-tree/person/tree/163868056/person/342142046928/facts" TargetMode="External"/><Relationship Id="rId3" Type="http://schemas.openxmlformats.org/officeDocument/2006/relationships/hyperlink" Target="https://www.ancestry.co.uk/family-tree/person/tree/163868056/person/342132992964/facts" TargetMode="External"/><Relationship Id="rId12" Type="http://schemas.openxmlformats.org/officeDocument/2006/relationships/hyperlink" Target="https://www.ancestry.co.uk/family-tree/person/tree/163868056/person/342142174982/facts" TargetMode="External"/><Relationship Id="rId17" Type="http://schemas.openxmlformats.org/officeDocument/2006/relationships/hyperlink" Target="https://www.ancestry.co.uk/family-tree/person/tree/163868056/person/342144499006/facts" TargetMode="External"/><Relationship Id="rId25" Type="http://schemas.openxmlformats.org/officeDocument/2006/relationships/hyperlink" Target="https://www.ancestry.co.uk/family-tree/tree/163868056/family?cfpid=342172597292" TargetMode="External"/><Relationship Id="rId33" Type="http://schemas.openxmlformats.org/officeDocument/2006/relationships/hyperlink" Target="https://dnapainter.com/tools/sharedcmv4/8?fbclid=IwAR3wqfKWVRq1DI_x4i7OjYx5ayGhdwQu5Tj-9K3u_CVvBxgEWwX7fHipJPs" TargetMode="External"/><Relationship Id="rId38" Type="http://schemas.openxmlformats.org/officeDocument/2006/relationships/hyperlink" Target="https://www.ancestry.co.uk/family-tree/person/tree/163868056/person/342142046928/facts" TargetMode="External"/></Relationships>
</file>

<file path=xl/worksheets/_rels/sheet38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ncestry.co.uk/family-tree/person/tree/163868056/person/342238663642/facts" TargetMode="External"/><Relationship Id="rId18" Type="http://schemas.openxmlformats.org/officeDocument/2006/relationships/hyperlink" Target="https://www.ancestry.co.uk/family-tree/person/tree/163868056/person/342238663669/facts" TargetMode="External"/><Relationship Id="rId26" Type="http://schemas.openxmlformats.org/officeDocument/2006/relationships/hyperlink" Target="https://www.ancestry.co.uk/family-tree/tree/163868056/family?cfpid=342238860578" TargetMode="External"/><Relationship Id="rId39" Type="http://schemas.openxmlformats.org/officeDocument/2006/relationships/hyperlink" Target="https://dnapainter.com/tools/sharedcmv4/9?fbclid=IwAR3wqfKWVRq1DI_x4i7OjYx5ayGhdwQu5Tj-9K3u_CVvBxgEWwX7fHipJPs" TargetMode="External"/><Relationship Id="rId21" Type="http://schemas.openxmlformats.org/officeDocument/2006/relationships/hyperlink" Target="https://www.ancestry.co.uk/family-tree/person/tree/163868056/person/342238663669/facts" TargetMode="External"/><Relationship Id="rId34" Type="http://schemas.openxmlformats.org/officeDocument/2006/relationships/hyperlink" Target="https://dnapainter.com/tools/sharedcmv4/12?fbclid=IwAR3wqfKWVRq1DI_x4i7OjYx5ayGhdwQu5Tj-9K3u_CVvBxgEWwX7fHipJPs" TargetMode="External"/><Relationship Id="rId42" Type="http://schemas.openxmlformats.org/officeDocument/2006/relationships/hyperlink" Target="https://www.ancestry.co.uk/family-tree/person/tree/163868056/person/342132992964/facts" TargetMode="External"/><Relationship Id="rId47" Type="http://schemas.openxmlformats.org/officeDocument/2006/relationships/hyperlink" Target="https://www.ancestry.co.uk/family-tree/tree/163868056/family/pedigree?cfpid=342592982768" TargetMode="External"/><Relationship Id="rId7" Type="http://schemas.openxmlformats.org/officeDocument/2006/relationships/hyperlink" Target="https://www.ancestry.co.uk/family-tree/tree/163868056/family/pedigree?cfpid=342475365260" TargetMode="External"/><Relationship Id="rId2" Type="http://schemas.openxmlformats.org/officeDocument/2006/relationships/hyperlink" Target="https://www.ancestry.co.uk/family-tree/person/tree/163868056/person/342132992964/facts" TargetMode="External"/><Relationship Id="rId16" Type="http://schemas.openxmlformats.org/officeDocument/2006/relationships/hyperlink" Target="https://www.ancestry.co.uk/family-tree/person/tree/163868056/person/342238663669/facts" TargetMode="External"/><Relationship Id="rId29" Type="http://schemas.openxmlformats.org/officeDocument/2006/relationships/hyperlink" Target="https://www.ancestry.co.uk/family-tree/tree/163868056/family?cfpid=342261335797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www.ancestry.co.uk/family-tree/person/tree/163868056/person/342132992964/facts" TargetMode="External"/><Relationship Id="rId11" Type="http://schemas.openxmlformats.org/officeDocument/2006/relationships/hyperlink" Target="https://www.ancestry.co.uk/family-tree/person/tree/163868056/person/342238663642/facts" TargetMode="External"/><Relationship Id="rId24" Type="http://schemas.openxmlformats.org/officeDocument/2006/relationships/hyperlink" Target="https://www.myheritage.com/dna/match/D-F9099B9B-87A1-4274-827C-AF35BD245736-D-598E6738-75A6-4FAF-9992-2516F1B34CF2/691113321?p=1&amp;ps=10&amp;search=barbara&amp;sort=total_shared_segments_length_in_cm&amp;filter_by_labels=favorite&amp;memberId=704364871" TargetMode="External"/><Relationship Id="rId32" Type="http://schemas.openxmlformats.org/officeDocument/2006/relationships/hyperlink" Target="https://www.ancestry.co.uk/discoveryui-matches/compare/50A7C5EF-9E94-44BE-A86A-5736956A97F2/with/A7A7EFDB-1F8E-4FA0-B0AA-4584243B3054" TargetMode="External"/><Relationship Id="rId37" Type="http://schemas.openxmlformats.org/officeDocument/2006/relationships/hyperlink" Target="https://dnapainter.com/tools/sharedcmv4/10?fbclid=IwAR3wqfKWVRq1DI_x4i7OjYx5ayGhdwQu5Tj-9K3u_CVvBxgEWwX7fHipJPs" TargetMode="External"/><Relationship Id="rId40" Type="http://schemas.openxmlformats.org/officeDocument/2006/relationships/hyperlink" Target="https://dnapainter.com/tools/sharedcmv4/7?fbclid=IwAR3wqfKWVRq1DI_x4i7OjYx5ayGhdwQu5Tj-9K3u_CVvBxgEWwX7fHipJPs" TargetMode="External"/><Relationship Id="rId45" Type="http://schemas.openxmlformats.org/officeDocument/2006/relationships/hyperlink" Target="https://www.ancestry.co.uk/discoveryui-matches/compare/50A7C5EF-9E94-44BE-A86A-5736956A97F2/with/CCBFC081-DD74-4846-9B1F-F025A08DF009/matchesofmatches" TargetMode="External"/><Relationship Id="rId5" Type="http://schemas.openxmlformats.org/officeDocument/2006/relationships/hyperlink" Target="https://www.ancestry.co.uk/family-tree/person/tree/163868056/person/342132992964/facts" TargetMode="External"/><Relationship Id="rId15" Type="http://schemas.openxmlformats.org/officeDocument/2006/relationships/hyperlink" Target="https://www.ancestry.co.uk/family-tree/person/tree/163868056/person/342238663642/facts" TargetMode="External"/><Relationship Id="rId23" Type="http://schemas.openxmlformats.org/officeDocument/2006/relationships/hyperlink" Target="https://www.ancestry.co.uk/family-tree/tree/163868056/family?cfpid=342238699636&amp;fpid=342145429748&amp;usePUBJs=true" TargetMode="External"/><Relationship Id="rId28" Type="http://schemas.openxmlformats.org/officeDocument/2006/relationships/hyperlink" Target="https://www.ancestry.co.uk/family-tree/tree/163868056/family?cfpid=342238698900" TargetMode="External"/><Relationship Id="rId36" Type="http://schemas.openxmlformats.org/officeDocument/2006/relationships/hyperlink" Target="https://dnapainter.com/tools/sharedcmv4/14?fbclid=IwAR3wqfKWVRq1DI_x4i7OjYx5ayGhdwQu5Tj-9K3u_CVvBxgEWwX7fHipJPs" TargetMode="External"/><Relationship Id="rId10" Type="http://schemas.openxmlformats.org/officeDocument/2006/relationships/hyperlink" Target="https://www.ancestry.co.uk/family-tree/person/tree/163868056/person/342238663642/facts" TargetMode="External"/><Relationship Id="rId19" Type="http://schemas.openxmlformats.org/officeDocument/2006/relationships/hyperlink" Target="https://www.ancestry.co.uk/family-tree/person/tree/163868056/person/342238663669/facts" TargetMode="External"/><Relationship Id="rId31" Type="http://schemas.openxmlformats.org/officeDocument/2006/relationships/hyperlink" Target="https://www.ancestry.co.uk/discoveryui-matches/compare/50A7C5EF-9E94-44BE-A86A-5736956A97F2/with/A7A7EFDB-1F8E-4FA0-B0AA-4584243B3054" TargetMode="External"/><Relationship Id="rId44" Type="http://schemas.openxmlformats.org/officeDocument/2006/relationships/hyperlink" Target="https://www.ancestry.co.uk/family-tree/person/tree/163868056/person/342238663669/facts" TargetMode="External"/><Relationship Id="rId4" Type="http://schemas.openxmlformats.org/officeDocument/2006/relationships/hyperlink" Target="https://www.ancestry.co.uk/family-tree/person/tree/163868056/person/342132992964/facts" TargetMode="External"/><Relationship Id="rId9" Type="http://schemas.openxmlformats.org/officeDocument/2006/relationships/hyperlink" Target="https://www.ancestry.co.uk/family-tree/person/tree/163868056/person/342238663642/facts" TargetMode="External"/><Relationship Id="rId14" Type="http://schemas.openxmlformats.org/officeDocument/2006/relationships/hyperlink" Target="https://www.ancestry.co.uk/family-tree/person/tree/163868056/person/342238663642/facts" TargetMode="External"/><Relationship Id="rId22" Type="http://schemas.openxmlformats.org/officeDocument/2006/relationships/hyperlink" Target="https://www.ancestry.co.uk/family-tree/person/tree/163868056/person/342238663669/facts" TargetMode="External"/><Relationship Id="rId27" Type="http://schemas.openxmlformats.org/officeDocument/2006/relationships/hyperlink" Target="https://www.ancestry.co.uk/family-tree/tree/163868056/family?cfpid=342238697574" TargetMode="External"/><Relationship Id="rId30" Type="http://schemas.openxmlformats.org/officeDocument/2006/relationships/hyperlink" Target="https://www.ancestry.co.uk/discoveryui-matches/compare/50A7C5EF-9E94-44BE-A86A-5736956A97F2/with/DD0C41C5-3F74-480B-A292-AF263AF84BD8" TargetMode="External"/><Relationship Id="rId35" Type="http://schemas.openxmlformats.org/officeDocument/2006/relationships/hyperlink" Target="https://dnapainter.com/tools/sharedcmv4/14?fbclid=IwAR3wqfKWVRq1DI_x4i7OjYx5ayGhdwQu5Tj-9K3u_CVvBxgEWwX7fHipJPs" TargetMode="External"/><Relationship Id="rId43" Type="http://schemas.openxmlformats.org/officeDocument/2006/relationships/hyperlink" Target="https://www.ancestry.co.uk/family-tree/person/tree/163868056/person/342238663642/facts" TargetMode="External"/><Relationship Id="rId8" Type="http://schemas.openxmlformats.org/officeDocument/2006/relationships/hyperlink" Target="https://www.myheritage.com/dna/match/D-F9099B9B-87A1-4274-827C-AF35BD245736-D-68551465-D7C0-418E-A499-D6A123BDAADB/691113321?p=1&amp;ps=10&amp;search=alison%20lines&amp;sort=total_shared_segments_length_in_cm&amp;memberId=704364871" TargetMode="External"/><Relationship Id="rId3" Type="http://schemas.openxmlformats.org/officeDocument/2006/relationships/hyperlink" Target="https://www.ancestry.co.uk/family-tree/person/tree/163868056/person/342132992964/facts" TargetMode="External"/><Relationship Id="rId12" Type="http://schemas.openxmlformats.org/officeDocument/2006/relationships/hyperlink" Target="https://www.ancestry.co.uk/family-tree/person/tree/163868056/person/342238663642/facts" TargetMode="External"/><Relationship Id="rId17" Type="http://schemas.openxmlformats.org/officeDocument/2006/relationships/hyperlink" Target="https://www.ancestry.co.uk/family-tree/person/tree/163868056/person/342238663669/facts" TargetMode="External"/><Relationship Id="rId25" Type="http://schemas.openxmlformats.org/officeDocument/2006/relationships/hyperlink" Target="https://www.ancestry.co.uk/family-tree/tree/163868056/family?cfpid=342238694766" TargetMode="External"/><Relationship Id="rId33" Type="http://schemas.openxmlformats.org/officeDocument/2006/relationships/hyperlink" Target="https://www.ancestry.co.uk/discoveryui-matches/compare/50a7c5ef-9e94-44be-a86a-5736956a97f2/with/272b322a-3bf7-42f6-9bda-834a6921893e/sharedmatches" TargetMode="External"/><Relationship Id="rId38" Type="http://schemas.openxmlformats.org/officeDocument/2006/relationships/hyperlink" Target="https://dnapainter.com/tools/sharedcmv4/10?fbclid=IwAR3wqfKWVRq1DI_x4i7OjYx5ayGhdwQu5Tj-9K3u_CVvBxgEWwX7fHipJPs" TargetMode="External"/><Relationship Id="rId46" Type="http://schemas.openxmlformats.org/officeDocument/2006/relationships/hyperlink" Target="https://dnapainter.com/tools/sharedcmv4/8?fbclid=IwAR3wqfKWVRq1DI_x4i7OjYx5ayGhdwQu5Tj-9K3u_CVvBxgEWwX7fHipJPs" TargetMode="External"/><Relationship Id="rId20" Type="http://schemas.openxmlformats.org/officeDocument/2006/relationships/hyperlink" Target="https://www.ancestry.co.uk/family-tree/person/tree/163868056/person/342238663669/facts" TargetMode="External"/><Relationship Id="rId41" Type="http://schemas.openxmlformats.org/officeDocument/2006/relationships/hyperlink" Target="https://www.ancestry.co.uk/discoveryui-matches/compare/50A7C5EF-9E94-44BE-A86A-5736956A97F2/with/D6E46982-6F09-464D-AA57-86AD6C39E9C8/matchesofmatches" TargetMode="External"/></Relationships>
</file>

<file path=xl/worksheets/_rels/sheet39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ncestry.co.uk/family-tree/person/tree/163868056/person/342132994738/facts" TargetMode="External"/><Relationship Id="rId21" Type="http://schemas.openxmlformats.org/officeDocument/2006/relationships/hyperlink" Target="https://www.ancestry.co.uk/family-tree/person/tree/163868056/person/342132993862/facts" TargetMode="External"/><Relationship Id="rId42" Type="http://schemas.openxmlformats.org/officeDocument/2006/relationships/hyperlink" Target="https://www.ancestry.co.uk/family-tree/person/tree/163868056/person/342132997049/facts" TargetMode="External"/><Relationship Id="rId47" Type="http://schemas.openxmlformats.org/officeDocument/2006/relationships/hyperlink" Target="https://www.ancestry.co.uk/family-tree/tree/163868056/family?cfpid=342153867448" TargetMode="External"/><Relationship Id="rId63" Type="http://schemas.openxmlformats.org/officeDocument/2006/relationships/hyperlink" Target="https://www.ancestry.co.uk/family-tree/tree/163868056/family?cfpid=342268604767" TargetMode="External"/><Relationship Id="rId68" Type="http://schemas.openxmlformats.org/officeDocument/2006/relationships/hyperlink" Target="https://www.ancestry.co.uk/discoveryui-matches/compare/50A7C5EF-9E94-44BE-A86A-5736956A97F2/with/E9D5B47A-CFA4-415E-A5A2-38063D194651" TargetMode="External"/><Relationship Id="rId84" Type="http://schemas.openxmlformats.org/officeDocument/2006/relationships/hyperlink" Target="https://dnapainter.com/tools/sharedcmv4/14?fbclid=IwAR3wqfKWVRq1DI_x4i7OjYx5ayGhdwQu5Tj-9K3u_CVvBxgEWwX7fHipJPs" TargetMode="External"/><Relationship Id="rId89" Type="http://schemas.openxmlformats.org/officeDocument/2006/relationships/hyperlink" Target="https://dnapainter.com/tools/sharedcmv4/18?fbclid=IwAR3wqfKWVRq1DI_x4i7OjYx5ayGhdwQu5Tj-9K3u_CVvBxgEWwX7fHipJPs" TargetMode="External"/><Relationship Id="rId16" Type="http://schemas.openxmlformats.org/officeDocument/2006/relationships/hyperlink" Target="https://www.ancestry.co.uk/family-tree/person/tree/163868056/person/342132993861/facts" TargetMode="External"/><Relationship Id="rId107" Type="http://schemas.openxmlformats.org/officeDocument/2006/relationships/hyperlink" Target="https://www.ancestry.co.uk/family-tree/person/tree/163868056/person/342132992964/facts" TargetMode="External"/><Relationship Id="rId11" Type="http://schemas.openxmlformats.org/officeDocument/2006/relationships/hyperlink" Target="https://www.ancestry.co.uk/family-tree/person/tree/163868056/person/342132992970/facts" TargetMode="External"/><Relationship Id="rId32" Type="http://schemas.openxmlformats.org/officeDocument/2006/relationships/hyperlink" Target="https://www.ancestry.co.uk/family-tree/person/tree/163868056/person/342132994738/facts" TargetMode="External"/><Relationship Id="rId37" Type="http://schemas.openxmlformats.org/officeDocument/2006/relationships/hyperlink" Target="https://www.ancestry.co.uk/family-tree/person/tree/163868056/person/342132997049/facts" TargetMode="External"/><Relationship Id="rId53" Type="http://schemas.openxmlformats.org/officeDocument/2006/relationships/hyperlink" Target="https://www.ancestry.co.uk/family-tree/person/tree/163868056/person/342132992964/facts" TargetMode="External"/><Relationship Id="rId58" Type="http://schemas.openxmlformats.org/officeDocument/2006/relationships/hyperlink" Target="https://www.ancestry.co.uk/family-tree/tree/163868056/family?cfpid=342424228422" TargetMode="External"/><Relationship Id="rId74" Type="http://schemas.openxmlformats.org/officeDocument/2006/relationships/hyperlink" Target="https://www.ancestry.co.uk/discoveryui-matches/compare/8955CF51-8070-4A51-8674-B7F01B347AED/with/BACBF385-97B3-4F12-B961-B68E4B46BC2D" TargetMode="External"/><Relationship Id="rId79" Type="http://schemas.openxmlformats.org/officeDocument/2006/relationships/hyperlink" Target="https://dnapainter.com/tools/sharedcmv4/10?fbclid=IwAR3wqfKWVRq1DI_x4i7OjYx5ayGhdwQu5Tj-9K3u_CVvBxgEWwX7fHipJPs" TargetMode="External"/><Relationship Id="rId102" Type="http://schemas.openxmlformats.org/officeDocument/2006/relationships/hyperlink" Target="https://www.ancestry.co.uk/discoveryui-matches/compare/8955cf51-8070-4a51-8674-b7f01b347aed/with/e88a295b-230d-4f9a-9d68-7c7f8b1584e0" TargetMode="External"/><Relationship Id="rId5" Type="http://schemas.openxmlformats.org/officeDocument/2006/relationships/hyperlink" Target="https://www.ancestry.co.uk/family-tree/person/tree/163868056/person/342132992964/facts" TargetMode="External"/><Relationship Id="rId90" Type="http://schemas.openxmlformats.org/officeDocument/2006/relationships/hyperlink" Target="https://dnapainter.com/tools/sharedcmv4/19?fbclid=IwAR3wqfKWVRq1DI_x4i7OjYx5ayGhdwQu5Tj-9K3u_CVvBxgEWwX7fHipJPs" TargetMode="External"/><Relationship Id="rId95" Type="http://schemas.openxmlformats.org/officeDocument/2006/relationships/hyperlink" Target="https://dnapainter.com/tools/sharedcmv4/11?fbclid=IwAR3wqfKWVRq1DI_x4i7OjYx5ayGhdwQu5Tj-9K3u_CVvBxgEWwX7fHipJPs" TargetMode="External"/><Relationship Id="rId22" Type="http://schemas.openxmlformats.org/officeDocument/2006/relationships/hyperlink" Target="https://www.ancestry.co.uk/family-tree/person/tree/163868056/person/342132993862/facts" TargetMode="External"/><Relationship Id="rId27" Type="http://schemas.openxmlformats.org/officeDocument/2006/relationships/hyperlink" Target="https://www.ancestry.co.uk/family-tree/person/tree/163868056/person/342132994738/facts" TargetMode="External"/><Relationship Id="rId43" Type="http://schemas.openxmlformats.org/officeDocument/2006/relationships/hyperlink" Target="https://www.ancestry.co.uk/family-tree/person/tree/163868056/person/342132995801/facts" TargetMode="External"/><Relationship Id="rId48" Type="http://schemas.openxmlformats.org/officeDocument/2006/relationships/hyperlink" Target="https://www.ancestry.co.uk/family-tree/tree/163868056/family?cfpid=342237512241" TargetMode="External"/><Relationship Id="rId64" Type="http://schemas.openxmlformats.org/officeDocument/2006/relationships/hyperlink" Target="https://www.ancestry.co.uk/family-tree/tree/163868056/family?cfpid=342472332894" TargetMode="External"/><Relationship Id="rId69" Type="http://schemas.openxmlformats.org/officeDocument/2006/relationships/hyperlink" Target="https://www.ancestry.co.uk/discoveryui-matches/compare/50A7C5EF-9E94-44BE-A86A-5736956A97F2/with/CC9B7C2E-0777-4765-B3A6-5BC49809B043" TargetMode="External"/><Relationship Id="rId80" Type="http://schemas.openxmlformats.org/officeDocument/2006/relationships/hyperlink" Target="https://dnapainter.com/tools/sharedcmv4/12?fbclid=IwAR3wqfKWVRq1DI_x4i7OjYx5ayGhdwQu5Tj-9K3u_CVvBxgEWwX7fHipJPs" TargetMode="External"/><Relationship Id="rId85" Type="http://schemas.openxmlformats.org/officeDocument/2006/relationships/hyperlink" Target="https://dnapainter.com/tools/sharedcmv4/15?fbclid=IwAR3wqfKWVRq1DI_x4i7OjYx5ayGhdwQu5Tj-9K3u_CVvBxgEWwX7fHipJPs" TargetMode="External"/><Relationship Id="rId12" Type="http://schemas.openxmlformats.org/officeDocument/2006/relationships/hyperlink" Target="https://www.ancestry.co.uk/family-tree/person/tree/163868056/person/342132992970/facts" TargetMode="External"/><Relationship Id="rId17" Type="http://schemas.openxmlformats.org/officeDocument/2006/relationships/hyperlink" Target="https://www.ancestry.co.uk/family-tree/person/tree/163868056/person/342132993861/facts" TargetMode="External"/><Relationship Id="rId33" Type="http://schemas.openxmlformats.org/officeDocument/2006/relationships/hyperlink" Target="https://www.ancestry.co.uk/family-tree/person/tree/163868056/person/342132994738/facts" TargetMode="External"/><Relationship Id="rId38" Type="http://schemas.openxmlformats.org/officeDocument/2006/relationships/hyperlink" Target="https://www.ancestry.co.uk/family-tree/person/tree/163868056/person/342132997049/facts" TargetMode="External"/><Relationship Id="rId59" Type="http://schemas.openxmlformats.org/officeDocument/2006/relationships/hyperlink" Target="https://www.ancestry.co.uk/discoveryui-matches/compare/d76bc041-47ae-476e-9f02-188d7cc5e522/with/15f2dbc8-37b0-430f-9ad1-d73dc4103d7c" TargetMode="External"/><Relationship Id="rId103" Type="http://schemas.openxmlformats.org/officeDocument/2006/relationships/hyperlink" Target="https://www.ancestry.co.uk/discoveryui-matches/compare/8955cf51-8070-4a51-8674-b7f01b347aed/with/ea3da600-43cb-4365-b0cd-7b31baa0ba79" TargetMode="External"/><Relationship Id="rId108" Type="http://schemas.openxmlformats.org/officeDocument/2006/relationships/hyperlink" Target="https://www.ancestry.co.uk/family-tree/tree/163868056/family/pedigree?cfpid=342599073595" TargetMode="External"/><Relationship Id="rId20" Type="http://schemas.openxmlformats.org/officeDocument/2006/relationships/hyperlink" Target="https://www.ancestry.co.uk/family-tree/person/tree/163868056/person/342132993862/facts" TargetMode="External"/><Relationship Id="rId41" Type="http://schemas.openxmlformats.org/officeDocument/2006/relationships/hyperlink" Target="https://www.ancestry.co.uk/family-tree/person/tree/163868056/person/342132997049/facts" TargetMode="External"/><Relationship Id="rId54" Type="http://schemas.openxmlformats.org/officeDocument/2006/relationships/hyperlink" Target="https://www.ancestry.co.uk/family-tree/tree/163868056/family?cfpid=342428889465" TargetMode="External"/><Relationship Id="rId62" Type="http://schemas.openxmlformats.org/officeDocument/2006/relationships/hyperlink" Target="https://www.ancestry.co.uk/family-tree/tree/163868056/family?cfpid=342472333183" TargetMode="External"/><Relationship Id="rId70" Type="http://schemas.openxmlformats.org/officeDocument/2006/relationships/hyperlink" Target="https://www.ancestry.co.uk/discoveryui-matches/compare/50A7C5EF-9E94-44BE-A86A-5736956A97F2/with/72FB023C-17BF-4D1B-9155-2D82EF943D07" TargetMode="External"/><Relationship Id="rId75" Type="http://schemas.openxmlformats.org/officeDocument/2006/relationships/hyperlink" Target="https://dnapainter.com/tools/sharedcmv4/7?fbclid=IwAR3wqfKWVRq1DI_x4i7OjYx5ayGhdwQu5Tj-9K3u_CVvBxgEWwX7fHipJPs" TargetMode="External"/><Relationship Id="rId83" Type="http://schemas.openxmlformats.org/officeDocument/2006/relationships/hyperlink" Target="https://dnapainter.com/tools/sharedcmv4/13?fbclid=IwAR3wqfKWVRq1DI_x4i7OjYx5ayGhdwQu5Tj-9K3u_CVvBxgEWwX7fHipJPs" TargetMode="External"/><Relationship Id="rId88" Type="http://schemas.openxmlformats.org/officeDocument/2006/relationships/hyperlink" Target="https://dnapainter.com/tools/sharedcmv4/18?fbclid=IwAR3wqfKWVRq1DI_x4i7OjYx5ayGhdwQu5Tj-9K3u_CVvBxgEWwX7fHipJPs" TargetMode="External"/><Relationship Id="rId91" Type="http://schemas.openxmlformats.org/officeDocument/2006/relationships/hyperlink" Target="https://dnapainter.com/tools/sharedcmv4/9?fbclid=IwAR3wqfKWVRq1DI_x4i7OjYx5ayGhdwQu5Tj-9K3u_CVvBxgEWwX7fHipJPs" TargetMode="External"/><Relationship Id="rId96" Type="http://schemas.openxmlformats.org/officeDocument/2006/relationships/hyperlink" Target="https://dnapainter.com/tools/sharedcmv4/24?fbclid=IwAR3wqfKWVRq1DI_x4i7OjYx5ayGhdwQu5Tj-9K3u_CVvBxgEWwX7fHipJPs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www.ancestry.co.uk/family-tree/person/tree/163868056/person/342132992964/facts" TargetMode="External"/><Relationship Id="rId15" Type="http://schemas.openxmlformats.org/officeDocument/2006/relationships/hyperlink" Target="https://www.ancestry.co.uk/family-tree/person/tree/163868056/person/342132993861/facts" TargetMode="External"/><Relationship Id="rId23" Type="http://schemas.openxmlformats.org/officeDocument/2006/relationships/hyperlink" Target="https://www.ancestry.co.uk/family-tree/person/tree/163868056/person/342132993862/facts" TargetMode="External"/><Relationship Id="rId28" Type="http://schemas.openxmlformats.org/officeDocument/2006/relationships/hyperlink" Target="https://www.ancestry.co.uk/family-tree/person/tree/163868056/person/342132994738/facts" TargetMode="External"/><Relationship Id="rId36" Type="http://schemas.openxmlformats.org/officeDocument/2006/relationships/hyperlink" Target="https://www.ancestry.co.uk/family-tree/person/tree/163868056/person/342132997049/facts" TargetMode="External"/><Relationship Id="rId49" Type="http://schemas.openxmlformats.org/officeDocument/2006/relationships/hyperlink" Target="https://www.ancestry.co.uk/family-tree/person/tree/163868056/person/342132992964/facts" TargetMode="External"/><Relationship Id="rId57" Type="http://schemas.openxmlformats.org/officeDocument/2006/relationships/hyperlink" Target="https://www.ancestry.co.uk/family-tree/tree/163868056/family?cfpid=342270219078" TargetMode="External"/><Relationship Id="rId106" Type="http://schemas.openxmlformats.org/officeDocument/2006/relationships/hyperlink" Target="https://www.ancestry.co.uk/family-tree/person/tree/163868056/person/342132993862/facts" TargetMode="External"/><Relationship Id="rId10" Type="http://schemas.openxmlformats.org/officeDocument/2006/relationships/hyperlink" Target="https://www.ancestry.co.uk/family-tree/person/tree/163868056/person/342132992970/facts" TargetMode="External"/><Relationship Id="rId31" Type="http://schemas.openxmlformats.org/officeDocument/2006/relationships/hyperlink" Target="https://www.ancestry.co.uk/family-tree/person/tree/163868056/person/342132994738/facts" TargetMode="External"/><Relationship Id="rId44" Type="http://schemas.openxmlformats.org/officeDocument/2006/relationships/hyperlink" Target="https://www.ancestry.co.uk/family-tree/person/tree/163868056/person/342132995801/facts" TargetMode="External"/><Relationship Id="rId52" Type="http://schemas.openxmlformats.org/officeDocument/2006/relationships/hyperlink" Target="https://www.ancestry.co.uk/family-tree/tree/163868056/family?cfpid=342325745487" TargetMode="External"/><Relationship Id="rId60" Type="http://schemas.openxmlformats.org/officeDocument/2006/relationships/hyperlink" Target="https://www.ancestry.co.uk/family-tree/tree/163868056/family?cfpid=342153531042" TargetMode="External"/><Relationship Id="rId65" Type="http://schemas.openxmlformats.org/officeDocument/2006/relationships/hyperlink" Target="https://www.ancestry.co.uk/family-tree/tree/163868056/family?cfpid=342474717169" TargetMode="External"/><Relationship Id="rId73" Type="http://schemas.openxmlformats.org/officeDocument/2006/relationships/hyperlink" Target="https://www.ancestry.co.uk/discoveryui-matches/compare/8955CF51-8070-4A51-8674-B7F01B347AED/with/75149D98-F264-435F-ABAF-F417EE76B286" TargetMode="External"/><Relationship Id="rId78" Type="http://schemas.openxmlformats.org/officeDocument/2006/relationships/hyperlink" Target="https://dnapainter.com/tools/sharedcmv4/9?fbclid=IwAR3wqfKWVRq1DI_x4i7OjYx5ayGhdwQu5Tj-9K3u_CVvBxgEWwX7fHipJPs" TargetMode="External"/><Relationship Id="rId81" Type="http://schemas.openxmlformats.org/officeDocument/2006/relationships/hyperlink" Target="https://dnapainter.com/tools/sharedcmv4/12?fbclid=IwAR3wqfKWVRq1DI_x4i7OjYx5ayGhdwQu5Tj-9K3u_CVvBxgEWwX7fHipJPs" TargetMode="External"/><Relationship Id="rId86" Type="http://schemas.openxmlformats.org/officeDocument/2006/relationships/hyperlink" Target="https://dnapainter.com/tools/sharedcmv4/17?fbclid=IwAR3wqfKWVRq1DI_x4i7OjYx5ayGhdwQu5Tj-9K3u_CVvBxgEWwX7fHipJPs" TargetMode="External"/><Relationship Id="rId94" Type="http://schemas.openxmlformats.org/officeDocument/2006/relationships/hyperlink" Target="https://dnapainter.com/tools/sharedcmv4/10?fbclid=IwAR3wqfKWVRq1DI_x4i7OjYx5ayGhdwQu5Tj-9K3u_CVvBxgEWwX7fHipJPs" TargetMode="External"/><Relationship Id="rId99" Type="http://schemas.openxmlformats.org/officeDocument/2006/relationships/hyperlink" Target="https://www.ancestry.co.uk/family-tree/person/tree/163868056/person/342132993862/facts" TargetMode="External"/><Relationship Id="rId101" Type="http://schemas.openxmlformats.org/officeDocument/2006/relationships/hyperlink" Target="https://www.ancestry.co.uk/family-tree/tree/163868056/family/pedigree?cfpid=342237512177" TargetMode="External"/><Relationship Id="rId4" Type="http://schemas.openxmlformats.org/officeDocument/2006/relationships/hyperlink" Target="https://www.ancestry.co.uk/family-tree/person/tree/163868056/person/342132992964/facts" TargetMode="External"/><Relationship Id="rId9" Type="http://schemas.openxmlformats.org/officeDocument/2006/relationships/hyperlink" Target="https://www.ancestry.co.uk/family-tree/person/tree/163868056/person/342132992970/facts" TargetMode="External"/><Relationship Id="rId13" Type="http://schemas.openxmlformats.org/officeDocument/2006/relationships/hyperlink" Target="https://www.ancestry.co.uk/family-tree/person/tree/163868056/person/342132992970/facts" TargetMode="External"/><Relationship Id="rId18" Type="http://schemas.openxmlformats.org/officeDocument/2006/relationships/hyperlink" Target="https://www.ancestry.co.uk/family-tree/person/tree/163868056/person/342132993861/facts" TargetMode="External"/><Relationship Id="rId39" Type="http://schemas.openxmlformats.org/officeDocument/2006/relationships/hyperlink" Target="https://www.ancestry.co.uk/family-tree/person/tree/163868056/person/342132997049/facts" TargetMode="External"/><Relationship Id="rId34" Type="http://schemas.openxmlformats.org/officeDocument/2006/relationships/hyperlink" Target="https://www.ancestry.co.uk/family-tree/person/tree/163868056/person/342132994738/facts" TargetMode="External"/><Relationship Id="rId50" Type="http://schemas.openxmlformats.org/officeDocument/2006/relationships/hyperlink" Target="https://www.ancestry.co.uk/family-tree/tree/163868056/family?cfpid=342237491190" TargetMode="External"/><Relationship Id="rId55" Type="http://schemas.openxmlformats.org/officeDocument/2006/relationships/hyperlink" Target="https://www.ancestry.co.uk/family-tree/tree/163868056/family?cfpid=342232404791" TargetMode="External"/><Relationship Id="rId76" Type="http://schemas.openxmlformats.org/officeDocument/2006/relationships/hyperlink" Target="https://dnapainter.com/tools/sharedcmv4/7?fbclid=IwAR3wqfKWVRq1DI_x4i7OjYx5ayGhdwQu5Tj-9K3u_CVvBxgEWwX7fHipJPs" TargetMode="External"/><Relationship Id="rId97" Type="http://schemas.openxmlformats.org/officeDocument/2006/relationships/hyperlink" Target="https://www.ancestry.co.uk/family-tree/person/tree/163868056/person/342132992964/facts" TargetMode="External"/><Relationship Id="rId104" Type="http://schemas.openxmlformats.org/officeDocument/2006/relationships/hyperlink" Target="https://dnapainter.com/tools/sharedcmv4/8?fbclid=IwAR3wqfKWVRq1DI_x4i7OjYx5ayGhdwQu5Tj-9K3u_CVvBxgEWwX7fHipJPs" TargetMode="External"/><Relationship Id="rId7" Type="http://schemas.openxmlformats.org/officeDocument/2006/relationships/hyperlink" Target="https://www.ancestry.co.uk/family-tree/person/tree/163868056/person/342132992970/facts" TargetMode="External"/><Relationship Id="rId71" Type="http://schemas.openxmlformats.org/officeDocument/2006/relationships/hyperlink" Target="https://www.ancestry.co.uk/discoveryui-matches/compare/50A7C5EF-9E94-44BE-A86A-5736956A97F2/with/5CF43218-FCF9-4216-8146-9E1FC36291CB" TargetMode="External"/><Relationship Id="rId92" Type="http://schemas.openxmlformats.org/officeDocument/2006/relationships/hyperlink" Target="https://dnapainter.com/tools/sharedcmv4/23?fbclid=IwAR3wqfKWVRq1DI_x4i7OjYx5ayGhdwQu5Tj-9K3u_CVvBxgEWwX7fHipJPs" TargetMode="External"/><Relationship Id="rId2" Type="http://schemas.openxmlformats.org/officeDocument/2006/relationships/hyperlink" Target="https://www.ancestry.co.uk/family-tree/person/tree/163868056/person/342132992964/facts" TargetMode="External"/><Relationship Id="rId29" Type="http://schemas.openxmlformats.org/officeDocument/2006/relationships/hyperlink" Target="https://www.ancestry.co.uk/family-tree/person/tree/163868056/person/342132994738/facts" TargetMode="External"/><Relationship Id="rId24" Type="http://schemas.openxmlformats.org/officeDocument/2006/relationships/hyperlink" Target="https://www.ancestry.co.uk/family-tree/person/tree/163868056/person/342132993862/facts" TargetMode="External"/><Relationship Id="rId40" Type="http://schemas.openxmlformats.org/officeDocument/2006/relationships/hyperlink" Target="https://www.ancestry.co.uk/family-tree/person/tree/163868056/person/342132997049/facts" TargetMode="External"/><Relationship Id="rId45" Type="http://schemas.openxmlformats.org/officeDocument/2006/relationships/hyperlink" Target="https://www.ancestry.co.uk/family-tree/person/tree/163868056/person/342132994735/facts" TargetMode="External"/><Relationship Id="rId66" Type="http://schemas.openxmlformats.org/officeDocument/2006/relationships/hyperlink" Target="https://www.ancestry.co.uk/discoveryui-matches/compare/50A7C5EF-9E94-44BE-A86A-5736956A97F2/with/A51E8552-4A2F-46A4-A29F-2F1688ED11C2" TargetMode="External"/><Relationship Id="rId87" Type="http://schemas.openxmlformats.org/officeDocument/2006/relationships/hyperlink" Target="https://dnapainter.com/tools/sharedcmv4/17?fbclid=IwAR3wqfKWVRq1DI_x4i7OjYx5ayGhdwQu5Tj-9K3u_CVvBxgEWwX7fHipJPs" TargetMode="External"/><Relationship Id="rId61" Type="http://schemas.openxmlformats.org/officeDocument/2006/relationships/hyperlink" Target="https://www.ancestry.co.uk/family-tree/tree/163868056/family?cfpid=342407761390" TargetMode="External"/><Relationship Id="rId82" Type="http://schemas.openxmlformats.org/officeDocument/2006/relationships/hyperlink" Target="https://dnapainter.com/tools/sharedcmv4/13?fbclid=IwAR3wqfKWVRq1DI_x4i7OjYx5ayGhdwQu5Tj-9K3u_CVvBxgEWwX7fHipJPs" TargetMode="External"/><Relationship Id="rId19" Type="http://schemas.openxmlformats.org/officeDocument/2006/relationships/hyperlink" Target="https://www.ancestry.co.uk/family-tree/person/tree/163868056/person/342132993861/facts" TargetMode="External"/><Relationship Id="rId14" Type="http://schemas.openxmlformats.org/officeDocument/2006/relationships/hyperlink" Target="https://www.ancestry.co.uk/family-tree/person/tree/163868056/person/342132993861/facts" TargetMode="External"/><Relationship Id="rId30" Type="http://schemas.openxmlformats.org/officeDocument/2006/relationships/hyperlink" Target="https://www.ancestry.co.uk/family-tree/person/tree/163868056/person/342132994738/facts" TargetMode="External"/><Relationship Id="rId35" Type="http://schemas.openxmlformats.org/officeDocument/2006/relationships/hyperlink" Target="https://www.ancestry.co.uk/family-tree/person/tree/163868056/person/342132997049/facts" TargetMode="External"/><Relationship Id="rId56" Type="http://schemas.openxmlformats.org/officeDocument/2006/relationships/hyperlink" Target="https://www.ancestry.co.uk/family-tree/tree/163868056/family?cfpid=342472333205" TargetMode="External"/><Relationship Id="rId77" Type="http://schemas.openxmlformats.org/officeDocument/2006/relationships/hyperlink" Target="https://dnapainter.com/tools/sharedcmv4/6?fbclid=IwAR3wqfKWVRq1DI_x4i7OjYx5ayGhdwQu5Tj-9K3u_CVvBxgEWwX7fHipJPs" TargetMode="External"/><Relationship Id="rId100" Type="http://schemas.openxmlformats.org/officeDocument/2006/relationships/hyperlink" Target="https://dnapainter.com/tools/sharedcmv4/18?fbclid=IwAR3wqfKWVRq1DI_x4i7OjYx5ayGhdwQu5Tj-9K3u_CVvBxgEWwX7fHipJPs" TargetMode="External"/><Relationship Id="rId105" Type="http://schemas.openxmlformats.org/officeDocument/2006/relationships/hyperlink" Target="https://www.ancestry.co.uk/family-tree/person/tree/163868056/person/342132993861/facts" TargetMode="External"/><Relationship Id="rId8" Type="http://schemas.openxmlformats.org/officeDocument/2006/relationships/hyperlink" Target="https://www.ancestry.co.uk/family-tree/person/tree/163868056/person/342132992970/facts" TargetMode="External"/><Relationship Id="rId51" Type="http://schemas.openxmlformats.org/officeDocument/2006/relationships/hyperlink" Target="https://www.ancestry.co.uk/family-tree/person/tree/163868056/person/342132992964/facts" TargetMode="External"/><Relationship Id="rId72" Type="http://schemas.openxmlformats.org/officeDocument/2006/relationships/hyperlink" Target="https://www.ancestry.co.uk/discoveryui-matches/compare/50A7C5EF-9E94-44BE-A86A-5736956A97F2/with/7FAEF584-8131-4AF7-A4D0-0CBCE54A9744" TargetMode="External"/><Relationship Id="rId93" Type="http://schemas.openxmlformats.org/officeDocument/2006/relationships/hyperlink" Target="https://dnapainter.com/tools/sharedcmv4/23?fbclid=IwAR3wqfKWVRq1DI_x4i7OjYx5ayGhdwQu5Tj-9K3u_CVvBxgEWwX7fHipJPs" TargetMode="External"/><Relationship Id="rId98" Type="http://schemas.openxmlformats.org/officeDocument/2006/relationships/hyperlink" Target="https://www.ancestry.co.uk/family-tree/person/tree/163868056/person/342132993861/facts" TargetMode="External"/><Relationship Id="rId3" Type="http://schemas.openxmlformats.org/officeDocument/2006/relationships/hyperlink" Target="https://www.ancestry.co.uk/family-tree/person/tree/163868056/person/342132992964/facts" TargetMode="External"/><Relationship Id="rId25" Type="http://schemas.openxmlformats.org/officeDocument/2006/relationships/hyperlink" Target="https://www.ancestry.co.uk/family-tree/person/tree/163868056/person/342132994738/facts" TargetMode="External"/><Relationship Id="rId46" Type="http://schemas.openxmlformats.org/officeDocument/2006/relationships/hyperlink" Target="https://www.ancestry.co.uk/family-tree/tree/163868056/family?cfpid=342270225339" TargetMode="External"/><Relationship Id="rId67" Type="http://schemas.openxmlformats.org/officeDocument/2006/relationships/hyperlink" Target="https://www.ancestry.co.uk/discoveryui-matches/compare/50A7C5EF-9E94-44BE-A86A-5736956A97F2/with/9602152A-C26E-479F-94EC-66315F44EB07" TargetMode="Externa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ncestry.co.uk/family-tree/person/tree/163868056/person/342475190164/facts" TargetMode="External"/><Relationship Id="rId2" Type="http://schemas.openxmlformats.org/officeDocument/2006/relationships/hyperlink" Target="https://www.ancestry.co.uk/family-tree/tree/163868056/family/pedigree?cfpid=342475274140" TargetMode="External"/><Relationship Id="rId1" Type="http://schemas.openxmlformats.org/officeDocument/2006/relationships/hyperlink" Target="https://www.ancestry.co.uk/discoveryui-matches/compare/50a7c5ef-9e94-44be-a86a-5736956a97f2/with/543abdd7-6204-4b9f-900a-65cc1eaa0ff5" TargetMode="External"/><Relationship Id="rId6" Type="http://schemas.openxmlformats.org/officeDocument/2006/relationships/hyperlink" Target="https://dnapainter.com/tools/sharedcmv4/8?fbclid=IwAR3wqfKWVRq1DI_x4i7OjYx5ayGhdwQu5Tj-9K3u_CVvBxgEWwX7fHipJPs" TargetMode="External"/><Relationship Id="rId5" Type="http://schemas.openxmlformats.org/officeDocument/2006/relationships/hyperlink" Target="https://www.ancestry.co.uk/family-tree/person/tree/163868056/person/342475272615/facts" TargetMode="External"/><Relationship Id="rId4" Type="http://schemas.openxmlformats.org/officeDocument/2006/relationships/hyperlink" Target="https://www.ancestry.co.uk/family-tree/person/tree/163868056/person/342475190151/facts" TargetMode="External"/></Relationships>
</file>

<file path=xl/worksheets/_rels/sheet4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ncestry.co.uk/family-tree/person/tree/163868056/person/342132993005/facts" TargetMode="External"/><Relationship Id="rId21" Type="http://schemas.openxmlformats.org/officeDocument/2006/relationships/hyperlink" Target="https://www.ancestry.co.uk/family-tree/person/tree/163868056/person/342132993005/facts" TargetMode="External"/><Relationship Id="rId42" Type="http://schemas.openxmlformats.org/officeDocument/2006/relationships/hyperlink" Target="https://www.ancestry.co.uk/family-tree/person/tree/163868056/person/342132996444/facts" TargetMode="External"/><Relationship Id="rId63" Type="http://schemas.openxmlformats.org/officeDocument/2006/relationships/hyperlink" Target="https://www.ancestry.co.uk/family-tree/tree/163868056/family?cfpid=342365032554" TargetMode="External"/><Relationship Id="rId84" Type="http://schemas.openxmlformats.org/officeDocument/2006/relationships/hyperlink" Target="https://dnapainter.com/tools/sharedcmv4/9?fbclid=IwAR3wqfKWVRq1DI_x4i7OjYx5ayGhdwQu5Tj-9K3u_CVvBxgEWwX7fHipJPs" TargetMode="External"/><Relationship Id="rId138" Type="http://schemas.openxmlformats.org/officeDocument/2006/relationships/hyperlink" Target="https://dnapainter.com/tools/sharedcmv4/16?fbclid=IwAR3wqfKWVRq1DI_x4i7OjYx5ayGhdwQu5Tj-9K3u_CVvBxgEWwX7fHipJPs" TargetMode="External"/><Relationship Id="rId159" Type="http://schemas.openxmlformats.org/officeDocument/2006/relationships/hyperlink" Target="https://www.ancestry.co.uk/family-tree/tree/163868056/family/pedigree?cfpid=342633596573" TargetMode="External"/><Relationship Id="rId107" Type="http://schemas.openxmlformats.org/officeDocument/2006/relationships/hyperlink" Target="https://dnapainter.com/tools/sharedcmv4/50?fbclid=IwAR3wqfKWVRq1DI_x4i7OjYx5ayGhdwQu5Tj-9K3u_CVvBxgEWwX7fHipJPs" TargetMode="External"/><Relationship Id="rId11" Type="http://schemas.openxmlformats.org/officeDocument/2006/relationships/hyperlink" Target="https://www.ancestry.co.uk/family-tree/person/tree/163868056/person/342132992970/facts" TargetMode="External"/><Relationship Id="rId32" Type="http://schemas.openxmlformats.org/officeDocument/2006/relationships/hyperlink" Target="https://www.ancestry.co.uk/family-tree/person/tree/163868056/person/342132993924/facts" TargetMode="External"/><Relationship Id="rId53" Type="http://schemas.openxmlformats.org/officeDocument/2006/relationships/hyperlink" Target="https://www.ancestry.co.uk/family-tree/tree/163868056/family?cfpid=342153446093" TargetMode="External"/><Relationship Id="rId74" Type="http://schemas.openxmlformats.org/officeDocument/2006/relationships/hyperlink" Target="https://www.ancestry.co.uk/discoveryui-matches/compare/8955CF51-8070-4A51-8674-B7F01B347AED/with/33CADA8F-36F1-4D7E-9676-4F96E72F7042" TargetMode="External"/><Relationship Id="rId128" Type="http://schemas.openxmlformats.org/officeDocument/2006/relationships/hyperlink" Target="https://www.ancestry.co.uk/family-tree/person/tree/163868056/person/342132992970/facts" TargetMode="External"/><Relationship Id="rId149" Type="http://schemas.openxmlformats.org/officeDocument/2006/relationships/hyperlink" Target="https://www.ancestry.co.uk/family-tree/tree/163868056/family/pedigree?cfpid=342633596495" TargetMode="External"/><Relationship Id="rId5" Type="http://schemas.openxmlformats.org/officeDocument/2006/relationships/hyperlink" Target="https://www.ancestry.co.uk/family-tree/person/tree/163868056/person/342132992964/facts" TargetMode="External"/><Relationship Id="rId95" Type="http://schemas.openxmlformats.org/officeDocument/2006/relationships/hyperlink" Target="https://dnapainter.com/tools/sharedcmv4/21?fbclid=IwAR3wqfKWVRq1DI_x4i7OjYx5ayGhdwQu5Tj-9K3u_CVvBxgEWwX7fHipJPs" TargetMode="External"/><Relationship Id="rId160" Type="http://schemas.openxmlformats.org/officeDocument/2006/relationships/printerSettings" Target="../printerSettings/printerSettings10.bin"/><Relationship Id="rId22" Type="http://schemas.openxmlformats.org/officeDocument/2006/relationships/hyperlink" Target="https://www.ancestry.co.uk/family-tree/person/tree/163868056/person/342132993005/facts" TargetMode="External"/><Relationship Id="rId43" Type="http://schemas.openxmlformats.org/officeDocument/2006/relationships/hyperlink" Target="https://www.ancestry.co.uk/family-tree/person/tree/163868056/person/342132996444/facts" TargetMode="External"/><Relationship Id="rId64" Type="http://schemas.openxmlformats.org/officeDocument/2006/relationships/hyperlink" Target="https://www.ancestry.co.uk/family-tree/tree/163868056/family?cfpid=342186435524" TargetMode="External"/><Relationship Id="rId118" Type="http://schemas.openxmlformats.org/officeDocument/2006/relationships/hyperlink" Target="https://www.ancestry.co.uk/discoveryui-matches/compare/8955CF51-8070-4A51-8674-B7F01B347AED/with/83876F35-0F60-411C-A7E1-C4ED890748A4" TargetMode="External"/><Relationship Id="rId139" Type="http://schemas.openxmlformats.org/officeDocument/2006/relationships/hyperlink" Target="https://www.ancestry.co.uk/family-tree/tree/163868056/family/pedigree?cfpid=342590474788" TargetMode="External"/><Relationship Id="rId80" Type="http://schemas.openxmlformats.org/officeDocument/2006/relationships/hyperlink" Target="https://www.ancestry.co.uk/discoveryui-matches/compare/8955CF51-8070-4A51-8674-B7F01B347AED/with/1D5AF6DF-61F1-488D-A70E-01D9D495281B" TargetMode="External"/><Relationship Id="rId85" Type="http://schemas.openxmlformats.org/officeDocument/2006/relationships/hyperlink" Target="https://dnapainter.com/tools/sharedcmv4/9?fbclid=IwAR3wqfKWVRq1DI_x4i7OjYx5ayGhdwQu5Tj-9K3u_CVvBxgEWwX7fHipJPs" TargetMode="External"/><Relationship Id="rId150" Type="http://schemas.openxmlformats.org/officeDocument/2006/relationships/hyperlink" Target="https://www.ancestry.co.uk/discoveryui-matches/compare/50a7c5ef-9e94-44be-a86a-5736956a97f2/with/c33a06bd-22ad-42f8-b029-e64e0d267516" TargetMode="External"/><Relationship Id="rId155" Type="http://schemas.openxmlformats.org/officeDocument/2006/relationships/hyperlink" Target="https://www.ancestry.co.uk/family-tree/person/tree/163868056/person/342132993005/facts" TargetMode="External"/><Relationship Id="rId12" Type="http://schemas.openxmlformats.org/officeDocument/2006/relationships/hyperlink" Target="https://www.ancestry.co.uk/family-tree/person/tree/163868056/person/342132992970/facts" TargetMode="External"/><Relationship Id="rId17" Type="http://schemas.openxmlformats.org/officeDocument/2006/relationships/hyperlink" Target="https://www.ancestry.co.uk/family-tree/person/tree/163868056/person/342132993004/facts" TargetMode="External"/><Relationship Id="rId33" Type="http://schemas.openxmlformats.org/officeDocument/2006/relationships/hyperlink" Target="https://www.ancestry.co.uk/family-tree/person/tree/163868056/person/342132993924/facts" TargetMode="External"/><Relationship Id="rId38" Type="http://schemas.openxmlformats.org/officeDocument/2006/relationships/hyperlink" Target="https://www.ancestry.co.uk/family-tree/person/tree/163868056/person/342132993924/facts" TargetMode="External"/><Relationship Id="rId59" Type="http://schemas.openxmlformats.org/officeDocument/2006/relationships/hyperlink" Target="https://www.ancestry.co.uk/family-tree/tree/163868056/family/pedigree?cfpid=342279433761" TargetMode="External"/><Relationship Id="rId103" Type="http://schemas.openxmlformats.org/officeDocument/2006/relationships/hyperlink" Target="https://dnapainter.com/tools/sharedcmv4/37?fbclid=IwAR3wqfKWVRq1DI_x4i7OjYx5ayGhdwQu5Tj-9K3u_CVvBxgEWwX7fHipJPs" TargetMode="External"/><Relationship Id="rId108" Type="http://schemas.openxmlformats.org/officeDocument/2006/relationships/hyperlink" Target="https://dnapainter.com/tools/sharedcmv4/102?fbclid=IwAR3wqfKWVRq1DI_x4i7OjYx5ayGhdwQu5Tj-9K3u_CVvBxgEWwX7fHipJPs" TargetMode="External"/><Relationship Id="rId124" Type="http://schemas.openxmlformats.org/officeDocument/2006/relationships/hyperlink" Target="https://dnapainter.com/tools/sharedcmv4/10?fbclid=IwAR3wqfKWVRq1DI_x4i7OjYx5ayGhdwQu5Tj-9K3u_CVvBxgEWwX7fHipJPs" TargetMode="External"/><Relationship Id="rId129" Type="http://schemas.openxmlformats.org/officeDocument/2006/relationships/hyperlink" Target="https://www.ancestry.co.uk/family-tree/person/tree/163868056/person/342132993004/facts" TargetMode="External"/><Relationship Id="rId54" Type="http://schemas.openxmlformats.org/officeDocument/2006/relationships/hyperlink" Target="https://www.ancestry.co.uk/family-tree/tree/163868056/family?cfpid=342279434189" TargetMode="External"/><Relationship Id="rId70" Type="http://schemas.openxmlformats.org/officeDocument/2006/relationships/hyperlink" Target="https://www.myheritage.com/dna/match/D-FCAECA02-7114-4F38-B398-0BCC0AEF0669-D-C263C5A8-43E2-4F9A-A127-60E4882EBD01/691113321?p=1&amp;ps=10&amp;search=thomas%20norton&amp;sort=total_shared_segments_length_in_cm&amp;memberId=704364871" TargetMode="External"/><Relationship Id="rId75" Type="http://schemas.openxmlformats.org/officeDocument/2006/relationships/hyperlink" Target="https://www.ancestry.co.uk/discoveryui-matches/compare/8955CF51-8070-4A51-8674-B7F01B347AED/with/B23E3950-DF8E-4C07-9624-08821DCD098B" TargetMode="External"/><Relationship Id="rId91" Type="http://schemas.openxmlformats.org/officeDocument/2006/relationships/hyperlink" Target="https://dnapainter.com/tools/sharedcmv4/15?fbclid=IwAR3wqfKWVRq1DI_x4i7OjYx5ayGhdwQu5Tj-9K3u_CVvBxgEWwX7fHipJPs" TargetMode="External"/><Relationship Id="rId96" Type="http://schemas.openxmlformats.org/officeDocument/2006/relationships/hyperlink" Target="https://dnapainter.com/tools/sharedcmv4/21?fbclid=IwAR3wqfKWVRq1DI_x4i7OjYx5ayGhdwQu5Tj-9K3u_CVvBxgEWwX7fHipJPs" TargetMode="External"/><Relationship Id="rId140" Type="http://schemas.openxmlformats.org/officeDocument/2006/relationships/hyperlink" Target="https://www.ancestry.co.uk/family-tree/person/tree/163868056/person/342132993923/facts" TargetMode="External"/><Relationship Id="rId145" Type="http://schemas.openxmlformats.org/officeDocument/2006/relationships/hyperlink" Target="https://www.ancestry.co.uk/family-tree/person/tree/163868056/person/342132992970/facts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www.ancestry.co.uk/family-tree/person/tree/163868056/person/342132992964/facts" TargetMode="External"/><Relationship Id="rId23" Type="http://schemas.openxmlformats.org/officeDocument/2006/relationships/hyperlink" Target="https://www.ancestry.co.uk/family-tree/person/tree/163868056/person/342132993923/facts" TargetMode="External"/><Relationship Id="rId28" Type="http://schemas.openxmlformats.org/officeDocument/2006/relationships/hyperlink" Target="https://www.ancestry.co.uk/family-tree/person/tree/163868056/person/342132993923/facts" TargetMode="External"/><Relationship Id="rId49" Type="http://schemas.openxmlformats.org/officeDocument/2006/relationships/hyperlink" Target="https://www.ancestry.co.uk/family-tree/tree/163868056/family?cfpid=342159622247" TargetMode="External"/><Relationship Id="rId114" Type="http://schemas.openxmlformats.org/officeDocument/2006/relationships/hyperlink" Target="https://dnapainter.com/tools/sharedcmv4/18?fbclid=IwAR3wqfKWVRq1DI_x4i7OjYx5ayGhdwQu5Tj-9K3u_CVvBxgEWwX7fHipJPs" TargetMode="External"/><Relationship Id="rId119" Type="http://schemas.openxmlformats.org/officeDocument/2006/relationships/hyperlink" Target="https://dnapainter.com/tools/sharedcmv4/19?fbclid=IwAR3wqfKWVRq1DI_x4i7OjYx5ayGhdwQu5Tj-9K3u_CVvBxgEWwX7fHipJPs" TargetMode="External"/><Relationship Id="rId44" Type="http://schemas.openxmlformats.org/officeDocument/2006/relationships/hyperlink" Target="https://www.ancestry.co.uk/family-tree/person/tree/163868056/person/342132996444/facts" TargetMode="External"/><Relationship Id="rId60" Type="http://schemas.openxmlformats.org/officeDocument/2006/relationships/hyperlink" Target="https://www.ancestry.co.uk/discoveryui-matches/compare/50a7c5ef-9e94-44be-a86a-5736956a97f2/with/3af5b093-b919-47f5-a729-a7c9b03904bf" TargetMode="External"/><Relationship Id="rId65" Type="http://schemas.openxmlformats.org/officeDocument/2006/relationships/hyperlink" Target="https://www.ancestry.co.uk/discoveryui-matches/compare/50a7c5ef-9e94-44be-a86a-5736956a97f2/with/787c1e26-4cc7-4d61-8789-10f9b4477d38" TargetMode="External"/><Relationship Id="rId81" Type="http://schemas.openxmlformats.org/officeDocument/2006/relationships/hyperlink" Target="https://dnapainter.com/tools/sharedcmv4/14?fbclid=IwAR3wqfKWVRq1DI_x4i7OjYx5ayGhdwQu5Tj-9K3u_CVvBxgEWwX7fHipJPs" TargetMode="External"/><Relationship Id="rId86" Type="http://schemas.openxmlformats.org/officeDocument/2006/relationships/hyperlink" Target="https://dnapainter.com/tools/sharedcmv4/10?fbclid=IwAR3wqfKWVRq1DI_x4i7OjYx5ayGhdwQu5Tj-9K3u_CVvBxgEWwX7fHipJPs" TargetMode="External"/><Relationship Id="rId130" Type="http://schemas.openxmlformats.org/officeDocument/2006/relationships/hyperlink" Target="https://www.ancestry.co.uk/family-tree/person/tree/163868056/person/342132993005/facts" TargetMode="External"/><Relationship Id="rId135" Type="http://schemas.openxmlformats.org/officeDocument/2006/relationships/hyperlink" Target="https://www.ancestry.co.uk/family-tree/person/tree/163868056/person/342132996371/facts" TargetMode="External"/><Relationship Id="rId151" Type="http://schemas.openxmlformats.org/officeDocument/2006/relationships/hyperlink" Target="https://dnapainter.com/tools/sharedcmv4/26?fbclid=IwAR3wqfKWVRq1DI_x4i7OjYx5ayGhdwQu5Tj-9K3u_CVvBxgEWwX7fHipJPs" TargetMode="External"/><Relationship Id="rId156" Type="http://schemas.openxmlformats.org/officeDocument/2006/relationships/hyperlink" Target="https://www.ancestry.co.uk/discoveryui-matches/compare/50a7c5ef-9e94-44be-a86a-5736956a97f2/with/c33a06bd-22ad-42f8-b029-e64e0d267516" TargetMode="External"/><Relationship Id="rId13" Type="http://schemas.openxmlformats.org/officeDocument/2006/relationships/hyperlink" Target="https://www.ancestry.co.uk/family-tree/person/tree/163868056/person/342132992970/facts" TargetMode="External"/><Relationship Id="rId18" Type="http://schemas.openxmlformats.org/officeDocument/2006/relationships/hyperlink" Target="https://www.ancestry.co.uk/family-tree/person/tree/163868056/person/342132993004/facts" TargetMode="External"/><Relationship Id="rId39" Type="http://schemas.openxmlformats.org/officeDocument/2006/relationships/hyperlink" Target="https://www.ancestry.co.uk/family-tree/person/tree/163868056/person/342132996419/facts" TargetMode="External"/><Relationship Id="rId109" Type="http://schemas.openxmlformats.org/officeDocument/2006/relationships/hyperlink" Target="https://www.ancestry.co.uk/family-tree/person/tree/163868056/person/342132992970/facts" TargetMode="External"/><Relationship Id="rId34" Type="http://schemas.openxmlformats.org/officeDocument/2006/relationships/hyperlink" Target="https://www.ancestry.co.uk/family-tree/person/tree/163868056/person/342132993924/facts" TargetMode="External"/><Relationship Id="rId50" Type="http://schemas.openxmlformats.org/officeDocument/2006/relationships/hyperlink" Target="https://www.ancestry.co.uk/family-tree/tree/163868056/family?cfpid=342226657673" TargetMode="External"/><Relationship Id="rId55" Type="http://schemas.openxmlformats.org/officeDocument/2006/relationships/hyperlink" Target="https://www.ancestry.co.uk/family-tree/tree/163868056/family?cfpid=342406813442" TargetMode="External"/><Relationship Id="rId76" Type="http://schemas.openxmlformats.org/officeDocument/2006/relationships/hyperlink" Target="https://www.ancestry.co.uk/family-tree/person/tree/163868056/person/342132992970/facts" TargetMode="External"/><Relationship Id="rId97" Type="http://schemas.openxmlformats.org/officeDocument/2006/relationships/hyperlink" Target="https://dnapainter.com/tools/sharedcmv4/21?fbclid=IwAR3wqfKWVRq1DI_x4i7OjYx5ayGhdwQu5Tj-9K3u_CVvBxgEWwX7fHipJPs" TargetMode="External"/><Relationship Id="rId104" Type="http://schemas.openxmlformats.org/officeDocument/2006/relationships/hyperlink" Target="https://dnapainter.com/tools/sharedcmv4/59?fbclid=IwAR3wqfKWVRq1DI_x4i7OjYx5ayGhdwQu5Tj-9K3u_CVvBxgEWwX7fHipJPs" TargetMode="External"/><Relationship Id="rId120" Type="http://schemas.openxmlformats.org/officeDocument/2006/relationships/hyperlink" Target="https://dnapainter.com/tools/sharedcmv4/13?fbclid=IwAR3wqfKWVRq1DI_x4i7OjYx5ayGhdwQu5Tj-9K3u_CVvBxgEWwX7fHipJPs" TargetMode="External"/><Relationship Id="rId125" Type="http://schemas.openxmlformats.org/officeDocument/2006/relationships/hyperlink" Target="https://www.ancestry.co.uk/discoveryui-matches/compare/8955CF51-8070-4A51-8674-B7F01B347AED/with/51C1A483-358D-44E4-9B2A-B872F7DDA168" TargetMode="External"/><Relationship Id="rId141" Type="http://schemas.openxmlformats.org/officeDocument/2006/relationships/hyperlink" Target="https://www.ancestry.co.uk/family-tree/person/tree/163868056/person/342132993924/facts" TargetMode="External"/><Relationship Id="rId146" Type="http://schemas.openxmlformats.org/officeDocument/2006/relationships/hyperlink" Target="https://www.ancestry.co.uk/family-tree/person/tree/163868056/person/342132992964/facts" TargetMode="External"/><Relationship Id="rId7" Type="http://schemas.openxmlformats.org/officeDocument/2006/relationships/hyperlink" Target="https://www.ancestry.co.uk/family-tree/person/tree/163868056/person/342132992964/facts" TargetMode="External"/><Relationship Id="rId71" Type="http://schemas.openxmlformats.org/officeDocument/2006/relationships/hyperlink" Target="https://www.ancestry.co.uk/discoveryui-matches/compare/50A7C5EF-9E94-44BE-A86A-5736956A97F2/with/9CED78C6-9A69-4523-B6C4-6C8FC83E2DAA" TargetMode="External"/><Relationship Id="rId92" Type="http://schemas.openxmlformats.org/officeDocument/2006/relationships/hyperlink" Target="https://dnapainter.com/tools/sharedcmv4/15?fbclid=IwAR3wqfKWVRq1DI_x4i7OjYx5ayGhdwQu5Tj-9K3u_CVvBxgEWwX7fHipJPs" TargetMode="External"/><Relationship Id="rId2" Type="http://schemas.openxmlformats.org/officeDocument/2006/relationships/hyperlink" Target="https://www.ancestry.co.uk/family-tree/person/tree/163868056/person/342132992964/facts" TargetMode="External"/><Relationship Id="rId29" Type="http://schemas.openxmlformats.org/officeDocument/2006/relationships/hyperlink" Target="https://www.ancestry.co.uk/family-tree/person/tree/163868056/person/342132993923/facts" TargetMode="External"/><Relationship Id="rId24" Type="http://schemas.openxmlformats.org/officeDocument/2006/relationships/hyperlink" Target="https://www.ancestry.co.uk/family-tree/person/tree/163868056/person/342132993923/facts" TargetMode="External"/><Relationship Id="rId40" Type="http://schemas.openxmlformats.org/officeDocument/2006/relationships/hyperlink" Target="https://www.ancestry.co.uk/family-tree/person/tree/163868056/person/342132996419/facts" TargetMode="External"/><Relationship Id="rId45" Type="http://schemas.openxmlformats.org/officeDocument/2006/relationships/hyperlink" Target="https://www.ancestry.co.uk/family-tree/person/tree/163868056/person/342132996371/facts" TargetMode="External"/><Relationship Id="rId66" Type="http://schemas.openxmlformats.org/officeDocument/2006/relationships/hyperlink" Target="https://www.ancestry.co.uk/family-tree/tree/163868056/family?cfpid=342268577100" TargetMode="External"/><Relationship Id="rId87" Type="http://schemas.openxmlformats.org/officeDocument/2006/relationships/hyperlink" Target="https://dnapainter.com/tools/sharedcmv4/10?fbclid=IwAR3wqfKWVRq1DI_x4i7OjYx5ayGhdwQu5Tj-9K3u_CVvBxgEWwX7fHipJPs" TargetMode="External"/><Relationship Id="rId110" Type="http://schemas.openxmlformats.org/officeDocument/2006/relationships/hyperlink" Target="https://www.ancestry.co.uk/family-tree/person/tree/163868056/person/342132996371/facts" TargetMode="External"/><Relationship Id="rId115" Type="http://schemas.openxmlformats.org/officeDocument/2006/relationships/hyperlink" Target="https://www.ancestry.co.uk/family-tree/person/tree/163868056/person/342132992970/facts" TargetMode="External"/><Relationship Id="rId131" Type="http://schemas.openxmlformats.org/officeDocument/2006/relationships/hyperlink" Target="https://www.ancestry.co.uk/discoveryui-matches/compare/8955cf51-8070-4a51-8674-b7f01b347aed/with/7f9492a0-5ada-458a-bcd9-35626e18a6c8" TargetMode="External"/><Relationship Id="rId136" Type="http://schemas.openxmlformats.org/officeDocument/2006/relationships/hyperlink" Target="https://www.ancestry.co.uk/family-tree/person/tree/163868056/person/342132996412/facts" TargetMode="External"/><Relationship Id="rId157" Type="http://schemas.openxmlformats.org/officeDocument/2006/relationships/hyperlink" Target="https://dnapainter.com/tools/sharedcmv4/23?fbclid=IwAR3wqfKWVRq1DI_x4i7OjYx5ayGhdwQu5Tj-9K3u_CVvBxgEWwX7fHipJPs" TargetMode="External"/><Relationship Id="rId61" Type="http://schemas.openxmlformats.org/officeDocument/2006/relationships/hyperlink" Target="https://www.ancestry.co.uk/family-tree/tree/163868056/family?cfpid=342268586689" TargetMode="External"/><Relationship Id="rId82" Type="http://schemas.openxmlformats.org/officeDocument/2006/relationships/hyperlink" Target="https://dnapainter.com/tools/sharedcmv4/14?fbclid=IwAR3wqfKWVRq1DI_x4i7OjYx5ayGhdwQu5Tj-9K3u_CVvBxgEWwX7fHipJPs" TargetMode="External"/><Relationship Id="rId152" Type="http://schemas.openxmlformats.org/officeDocument/2006/relationships/hyperlink" Target="https://dnapainter.com/tools/sharedcmv4/38?fbclid=IwAR3wqfKWVRq1DI_x4i7OjYx5ayGhdwQu5Tj-9K3u_CVvBxgEWwX7fHipJPs" TargetMode="External"/><Relationship Id="rId19" Type="http://schemas.openxmlformats.org/officeDocument/2006/relationships/hyperlink" Target="https://www.ancestry.co.uk/family-tree/person/tree/163868056/person/342132993004/facts" TargetMode="External"/><Relationship Id="rId14" Type="http://schemas.openxmlformats.org/officeDocument/2006/relationships/hyperlink" Target="https://www.ancestry.co.uk/family-tree/person/tree/163868056/person/342132992970/facts" TargetMode="External"/><Relationship Id="rId30" Type="http://schemas.openxmlformats.org/officeDocument/2006/relationships/hyperlink" Target="https://www.ancestry.co.uk/family-tree/person/tree/163868056/person/342132993923/facts" TargetMode="External"/><Relationship Id="rId35" Type="http://schemas.openxmlformats.org/officeDocument/2006/relationships/hyperlink" Target="https://www.ancestry.co.uk/family-tree/person/tree/163868056/person/342132993924/facts" TargetMode="External"/><Relationship Id="rId56" Type="http://schemas.openxmlformats.org/officeDocument/2006/relationships/hyperlink" Target="https://www.ancestry.co.uk/family-tree/tree/163868056/family?cfpid=342153445901" TargetMode="External"/><Relationship Id="rId77" Type="http://schemas.openxmlformats.org/officeDocument/2006/relationships/hyperlink" Target="https://www.ancestry.co.uk/family-tree/person/tree/163868056/person/342132993923/facts" TargetMode="External"/><Relationship Id="rId100" Type="http://schemas.openxmlformats.org/officeDocument/2006/relationships/hyperlink" Target="https://dnapainter.com/tools/sharedcmv4/34?fbclid=IwAR3wqfKWVRq1DI_x4i7OjYx5ayGhdwQu5Tj-9K3u_CVvBxgEWwX7fHipJPs" TargetMode="External"/><Relationship Id="rId105" Type="http://schemas.openxmlformats.org/officeDocument/2006/relationships/hyperlink" Target="https://dnapainter.com/tools/sharedcmv4/35?fbclid=IwAR3wqfKWVRq1DI_x4i7OjYx5ayGhdwQu5Tj-9K3u_CVvBxgEWwX7fHipJPs" TargetMode="External"/><Relationship Id="rId126" Type="http://schemas.openxmlformats.org/officeDocument/2006/relationships/hyperlink" Target="https://www.ancestry.co.uk/family-tree/tree/163868056/family/pedigree?cfpid=342555185516" TargetMode="External"/><Relationship Id="rId147" Type="http://schemas.openxmlformats.org/officeDocument/2006/relationships/hyperlink" Target="https://www.ancestry.co.uk/family-tree/person/tree/163868056/person/342132993004/facts" TargetMode="External"/><Relationship Id="rId8" Type="http://schemas.openxmlformats.org/officeDocument/2006/relationships/hyperlink" Target="https://www.ancestry.co.uk/family-tree/person/tree/163868056/person/342132992964/facts" TargetMode="External"/><Relationship Id="rId51" Type="http://schemas.openxmlformats.org/officeDocument/2006/relationships/hyperlink" Target="https://www.ancestry.co.uk/family-tree/tree/163868056/family?cfpid=342226658799" TargetMode="External"/><Relationship Id="rId72" Type="http://schemas.openxmlformats.org/officeDocument/2006/relationships/hyperlink" Target="https://www.ancestry.co.uk/discoveryui-matches/compare/50A7C5EF-9E94-44BE-A86A-5736956A97F2/with/06D8FDCB-656F-4419-95EA-586231044782" TargetMode="External"/><Relationship Id="rId93" Type="http://schemas.openxmlformats.org/officeDocument/2006/relationships/hyperlink" Target="https://dnapainter.com/tools/sharedcmv4/16?fbclid=IwAR3wqfKWVRq1DI_x4i7OjYx5ayGhdwQu5Tj-9K3u_CVvBxgEWwX7fHipJPs" TargetMode="External"/><Relationship Id="rId98" Type="http://schemas.openxmlformats.org/officeDocument/2006/relationships/hyperlink" Target="https://dnapainter.com/tools/sharedcmv4/17?fbclid=IwAR3wqfKWVRq1DI_x4i7OjYx5ayGhdwQu5Tj-9K3u_CVvBxgEWwX7fHipJPs" TargetMode="External"/><Relationship Id="rId121" Type="http://schemas.openxmlformats.org/officeDocument/2006/relationships/hyperlink" Target="https://www.ancestry.co.uk/family-tree/person/tree/163868056/person/342132992964/facts" TargetMode="External"/><Relationship Id="rId142" Type="http://schemas.openxmlformats.org/officeDocument/2006/relationships/hyperlink" Target="https://www.myheritage.com/dna/match/D-F9099B9B-87A1-4274-827C-AF35BD245736-D-E29E0B56-33F2-439B-A581-E52B3F1C16BB/691113321?p=1&amp;ps=10&amp;search=carrie&amp;sort=creation_time&amp;filter_by_labels=favorite&amp;memberId=704364871&amp;index=0" TargetMode="External"/><Relationship Id="rId3" Type="http://schemas.openxmlformats.org/officeDocument/2006/relationships/hyperlink" Target="https://www.ancestry.co.uk/family-tree/person/tree/163868056/person/342132992964/facts" TargetMode="External"/><Relationship Id="rId25" Type="http://schemas.openxmlformats.org/officeDocument/2006/relationships/hyperlink" Target="https://www.ancestry.co.uk/family-tree/person/tree/163868056/person/342132993923/facts" TargetMode="External"/><Relationship Id="rId46" Type="http://schemas.openxmlformats.org/officeDocument/2006/relationships/hyperlink" Target="https://www.ancestry.co.uk/family-tree/person/tree/163868056/person/342132996371/facts" TargetMode="External"/><Relationship Id="rId67" Type="http://schemas.openxmlformats.org/officeDocument/2006/relationships/hyperlink" Target="https://tree.familytreedna.com/family-tree/pedigree-view?sharedView=ad680da4-fdc3-4fcf-88c4-6b715b37a075" TargetMode="External"/><Relationship Id="rId116" Type="http://schemas.openxmlformats.org/officeDocument/2006/relationships/hyperlink" Target="https://www.ancestry.co.uk/family-tree/person/tree/163868056/person/342132993004/facts" TargetMode="External"/><Relationship Id="rId137" Type="http://schemas.openxmlformats.org/officeDocument/2006/relationships/hyperlink" Target="https://www.ancestry.co.uk/discoveryui-matches/compare/8955cf51-8070-4a51-8674-b7f01b347aed/with/95497849-4b5c-42e9-9487-7f21da4995f8" TargetMode="External"/><Relationship Id="rId158" Type="http://schemas.openxmlformats.org/officeDocument/2006/relationships/hyperlink" Target="https://dnapainter.com/tools/sharedcmv4/38?fbclid=IwAR3wqfKWVRq1DI_x4i7OjYx5ayGhdwQu5Tj-9K3u_CVvBxgEWwX7fHipJPs" TargetMode="External"/><Relationship Id="rId20" Type="http://schemas.openxmlformats.org/officeDocument/2006/relationships/hyperlink" Target="https://www.ancestry.co.uk/family-tree/person/tree/163868056/person/342132993005/facts" TargetMode="External"/><Relationship Id="rId41" Type="http://schemas.openxmlformats.org/officeDocument/2006/relationships/hyperlink" Target="https://www.ancestry.co.uk/family-tree/person/tree/163868056/person/342132996419/facts" TargetMode="External"/><Relationship Id="rId62" Type="http://schemas.openxmlformats.org/officeDocument/2006/relationships/hyperlink" Target="https://www.ancestry.co.uk/family-tree/tree/163868056/family?cfpid=342425810635" TargetMode="External"/><Relationship Id="rId83" Type="http://schemas.openxmlformats.org/officeDocument/2006/relationships/hyperlink" Target="https://dnapainter.com/tools/sharedcmv4/8?fbclid=IwAR3wqfKWVRq1DI_x4i7OjYx5ayGhdwQu5Tj-9K3u_CVvBxgEWwX7fHipJPs" TargetMode="External"/><Relationship Id="rId88" Type="http://schemas.openxmlformats.org/officeDocument/2006/relationships/hyperlink" Target="https://dnapainter.com/tools/sharedcmv4/11?fbclid=IwAR3wqfKWVRq1DI_x4i7OjYx5ayGhdwQu5Tj-9K3u_CVvBxgEWwX7fHipJPs" TargetMode="External"/><Relationship Id="rId111" Type="http://schemas.openxmlformats.org/officeDocument/2006/relationships/hyperlink" Target="https://www.ancestry.co.uk/family-tree/person/tree/163868056/person/342132996412/facts" TargetMode="External"/><Relationship Id="rId132" Type="http://schemas.openxmlformats.org/officeDocument/2006/relationships/hyperlink" Target="https://dnapainter.com/tools/sharedcmv4/18?fbclid=IwAR3wqfKWVRq1DI_x4i7OjYx5ayGhdwQu5Tj-9K3u_CVvBxgEWwX7fHipJPs" TargetMode="External"/><Relationship Id="rId153" Type="http://schemas.openxmlformats.org/officeDocument/2006/relationships/hyperlink" Target="https://www.ancestry.co.uk/family-tree/person/tree/163868056/person/342132992964/facts" TargetMode="External"/><Relationship Id="rId15" Type="http://schemas.openxmlformats.org/officeDocument/2006/relationships/hyperlink" Target="https://www.ancestry.co.uk/family-tree/person/tree/163868056/person/342132992970/facts" TargetMode="External"/><Relationship Id="rId36" Type="http://schemas.openxmlformats.org/officeDocument/2006/relationships/hyperlink" Target="https://www.ancestry.co.uk/family-tree/person/tree/163868056/person/342132993924/facts" TargetMode="External"/><Relationship Id="rId57" Type="http://schemas.openxmlformats.org/officeDocument/2006/relationships/hyperlink" Target="https://www.ancestry.co.uk/discoveryui-matches/compare/50A7C5EF-9E94-44BE-A86A-5736956A97F2/with/5531ECEC-BE72-4D0F-BFD8-26A7DC1291D2" TargetMode="External"/><Relationship Id="rId106" Type="http://schemas.openxmlformats.org/officeDocument/2006/relationships/hyperlink" Target="https://dnapainter.com/tools/sharedcmv4/59.4?fbclid=IwAR3wqfKWVRq1DI_x4i7OjYx5ayGhdwQu5Tj-9K3u_CVvBxgEWwX7fHipJPs" TargetMode="External"/><Relationship Id="rId127" Type="http://schemas.openxmlformats.org/officeDocument/2006/relationships/hyperlink" Target="https://www.ancestry.co.uk/family-tree/tree/163868056/family?cfpid=342555185499" TargetMode="External"/><Relationship Id="rId10" Type="http://schemas.openxmlformats.org/officeDocument/2006/relationships/hyperlink" Target="https://www.ancestry.co.uk/family-tree/person/tree/163868056/person/342132992970/facts" TargetMode="External"/><Relationship Id="rId31" Type="http://schemas.openxmlformats.org/officeDocument/2006/relationships/hyperlink" Target="https://www.ancestry.co.uk/family-tree/person/tree/163868056/person/342132993924/facts" TargetMode="External"/><Relationship Id="rId52" Type="http://schemas.openxmlformats.org/officeDocument/2006/relationships/hyperlink" Target="https://www.ancestry.co.uk/family-tree/tree/163868056/family?cfpid=342226485058" TargetMode="External"/><Relationship Id="rId73" Type="http://schemas.openxmlformats.org/officeDocument/2006/relationships/hyperlink" Target="https://www.ancestry.co.uk/discoveryui-matches/compare/8955CF51-8070-4A51-8674-B7F01B347AED/with/4EC7346A-4CA3-410F-8B3E-2B5E566A419E" TargetMode="External"/><Relationship Id="rId78" Type="http://schemas.openxmlformats.org/officeDocument/2006/relationships/hyperlink" Target="https://www.ancestry.co.uk/family-tree/person/tree/163868056/person/342132993924/facts" TargetMode="External"/><Relationship Id="rId94" Type="http://schemas.openxmlformats.org/officeDocument/2006/relationships/hyperlink" Target="https://dnapainter.com/tools/sharedcmv4/14?fbclid=IwAR3wqfKWVRq1DI_x4i7OjYx5ayGhdwQu5Tj-9K3u_CVvBxgEWwX7fHipJPs" TargetMode="External"/><Relationship Id="rId99" Type="http://schemas.openxmlformats.org/officeDocument/2006/relationships/hyperlink" Target="https://dnapainter.com/tools/sharedcmv4/34?fbclid=IwAR3wqfKWVRq1DI_x4i7OjYx5ayGhdwQu5Tj-9K3u_CVvBxgEWwX7fHipJPs" TargetMode="External"/><Relationship Id="rId101" Type="http://schemas.openxmlformats.org/officeDocument/2006/relationships/hyperlink" Target="https://dnapainter.com/tools/sharedcmv4/28?fbclid=IwAR3wqfKWVRq1DI_x4i7OjYx5ayGhdwQu5Tj-9K3u_CVvBxgEWwX7fHipJPs" TargetMode="External"/><Relationship Id="rId122" Type="http://schemas.openxmlformats.org/officeDocument/2006/relationships/hyperlink" Target="https://www.ancestry.co.uk/family-tree/person/tree/163868056/person/342132993004/facts" TargetMode="External"/><Relationship Id="rId143" Type="http://schemas.openxmlformats.org/officeDocument/2006/relationships/hyperlink" Target="https://dnapainter.com/tools/sharedcmv4/21?fbclid=IwAR3wqfKWVRq1DI_x4i7OjYx5ayGhdwQu5Tj-9K3u_CVvBxgEWwX7fHipJPs" TargetMode="External"/><Relationship Id="rId148" Type="http://schemas.openxmlformats.org/officeDocument/2006/relationships/hyperlink" Target="https://www.ancestry.co.uk/family-tree/person/tree/163868056/person/342132993005/facts" TargetMode="External"/><Relationship Id="rId4" Type="http://schemas.openxmlformats.org/officeDocument/2006/relationships/hyperlink" Target="https://www.ancestry.co.uk/family-tree/person/tree/163868056/person/342132992964/facts" TargetMode="External"/><Relationship Id="rId9" Type="http://schemas.openxmlformats.org/officeDocument/2006/relationships/hyperlink" Target="https://www.ancestry.co.uk/family-tree/person/tree/163868056/person/342132992964/facts" TargetMode="External"/><Relationship Id="rId26" Type="http://schemas.openxmlformats.org/officeDocument/2006/relationships/hyperlink" Target="https://www.ancestry.co.uk/family-tree/person/tree/163868056/person/342132993923/facts" TargetMode="External"/><Relationship Id="rId47" Type="http://schemas.openxmlformats.org/officeDocument/2006/relationships/hyperlink" Target="https://www.ancestry.co.uk/family-tree/person/tree/163868056/person/342132996412/facts" TargetMode="External"/><Relationship Id="rId68" Type="http://schemas.openxmlformats.org/officeDocument/2006/relationships/hyperlink" Target="https://www.myheritage.com/dna/match/D-F9099B9B-87A1-4274-827C-AF35BD245736-D-2DC90928-36FB-481B-BDA1-3484E52A99DB/691113321?p=1&amp;ps=10&amp;search=norah&amp;sort=total_shared_segments_length_in_cm&amp;memberId=704364871" TargetMode="External"/><Relationship Id="rId89" Type="http://schemas.openxmlformats.org/officeDocument/2006/relationships/hyperlink" Target="https://dnapainter.com/tools/sharedcmv4/12?fbclid=IwAR3wqfKWVRq1DI_x4i7OjYx5ayGhdwQu5Tj-9K3u_CVvBxgEWwX7fHipJPs" TargetMode="External"/><Relationship Id="rId112" Type="http://schemas.openxmlformats.org/officeDocument/2006/relationships/hyperlink" Target="https://www.ancestry.co.uk/family-tree/tree/163868056/family/pedigree?cfpid=342482310898" TargetMode="External"/><Relationship Id="rId133" Type="http://schemas.openxmlformats.org/officeDocument/2006/relationships/hyperlink" Target="https://www.ancestry.co.uk/family-tree/tree/163868056/family/pedigree?cfpid=342592989470" TargetMode="External"/><Relationship Id="rId154" Type="http://schemas.openxmlformats.org/officeDocument/2006/relationships/hyperlink" Target="https://www.ancestry.co.uk/family-tree/person/tree/163868056/person/342132993004/facts" TargetMode="External"/><Relationship Id="rId16" Type="http://schemas.openxmlformats.org/officeDocument/2006/relationships/hyperlink" Target="https://www.ancestry.co.uk/family-tree/person/tree/163868056/person/342132992970/facts" TargetMode="External"/><Relationship Id="rId37" Type="http://schemas.openxmlformats.org/officeDocument/2006/relationships/hyperlink" Target="https://www.ancestry.co.uk/family-tree/person/tree/163868056/person/342132993924/facts" TargetMode="External"/><Relationship Id="rId58" Type="http://schemas.openxmlformats.org/officeDocument/2006/relationships/hyperlink" Target="https://www.ancestry.co.uk/family-tree/tree/163868056/family/pedigree?cfpid=342472780326" TargetMode="External"/><Relationship Id="rId79" Type="http://schemas.openxmlformats.org/officeDocument/2006/relationships/hyperlink" Target="https://www.ancestry.co.uk/family-tree/tree/163868056/family?cfpid=342476394590" TargetMode="External"/><Relationship Id="rId102" Type="http://schemas.openxmlformats.org/officeDocument/2006/relationships/hyperlink" Target="https://dnapainter.com/tools/sharedcmv4/34.6?fbclid=IwAR3wqfKWVRq1DI_x4i7OjYx5ayGhdwQu5Tj-9K3u_CVvBxgEWwX7fHipJPs" TargetMode="External"/><Relationship Id="rId123" Type="http://schemas.openxmlformats.org/officeDocument/2006/relationships/hyperlink" Target="https://www.ancestry.co.uk/family-tree/person/tree/163868056/person/342132993005/facts" TargetMode="External"/><Relationship Id="rId144" Type="http://schemas.openxmlformats.org/officeDocument/2006/relationships/hyperlink" Target="https://www.ancestry.co.uk/family-tree/tree/163868056/family?cfpid=342621206143" TargetMode="External"/><Relationship Id="rId90" Type="http://schemas.openxmlformats.org/officeDocument/2006/relationships/hyperlink" Target="https://dnapainter.com/tools/sharedcmv4/15?fbclid=IwAR3wqfKWVRq1DI_x4i7OjYx5ayGhdwQu5Tj-9K3u_CVvBxgEWwX7fHipJPs" TargetMode="External"/><Relationship Id="rId27" Type="http://schemas.openxmlformats.org/officeDocument/2006/relationships/hyperlink" Target="https://www.ancestry.co.uk/family-tree/person/tree/163868056/person/342132993923/facts" TargetMode="External"/><Relationship Id="rId48" Type="http://schemas.openxmlformats.org/officeDocument/2006/relationships/hyperlink" Target="https://www.ancestry.co.uk/family-tree/person/tree/163868056/person/342132996412/facts" TargetMode="External"/><Relationship Id="rId69" Type="http://schemas.openxmlformats.org/officeDocument/2006/relationships/hyperlink" Target="https://www.myheritage.com/dna/match/D-F9099B9B-87A1-4274-827C-AF35BD245736-D-203E8B3E-1D02-4FE4-A660-72088489FD6C/691113321?p=1&amp;ps=10&amp;search=ruane&amp;sort=total_shared_segments_length_in_cm&amp;memberId=704364871" TargetMode="External"/><Relationship Id="rId113" Type="http://schemas.openxmlformats.org/officeDocument/2006/relationships/hyperlink" Target="https://www.ancestry.co.uk/discoveryui-matches/compare/8955cf51-8070-4a51-8674-b7f01b347aed/with/d66be211-3311-40e8-a33d-ca84be12e007" TargetMode="External"/><Relationship Id="rId134" Type="http://schemas.openxmlformats.org/officeDocument/2006/relationships/hyperlink" Target="https://www.ancestry.co.uk/family-tree/person/tree/163868056/person/342132992970/facts" TargetMode="External"/></Relationships>
</file>

<file path=xl/worksheets/_rels/sheet4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ncestry.co.uk/family-tree/person/tree/163868056/person/342132998051/facts" TargetMode="External"/><Relationship Id="rId21" Type="http://schemas.openxmlformats.org/officeDocument/2006/relationships/hyperlink" Target="https://www.ancestry.co.uk/family-tree/person/tree/163868056/person/342132998051/facts" TargetMode="External"/><Relationship Id="rId42" Type="http://schemas.openxmlformats.org/officeDocument/2006/relationships/hyperlink" Target="https://www.ancestry.co.uk/family-tree/tree/163868056/family?cfpid=342344607406" TargetMode="External"/><Relationship Id="rId47" Type="http://schemas.openxmlformats.org/officeDocument/2006/relationships/hyperlink" Target="https://www.myheritage.com/dna/match/D-FCAECA02-7114-4F38-B398-0BCC0AEF0669-D-A79085CC-0B9D-44E4-9D59-B6B68FD013ED/691113321?p=1&amp;ps=10&amp;search=paul%20loveday&amp;sort=total_shared_segments_length_in_cm&amp;memberId=704364871" TargetMode="External"/><Relationship Id="rId63" Type="http://schemas.openxmlformats.org/officeDocument/2006/relationships/hyperlink" Target="https://dnapainter.com/tools/sharedcmv4/18?fbclid=IwAR3wqfKWVRq1DI_x4i7OjYx5ayGhdwQu5Tj-9K3u_CVvBxgEWwX7fHipJPs" TargetMode="External"/><Relationship Id="rId68" Type="http://schemas.openxmlformats.org/officeDocument/2006/relationships/hyperlink" Target="https://dnapainter.com/tools/sharedcmv4/28.6?fbclid=IwAR3wqfKWVRq1DI_x4i7OjYx5ayGhdwQu5Tj-9K3u_CVvBxgEWwX7fHipJPs" TargetMode="External"/><Relationship Id="rId84" Type="http://schemas.openxmlformats.org/officeDocument/2006/relationships/hyperlink" Target="https://d.docs.live.net/D32613E9A4B09111/Documents/v" TargetMode="External"/><Relationship Id="rId89" Type="http://schemas.openxmlformats.org/officeDocument/2006/relationships/hyperlink" Target="https://www.ancestry.co.uk/family-tree/person/tree/163868056/person/342132998057/facts" TargetMode="External"/><Relationship Id="rId16" Type="http://schemas.openxmlformats.org/officeDocument/2006/relationships/hyperlink" Target="https://www.ancestry.co.uk/family-tree/person/tree/163868056/person/342132998050/facts" TargetMode="External"/><Relationship Id="rId11" Type="http://schemas.openxmlformats.org/officeDocument/2006/relationships/hyperlink" Target="https://www.ancestry.co.uk/family-tree/person/tree/163868056/person/342132992970/facts" TargetMode="External"/><Relationship Id="rId32" Type="http://schemas.openxmlformats.org/officeDocument/2006/relationships/hyperlink" Target="https://www.ancestry.co.uk/family-tree/person/tree/163868056/person/342132998057/facts" TargetMode="External"/><Relationship Id="rId37" Type="http://schemas.openxmlformats.org/officeDocument/2006/relationships/hyperlink" Target="https://www.ancestry.co.uk/discoveryui-matches/compare/50a7c5ef-9e94-44be-a86a-5736956a97f2/with/c30a5afa-d262-45d2-a113-6601b66a297b" TargetMode="External"/><Relationship Id="rId53" Type="http://schemas.openxmlformats.org/officeDocument/2006/relationships/hyperlink" Target="https://www.ancestry.co.uk/discoveryui-matches/compare/50A7C5EF-9E94-44BE-A86A-5736956A97F2/with/45CD15CE-B9C3-4A00-818F-92BF08597297" TargetMode="External"/><Relationship Id="rId58" Type="http://schemas.openxmlformats.org/officeDocument/2006/relationships/hyperlink" Target="https://dnapainter.com/tools/sharedcmv4/14?fbclid=IwAR3wqfKWVRq1DI_x4i7OjYx5ayGhdwQu5Tj-9K3u_CVvBxgEWwX7fHipJPs" TargetMode="External"/><Relationship Id="rId74" Type="http://schemas.openxmlformats.org/officeDocument/2006/relationships/hyperlink" Target="https://www.ancestry.co.uk/family-tree/person/tree/163868056/person/342132992964/facts" TargetMode="External"/><Relationship Id="rId79" Type="http://schemas.openxmlformats.org/officeDocument/2006/relationships/hyperlink" Target="https://dnapainter.com/tools/sharedcmv4/31?fbclid=IwAR3wqfKWVRq1DI_x4i7OjYx5ayGhdwQu5Tj-9K3u_CVvBxgEWwX7fHipJP" TargetMode="External"/><Relationship Id="rId5" Type="http://schemas.openxmlformats.org/officeDocument/2006/relationships/hyperlink" Target="https://www.ancestry.co.uk/family-tree/person/tree/163868056/person/342132992964/facts" TargetMode="External"/><Relationship Id="rId90" Type="http://schemas.openxmlformats.org/officeDocument/2006/relationships/hyperlink" Target="https://www.ancestry.co.uk/discoveryui-matches/compare/50A7C5EF-9E94-44BE-A86A-5736956A97F2/with/D8D98FD5-83BF-4D3F-8A1E-9EF01E119B65" TargetMode="External"/><Relationship Id="rId95" Type="http://schemas.openxmlformats.org/officeDocument/2006/relationships/hyperlink" Target="https://www.ancestry.co.uk/family-tree/person/tree/163868056/person/342132998057/facts" TargetMode="External"/><Relationship Id="rId22" Type="http://schemas.openxmlformats.org/officeDocument/2006/relationships/hyperlink" Target="https://www.ancestry.co.uk/family-tree/person/tree/163868056/person/342132998051/facts" TargetMode="External"/><Relationship Id="rId27" Type="http://schemas.openxmlformats.org/officeDocument/2006/relationships/hyperlink" Target="https://www.ancestry.co.uk/family-tree/person/tree/163868056/person/342132998051/facts" TargetMode="External"/><Relationship Id="rId43" Type="http://schemas.openxmlformats.org/officeDocument/2006/relationships/hyperlink" Target="https://www.ancestry.co.uk/family-tree/tree/163868056/family?cfpid=342372135161" TargetMode="External"/><Relationship Id="rId48" Type="http://schemas.openxmlformats.org/officeDocument/2006/relationships/hyperlink" Target="https://www.myheritage.com/dna/match/D-FCAECA02-7114-4F38-B398-0BCC0AEF0669-D-F9796F55-56B9-4891-BBA1-06C6548E35F4/691113321?mode=shared" TargetMode="External"/><Relationship Id="rId64" Type="http://schemas.openxmlformats.org/officeDocument/2006/relationships/hyperlink" Target="https://dnapainter.com/tools/sharedcmv4/16?fbclid=IwAR3wqfKWVRq1DI_x4i7OjYx5ayGhdwQu5Tj-9K3u_CVvBxgEWwX7fHipJPs" TargetMode="External"/><Relationship Id="rId69" Type="http://schemas.openxmlformats.org/officeDocument/2006/relationships/hyperlink" Target="https://dnapainter.com/tools/sharedcmv4/28.6?fbclid=IwAR3wqfKWVRq1DI_x4i7OjYx5ayGhdwQu5Tj-9K3u_CVvBxgEWwX7fHipJPs" TargetMode="External"/><Relationship Id="rId80" Type="http://schemas.openxmlformats.org/officeDocument/2006/relationships/hyperlink" Target="https://dnapainter.com/tools/sharedcmv4/58?fbclid=IwAR3wqfKWVRq1DI_x4i7OjYx5ayGhdwQu5Tj-9K3u_CVvBxgEWwX7fHipJPs" TargetMode="External"/><Relationship Id="rId85" Type="http://schemas.openxmlformats.org/officeDocument/2006/relationships/hyperlink" Target="https://dnapainter.com/tools/sharedcmv4/12?fbclid=IwAR3wqfKWVRq1DI_x4i7OjYx5ayGhdwQu5Tj-9K3u_CVvBxgEWwX7fHipJPs" TargetMode="External"/><Relationship Id="rId3" Type="http://schemas.openxmlformats.org/officeDocument/2006/relationships/hyperlink" Target="https://www.ancestry.co.uk/family-tree/person/tree/163868056/person/342132992964/facts" TargetMode="External"/><Relationship Id="rId12" Type="http://schemas.openxmlformats.org/officeDocument/2006/relationships/hyperlink" Target="https://www.ancestry.co.uk/family-tree/person/tree/163868056/person/342132998050/facts" TargetMode="External"/><Relationship Id="rId17" Type="http://schemas.openxmlformats.org/officeDocument/2006/relationships/hyperlink" Target="https://www.ancestry.co.uk/family-tree/person/tree/163868056/person/342132998050/facts" TargetMode="External"/><Relationship Id="rId25" Type="http://schemas.openxmlformats.org/officeDocument/2006/relationships/hyperlink" Target="https://www.ancestry.co.uk/family-tree/person/tree/163868056/person/342132998051/facts" TargetMode="External"/><Relationship Id="rId33" Type="http://schemas.openxmlformats.org/officeDocument/2006/relationships/hyperlink" Target="https://www.ancestry.co.uk/family-tree/person/tree/163868056/person/342132998057/facts" TargetMode="External"/><Relationship Id="rId38" Type="http://schemas.openxmlformats.org/officeDocument/2006/relationships/hyperlink" Target="https://www.ancestry.co.uk/family-tree/tree/163868056/family?cfpid=342285537635" TargetMode="External"/><Relationship Id="rId46" Type="http://schemas.openxmlformats.org/officeDocument/2006/relationships/hyperlink" Target="https://www.ancestry.co.uk/discoveryui-matches/compare/50a7c5ef-9e94-44be-a86a-5736956a97f2/with/9c5d2a9d-90e8-470b-ba1f-1c9c3abb78cc" TargetMode="External"/><Relationship Id="rId59" Type="http://schemas.openxmlformats.org/officeDocument/2006/relationships/hyperlink" Target="https://dnapainter.com/tools/sharedcmv4/6?fbclid=IwAR3wqfKWVRq1DI_x4i7OjYx5ayGhdwQu5Tj-9K3u_CVvBxgEWwX7fHipJPs" TargetMode="External"/><Relationship Id="rId67" Type="http://schemas.openxmlformats.org/officeDocument/2006/relationships/hyperlink" Target="https://dnapainter.com/tools/sharedcmv4/25?fbclid=IwAR3wqfKWVRq1DI_x4i7OjYx5ayGhdwQu5Tj-9K3u_CVvBxgEWwX7fHipJPs" TargetMode="External"/><Relationship Id="rId20" Type="http://schemas.openxmlformats.org/officeDocument/2006/relationships/hyperlink" Target="https://www.ancestry.co.uk/family-tree/person/tree/163868056/person/342132998051/facts" TargetMode="External"/><Relationship Id="rId41" Type="http://schemas.openxmlformats.org/officeDocument/2006/relationships/hyperlink" Target="https://www.ancestry.co.uk/family-tree/tree/163868056/family?cfpid=342153528958" TargetMode="External"/><Relationship Id="rId54" Type="http://schemas.openxmlformats.org/officeDocument/2006/relationships/hyperlink" Target="https://www.ancestry.co.uk/discoveryui-matches/compare/8955CF51-8070-4A51-8674-B7F01B347AED/with/33858057-0281-49B3-89D0-5CA86943E75A" TargetMode="External"/><Relationship Id="rId62" Type="http://schemas.openxmlformats.org/officeDocument/2006/relationships/hyperlink" Target="https://dnapainter.com/tools/sharedcmv4/18?fbclid=IwAR3wqfKWVRq1DI_x4i7OjYx5ayGhdwQu5Tj-9K3u_CVvBxgEWwX7fHipJPs" TargetMode="External"/><Relationship Id="rId70" Type="http://schemas.openxmlformats.org/officeDocument/2006/relationships/hyperlink" Target="https://dnapainter.com/tools/sharedcmv4/8.1?fbclid=IwAR3wqfKWVRq1DI_x4i7OjYx5ayGhdwQu5Tj-9K3u_CVvBxgEWwX7fHipJPs" TargetMode="External"/><Relationship Id="rId75" Type="http://schemas.openxmlformats.org/officeDocument/2006/relationships/hyperlink" Target="https://www.ancestry.co.uk/family-tree/person/tree/163868056/person/342132998050/facts" TargetMode="External"/><Relationship Id="rId83" Type="http://schemas.openxmlformats.org/officeDocument/2006/relationships/hyperlink" Target="https://www.ancestry.co.uk/family-tree/person/tree/163868056/person/342132998057/facts" TargetMode="External"/><Relationship Id="rId88" Type="http://schemas.openxmlformats.org/officeDocument/2006/relationships/hyperlink" Target="https://www.ancestry.co.uk/family-tree/person/tree/163868056/person/342132998056/facts" TargetMode="External"/><Relationship Id="rId91" Type="http://schemas.openxmlformats.org/officeDocument/2006/relationships/hyperlink" Target="https://dnapainter.com/tools/sharedcmv4/12?fbclid=IwAR3wqfKWVRq1DI_x4i7OjYx5ayGhdwQu5Tj-9K3u_CVvBxgEWwX7fHipJPs" TargetMode="External"/><Relationship Id="rId96" Type="http://schemas.openxmlformats.org/officeDocument/2006/relationships/hyperlink" Target="https://www.ancestry.co.uk/discoveryui-matches/compare/8955cf51-8070-4a51-8674-b7f01b347aed/with/bc071352-b673-49b3-aa32-5b780f71d5e6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www.ancestry.co.uk/family-tree/person/tree/163868056/person/342132992964/facts" TargetMode="External"/><Relationship Id="rId15" Type="http://schemas.openxmlformats.org/officeDocument/2006/relationships/hyperlink" Target="https://www.ancestry.co.uk/family-tree/person/tree/163868056/person/342132998050/facts" TargetMode="External"/><Relationship Id="rId23" Type="http://schemas.openxmlformats.org/officeDocument/2006/relationships/hyperlink" Target="https://www.ancestry.co.uk/family-tree/person/tree/163868056/person/342132998051/facts" TargetMode="External"/><Relationship Id="rId28" Type="http://schemas.openxmlformats.org/officeDocument/2006/relationships/hyperlink" Target="https://www.ancestry.co.uk/family-tree/person/tree/163868056/person/342132998056/facts" TargetMode="External"/><Relationship Id="rId36" Type="http://schemas.openxmlformats.org/officeDocument/2006/relationships/hyperlink" Target="https://www.ancestry.co.uk/family-tree/tree/163868056/family?cfpid=342277581844" TargetMode="External"/><Relationship Id="rId49" Type="http://schemas.openxmlformats.org/officeDocument/2006/relationships/hyperlink" Target="https://www.myheritage.com/dna/match/D-FCAECA02-7114-4F38-B398-0BCC0AEF0669-D-5DD651CB-A21E-4807-BA33-E14F9D4A5A7F/691113321?mode=shared" TargetMode="External"/><Relationship Id="rId57" Type="http://schemas.openxmlformats.org/officeDocument/2006/relationships/hyperlink" Target="https://dnapainter.com/tools/sharedcmv4/10?fbclid=IwAR3wqfKWVRq1DI_x4i7OjYx5ayGhdwQu5Tj-9K3u_CVvBxgEWwX7fHipJPs" TargetMode="External"/><Relationship Id="rId10" Type="http://schemas.openxmlformats.org/officeDocument/2006/relationships/hyperlink" Target="https://www.ancestry.co.uk/family-tree/person/tree/163868056/person/342132992964/facts" TargetMode="External"/><Relationship Id="rId31" Type="http://schemas.openxmlformats.org/officeDocument/2006/relationships/hyperlink" Target="https://www.ancestry.co.uk/family-tree/person/tree/163868056/person/342132998057/facts" TargetMode="External"/><Relationship Id="rId44" Type="http://schemas.openxmlformats.org/officeDocument/2006/relationships/hyperlink" Target="https://www.ancestry.co.uk/family-tree/tree/163868056/family?cfpid=342470808542" TargetMode="External"/><Relationship Id="rId52" Type="http://schemas.openxmlformats.org/officeDocument/2006/relationships/hyperlink" Target="https://www.ancestry.co.uk/discoveryui-matches/compare/50A7C5EF-9E94-44BE-A86A-5736956A97F2/with/B9278514-025F-4B93-A8CD-51387AB60A35" TargetMode="External"/><Relationship Id="rId60" Type="http://schemas.openxmlformats.org/officeDocument/2006/relationships/hyperlink" Target="https://dnapainter.com/tools/sharedcmv4/15?fbclid=IwAR3wqfKWVRq1DI_x4i7OjYx5ayGhdwQu5Tj-9K3u_CVvBxgEWwX7fHipJPs" TargetMode="External"/><Relationship Id="rId65" Type="http://schemas.openxmlformats.org/officeDocument/2006/relationships/hyperlink" Target="https://dnapainter.com/tools/sharedcmv4/19?fbclid=IwAR3wqfKWVRq1DI_x4i7OjYx5ayGhdwQu5Tj-9K3u_CVvBxgEWwX7fHipJPs" TargetMode="External"/><Relationship Id="rId73" Type="http://schemas.openxmlformats.org/officeDocument/2006/relationships/hyperlink" Target="https://dnapainter.com/tools/sharedcmv4/75?fbclid=IwAR3wqfKWVRq1DI_x4i7OjYx5ayGhdwQu5Tj-9K3u_CVvBxgEWwX7fHipJPs" TargetMode="External"/><Relationship Id="rId78" Type="http://schemas.openxmlformats.org/officeDocument/2006/relationships/hyperlink" Target="https://www.ancestry.co.uk/discoveryui-matches/compare/50a7c5ef-9e94-44be-a86a-5736956a97f2/with/ccff9077-7329-478e-9980-5af4ccb49da9" TargetMode="External"/><Relationship Id="rId81" Type="http://schemas.openxmlformats.org/officeDocument/2006/relationships/hyperlink" Target="https://www.ancestry.co.uk/family-tree/person/tree/163868056/person/342132992970/facts" TargetMode="External"/><Relationship Id="rId86" Type="http://schemas.openxmlformats.org/officeDocument/2006/relationships/hyperlink" Target="https://www.ancestry.co.uk/family-tree/tree/163868056/family/pedigree?cfpid=342559560172" TargetMode="External"/><Relationship Id="rId94" Type="http://schemas.openxmlformats.org/officeDocument/2006/relationships/hyperlink" Target="https://www.ancestry.co.uk/family-tree/person/tree/163868056/person/342132998056/facts" TargetMode="External"/><Relationship Id="rId99" Type="http://schemas.openxmlformats.org/officeDocument/2006/relationships/hyperlink" Target="https://www.ancestry.co.uk/family-tree/person/tree/163868056/person/342132992970/facts" TargetMode="External"/><Relationship Id="rId4" Type="http://schemas.openxmlformats.org/officeDocument/2006/relationships/hyperlink" Target="https://www.ancestry.co.uk/family-tree/person/tree/163868056/person/342132992964/facts" TargetMode="External"/><Relationship Id="rId9" Type="http://schemas.openxmlformats.org/officeDocument/2006/relationships/hyperlink" Target="https://www.ancestry.co.uk/family-tree/person/tree/163868056/person/342132992964/facts" TargetMode="External"/><Relationship Id="rId13" Type="http://schemas.openxmlformats.org/officeDocument/2006/relationships/hyperlink" Target="https://www.ancestry.co.uk/family-tree/person/tree/163868056/person/342132998050/facts" TargetMode="External"/><Relationship Id="rId18" Type="http://schemas.openxmlformats.org/officeDocument/2006/relationships/hyperlink" Target="https://www.ancestry.co.uk/family-tree/person/tree/163868056/person/342132998050/facts" TargetMode="External"/><Relationship Id="rId39" Type="http://schemas.openxmlformats.org/officeDocument/2006/relationships/hyperlink" Target="https://www.ancestry.co.uk/family-tree/tree/163868056/family?cfpid=342234683750" TargetMode="External"/><Relationship Id="rId34" Type="http://schemas.openxmlformats.org/officeDocument/2006/relationships/hyperlink" Target="https://www.ancestry.co.uk/family-tree/tree/163868056/family?cfpid=342220491711" TargetMode="External"/><Relationship Id="rId50" Type="http://schemas.openxmlformats.org/officeDocument/2006/relationships/hyperlink" Target="https://www.ancestry.co.uk/discoveryui-matches/compare/50A7C5EF-9E94-44BE-A86A-5736956A97F2/with/EDCCC49B-3B17-42EE-B16B-73F724B6B0E1" TargetMode="External"/><Relationship Id="rId55" Type="http://schemas.openxmlformats.org/officeDocument/2006/relationships/hyperlink" Target="https://dnapainter.com/tools/sharedcmv4/12?fbclid=IwAR3wqfKWVRq1DI_x4i7OjYx5ayGhdwQu5Tj-9K3u_CVvBxgEWwX7fHipJPs" TargetMode="External"/><Relationship Id="rId76" Type="http://schemas.openxmlformats.org/officeDocument/2006/relationships/hyperlink" Target="https://www.ancestry.co.uk/family-tree/person/tree/163868056/person/342132998051/facts" TargetMode="External"/><Relationship Id="rId97" Type="http://schemas.openxmlformats.org/officeDocument/2006/relationships/hyperlink" Target="https://dnapainter.com/tools/sharedcmv4/8?fbclid=IwAR3wqfKWVRq1DI_x4i7OjYx5ayGhdwQu5Tj-9K3u_CVvBxgEWwX7fHipJPs" TargetMode="External"/><Relationship Id="rId7" Type="http://schemas.openxmlformats.org/officeDocument/2006/relationships/hyperlink" Target="https://www.ancestry.co.uk/family-tree/person/tree/163868056/person/342132992964/facts" TargetMode="External"/><Relationship Id="rId71" Type="http://schemas.openxmlformats.org/officeDocument/2006/relationships/hyperlink" Target="https://dnapainter.com/tools/sharedcmv4/39.8?fbclid=IwAR3wqfKWVRq1DI_x4i7OjYx5ayGhdwQu5Tj-9K3u_CVvBxgEWwX7fHipJPs" TargetMode="External"/><Relationship Id="rId92" Type="http://schemas.openxmlformats.org/officeDocument/2006/relationships/hyperlink" Target="https://www.ancestry.co.uk/family-tree/tree/163868056/family/pedigree?cfpid=342564992197" TargetMode="External"/><Relationship Id="rId2" Type="http://schemas.openxmlformats.org/officeDocument/2006/relationships/hyperlink" Target="https://www.ancestry.co.uk/family-tree/person/tree/163868056/person/342132992964/facts" TargetMode="External"/><Relationship Id="rId29" Type="http://schemas.openxmlformats.org/officeDocument/2006/relationships/hyperlink" Target="https://www.ancestry.co.uk/family-tree/person/tree/163868056/person/342132998056/facts" TargetMode="External"/><Relationship Id="rId24" Type="http://schemas.openxmlformats.org/officeDocument/2006/relationships/hyperlink" Target="https://www.ancestry.co.uk/family-tree/person/tree/163868056/person/342132998051/facts" TargetMode="External"/><Relationship Id="rId40" Type="http://schemas.openxmlformats.org/officeDocument/2006/relationships/hyperlink" Target="https://www.ancestry.co.uk/discoveryui-matches/compare/50a7c5ef-9e94-44be-a86a-5736956a97f2/with/99e81c39-1934-47d6-9cff-8e8df74d66c4" TargetMode="External"/><Relationship Id="rId45" Type="http://schemas.openxmlformats.org/officeDocument/2006/relationships/hyperlink" Target="https://www.ancestry.co.uk/family-tree/tree/163868056/family?cfpid=342285764689" TargetMode="External"/><Relationship Id="rId66" Type="http://schemas.openxmlformats.org/officeDocument/2006/relationships/hyperlink" Target="https://dnapainter.com/tools/sharedcmv4/23?fbclid=IwAR3wqfKWVRq1DI_x4i7OjYx5ayGhdwQu5Tj-9K3u_CVvBxgEWwX7fHipJPs" TargetMode="External"/><Relationship Id="rId87" Type="http://schemas.openxmlformats.org/officeDocument/2006/relationships/hyperlink" Target="https://www.ancestry.co.uk/family-tree/person/tree/163868056/person/342132992964/facts" TargetMode="External"/><Relationship Id="rId61" Type="http://schemas.openxmlformats.org/officeDocument/2006/relationships/hyperlink" Target="https://dnapainter.com/tools/sharedcmv4/18?fbclid=IwAR3wqfKWVRq1DI_x4i7OjYx5ayGhdwQu5Tj-9K3u_CVvBxgEWwX7fHipJPs" TargetMode="External"/><Relationship Id="rId82" Type="http://schemas.openxmlformats.org/officeDocument/2006/relationships/hyperlink" Target="https://www.ancestry.co.uk/family-tree/person/tree/163868056/person/342132998056/facts" TargetMode="External"/><Relationship Id="rId19" Type="http://schemas.openxmlformats.org/officeDocument/2006/relationships/hyperlink" Target="https://www.ancestry.co.uk/family-tree/person/tree/163868056/person/342132998050/facts" TargetMode="External"/><Relationship Id="rId14" Type="http://schemas.openxmlformats.org/officeDocument/2006/relationships/hyperlink" Target="https://www.ancestry.co.uk/family-tree/person/tree/163868056/person/342132998050/facts" TargetMode="External"/><Relationship Id="rId30" Type="http://schemas.openxmlformats.org/officeDocument/2006/relationships/hyperlink" Target="https://www.ancestry.co.uk/family-tree/person/tree/163868056/person/342132998056/facts" TargetMode="External"/><Relationship Id="rId35" Type="http://schemas.openxmlformats.org/officeDocument/2006/relationships/hyperlink" Target="https://www.ancestry.co.uk/family-tree/tree/163868056/family?cfpid=342220152795" TargetMode="External"/><Relationship Id="rId56" Type="http://schemas.openxmlformats.org/officeDocument/2006/relationships/hyperlink" Target="https://dnapainter.com/tools/sharedcmv4/12?fbclid=IwAR3wqfKWVRq1DI_x4i7OjYx5ayGhdwQu5Tj-9K3u_CVvBxgEWwX7fHipJPs" TargetMode="External"/><Relationship Id="rId77" Type="http://schemas.openxmlformats.org/officeDocument/2006/relationships/hyperlink" Target="https://www.ancestry.co.uk/family-tree/tree/163868056/family/pedigree?cfpid=342519310521" TargetMode="External"/><Relationship Id="rId8" Type="http://schemas.openxmlformats.org/officeDocument/2006/relationships/hyperlink" Target="https://www.ancestry.co.uk/family-tree/person/tree/163868056/person/342132992964/facts" TargetMode="External"/><Relationship Id="rId51" Type="http://schemas.openxmlformats.org/officeDocument/2006/relationships/hyperlink" Target="https://www.ancestry.co.uk/discoveryui-matches/compare/50A7C5EF-9E94-44BE-A86A-5736956A97F2/with/3FFD8B21-3E9B-492F-A944-6D8B79EF5D37" TargetMode="External"/><Relationship Id="rId72" Type="http://schemas.openxmlformats.org/officeDocument/2006/relationships/hyperlink" Target="https://dnapainter.com/tools/sharedcmv4/39?fbclid=IwAR3wqfKWVRq1DI_x4i7OjYx5ayGhdwQu5Tj-9K3u_CVvBxgEWwX7fHipJP" TargetMode="External"/><Relationship Id="rId93" Type="http://schemas.openxmlformats.org/officeDocument/2006/relationships/hyperlink" Target="https://www.myheritage.com/dna/match/D-F9099B9B-87A1-4274-827C-AF35BD245736-D-3A00D718-FDD4-45BE-9D1A-81C0F61008EA/691113321?p=1&amp;ps=10&amp;search=carole%20willard&amp;sort=creation_time&amp;memberId=704364871&amp;index=0" TargetMode="External"/><Relationship Id="rId98" Type="http://schemas.openxmlformats.org/officeDocument/2006/relationships/hyperlink" Target="https://www.ancestry.co.uk/family-tree/tree/163868056/family/pedigree?cfpid=342625666713" TargetMode="External"/></Relationships>
</file>

<file path=xl/worksheets/_rels/sheet4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ncestry.co.uk/discoveryui-matches/compare/50a7c5ef-9e94-44be-a86a-5736956a97f2/with/55be6d07-6776-4977-9156-8c57b4d10cd4" TargetMode="External"/><Relationship Id="rId13" Type="http://schemas.openxmlformats.org/officeDocument/2006/relationships/hyperlink" Target="https://www.ancestry.co.uk/family-tree/person/tree/163868056/person/342132992964/facts" TargetMode="External"/><Relationship Id="rId18" Type="http://schemas.openxmlformats.org/officeDocument/2006/relationships/hyperlink" Target="https://www.ancestry.co.uk/family-tree/tree/163868056/family/pedigree?cfpid=342506334801" TargetMode="External"/><Relationship Id="rId3" Type="http://schemas.openxmlformats.org/officeDocument/2006/relationships/hyperlink" Target="https://www.ancestry.co.uk/family-tree/person/tree/163868056/person/342173268078/facts" TargetMode="External"/><Relationship Id="rId21" Type="http://schemas.openxmlformats.org/officeDocument/2006/relationships/hyperlink" Target="https://www.ancestry.co.uk/family-tree/person/tree/163868056/person/342173268073/facts" TargetMode="External"/><Relationship Id="rId7" Type="http://schemas.openxmlformats.org/officeDocument/2006/relationships/hyperlink" Target="https://www.ancestry.co.uk/family-tree/tree/163868056/family?cfpid=342175085541" TargetMode="External"/><Relationship Id="rId12" Type="http://schemas.openxmlformats.org/officeDocument/2006/relationships/hyperlink" Target="https://dnapainter.com/tools/sharedcmv4/10?fbclid=IwAR3wqfKWVRq1DI_x4i7OjYx5ayGhdwQu5Tj-9K3u_CVvBxgEWwX7fHipJPs" TargetMode="External"/><Relationship Id="rId17" Type="http://schemas.openxmlformats.org/officeDocument/2006/relationships/hyperlink" Target="https://dnapainter.com/tools/sharedcmv4/10?fbclid=IwAR3wqfKWVRq1DI_x4i7OjYx5ayGhdwQu5Tj-9K3u_CVvBxgEWwX7fHipJPs" TargetMode="External"/><Relationship Id="rId2" Type="http://schemas.openxmlformats.org/officeDocument/2006/relationships/hyperlink" Target="https://www.ancestry.co.uk/family-tree/person/tree/163868056/person/342132992964/facts" TargetMode="External"/><Relationship Id="rId16" Type="http://schemas.openxmlformats.org/officeDocument/2006/relationships/hyperlink" Target="https://www.ancestry.co.uk/discoveryui-matches/compare/50a7c5ef-9e94-44be-a86a-5736956a97f2/with/5ce3c7b1-d301-4fb9-b32a-32bb3a75ce20?returnurl=https:%2F%2Fwww.ancestry.co.uk%2Fdiscoveryui-matches%2Fmatch-list%2F50a7c5ef-9e94-44be-a86a-5736956a97f2" TargetMode="External"/><Relationship Id="rId20" Type="http://schemas.openxmlformats.org/officeDocument/2006/relationships/hyperlink" Target="https://www.ancestry.co.uk/family-tree/person/tree/163868056/person/342173268078/facts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www.ancestry.co.uk/family-tree/person/tree/163868056/person/342173268073/facts" TargetMode="External"/><Relationship Id="rId11" Type="http://schemas.openxmlformats.org/officeDocument/2006/relationships/hyperlink" Target="https://dnapainter.com/tools/sharedcmv4/10?fbclid=IwAR3wqfKWVRq1DI_x4i7OjYx5ayGhdwQu5Tj-9K3u_CVvBxgEWwX7fHipJPs" TargetMode="External"/><Relationship Id="rId24" Type="http://schemas.openxmlformats.org/officeDocument/2006/relationships/hyperlink" Target="https://www.ancestry.co.uk/family-tree/tree/163868056/family/pedigree?cfpid=342590473986" TargetMode="External"/><Relationship Id="rId5" Type="http://schemas.openxmlformats.org/officeDocument/2006/relationships/hyperlink" Target="https://www.ancestry.co.uk/family-tree/person/tree/163868056/person/342173268073/facts" TargetMode="External"/><Relationship Id="rId15" Type="http://schemas.openxmlformats.org/officeDocument/2006/relationships/hyperlink" Target="https://www.ancestry.co.uk/family-tree/person/tree/163868056/person/342173268073/facts" TargetMode="External"/><Relationship Id="rId23" Type="http://schemas.openxmlformats.org/officeDocument/2006/relationships/hyperlink" Target="https://dnapainter.com/tools/sharedcmv4/10?fbclid=IwAR3wqfKWVRq1DI_x4i7OjYx5ayGhdwQu5Tj-9K3u_CVvBxgEWwX7fHipJPs" TargetMode="External"/><Relationship Id="rId10" Type="http://schemas.openxmlformats.org/officeDocument/2006/relationships/hyperlink" Target="https://www.ancestry.com/family-tree/tree/163868056/family/pedigree?cfpid=342175085510" TargetMode="External"/><Relationship Id="rId19" Type="http://schemas.openxmlformats.org/officeDocument/2006/relationships/hyperlink" Target="https://www.ancestry.co.uk/family-tree/person/tree/163868056/person/342132992964/facts" TargetMode="External"/><Relationship Id="rId4" Type="http://schemas.openxmlformats.org/officeDocument/2006/relationships/hyperlink" Target="https://www.ancestry.co.uk/family-tree/person/tree/163868056/person/342173268078/facts" TargetMode="External"/><Relationship Id="rId9" Type="http://schemas.openxmlformats.org/officeDocument/2006/relationships/hyperlink" Target="https://www.ancestry.com/discoveryui-matches/compare/50a7c5ef-9e94-44be-a86a-5736956a97f2/with/1887f3df-867a-4179-95ca-5168500c5bd4" TargetMode="External"/><Relationship Id="rId14" Type="http://schemas.openxmlformats.org/officeDocument/2006/relationships/hyperlink" Target="https://www.ancestry.co.uk/family-tree/person/tree/163868056/person/342173268078/facts" TargetMode="External"/><Relationship Id="rId22" Type="http://schemas.openxmlformats.org/officeDocument/2006/relationships/hyperlink" Target="https://www.ancestry.co.uk/discoveryui-matches/compare/50a7c5ef-9e94-44be-a86a-5736956a97f2/with/9323d1c7-33ce-481c-8571-7c8ac01f520a" TargetMode="External"/></Relationships>
</file>

<file path=xl/worksheets/_rels/sheet4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ncestry.co.uk/family-tree/person/tree/163868056/person/342142399690/facts" TargetMode="External"/><Relationship Id="rId21" Type="http://schemas.openxmlformats.org/officeDocument/2006/relationships/hyperlink" Target="https://www.ancestry.co.uk/family-tree/person/tree/163868056/person/342142399690/facts" TargetMode="External"/><Relationship Id="rId42" Type="http://schemas.openxmlformats.org/officeDocument/2006/relationships/hyperlink" Target="https://dnapainter.com/tools/sharedcmv4/10?fbclid=IwAR3wqfKWVRq1DI_x4i7OjYx5ayGhdwQu5Tj-9K3u_CVvBxgEWwX7fHipJPs" TargetMode="External"/><Relationship Id="rId47" Type="http://schemas.openxmlformats.org/officeDocument/2006/relationships/hyperlink" Target="https://dnapainter.com/tools/sharedcmv4/17?fbclid=IwAR3wqfKWVRq1DI_x4i7OjYx5ayGhdwQu5Tj-9K3u_CVvBxgEWwX7fHipJPs" TargetMode="External"/><Relationship Id="rId63" Type="http://schemas.openxmlformats.org/officeDocument/2006/relationships/hyperlink" Target="https://www.ancestry.com/family-tree/person/tree/163868056/person/342338056284/facts" TargetMode="External"/><Relationship Id="rId68" Type="http://schemas.openxmlformats.org/officeDocument/2006/relationships/hyperlink" Target="https://www.ancestry.com/family-tree/person/tree/163868056/person/342338056888/facts" TargetMode="External"/><Relationship Id="rId16" Type="http://schemas.openxmlformats.org/officeDocument/2006/relationships/hyperlink" Target="https://www.ancestry.co.uk/family-tree/tree/163868056/family?cfpid=342319691379" TargetMode="External"/><Relationship Id="rId11" Type="http://schemas.openxmlformats.org/officeDocument/2006/relationships/hyperlink" Target="https://www.ancestry.com/family-tree/person/tree/163868056/person/342338056284/facts" TargetMode="External"/><Relationship Id="rId24" Type="http://schemas.openxmlformats.org/officeDocument/2006/relationships/hyperlink" Target="https://www.ancestry.co.uk/family-tree/person/tree/163868056/person/342142399690/facts" TargetMode="External"/><Relationship Id="rId32" Type="http://schemas.openxmlformats.org/officeDocument/2006/relationships/hyperlink" Target="https://www.ancestry.com/family-tree/person/tree/163868056/person/342142399691/story" TargetMode="External"/><Relationship Id="rId37" Type="http://schemas.openxmlformats.org/officeDocument/2006/relationships/hyperlink" Target="https://www.ancestry.co.uk/discoveryui-matches/compare/50a7c5ef-9e94-44be-a86a-5736956a97f2/with/683dc26a-ae83-45ce-b02d-92b014fa26ac" TargetMode="External"/><Relationship Id="rId40" Type="http://schemas.openxmlformats.org/officeDocument/2006/relationships/hyperlink" Target="https://www.myheritage.com/dna/match/D-F9099B9B-87A1-4274-827C-AF35BD245736-D-1435153F-0BC0-4707-8B43-65BB444C45F6/691113321?p=1&amp;ps=10&amp;search=dodkin&amp;sort=total_shared_segments_length_in_cm&amp;memberId=704364871" TargetMode="External"/><Relationship Id="rId45" Type="http://schemas.openxmlformats.org/officeDocument/2006/relationships/hyperlink" Target="https://dnapainter.com/tools/sharedcmv4/10?fbclid=IwAR3wqfKWVRq1DI_x4i7OjYx5ayGhdwQu5Tj-9K3u_CVvBxgEWwX7fHipJPs" TargetMode="External"/><Relationship Id="rId53" Type="http://schemas.openxmlformats.org/officeDocument/2006/relationships/hyperlink" Target="https://dnapainter.com/tools/sharedcmv4/10?fbclid=IwAR3wqfKWVRq1DI_x4i7OjYx5ayGhdwQu5Tj-9K3u_CVvBxgEWwX7fHipJPs" TargetMode="External"/><Relationship Id="rId58" Type="http://schemas.openxmlformats.org/officeDocument/2006/relationships/hyperlink" Target="https://www.ancestry.co.uk/discoveryui-matches/compare/50A7C5EF-9E94-44BE-A86A-5736956A97F2/with/5C44E744-8AC6-4B1A-A2BE-74A73D5E1AF0" TargetMode="External"/><Relationship Id="rId66" Type="http://schemas.openxmlformats.org/officeDocument/2006/relationships/hyperlink" Target="https://www.ancestry.co.uk/family-tree/tree/163868056/family/pedigree?cfpid=342592986851" TargetMode="External"/><Relationship Id="rId74" Type="http://schemas.openxmlformats.org/officeDocument/2006/relationships/hyperlink" Target="https://www.ancestry.com/family-tree/person/tree/163868056/person/342338056888/facts" TargetMode="External"/><Relationship Id="rId79" Type="http://schemas.openxmlformats.org/officeDocument/2006/relationships/hyperlink" Target="https://dnapainter.com/tools/sharedcmv4/14?fbclid=IwAR3wqfKWVRq1DI_x4i7OjYx5ayGhdwQu5Tj-9K3u_CVvBxgEWwX7fHipJPs" TargetMode="External"/><Relationship Id="rId5" Type="http://schemas.openxmlformats.org/officeDocument/2006/relationships/hyperlink" Target="https://www.ancestry.co.uk/family-tree/person/tree/163868056/person/342132992964/facts" TargetMode="External"/><Relationship Id="rId61" Type="http://schemas.openxmlformats.org/officeDocument/2006/relationships/hyperlink" Target="https://www.ancestry.co.uk/family-tree/person/tree/163868056/person/342132992964/facts" TargetMode="External"/><Relationship Id="rId19" Type="http://schemas.openxmlformats.org/officeDocument/2006/relationships/hyperlink" Target="https://www.ancestry.co.uk/family-tree/tree/163868056/family?cfpid=342213369207" TargetMode="External"/><Relationship Id="rId14" Type="http://schemas.openxmlformats.org/officeDocument/2006/relationships/hyperlink" Target="https://www.ancestry.com/family-tree/person/tree/163868056/person/342338056284/facts" TargetMode="External"/><Relationship Id="rId22" Type="http://schemas.openxmlformats.org/officeDocument/2006/relationships/hyperlink" Target="https://www.ancestry.co.uk/family-tree/person/tree/163868056/person/342142399690/facts" TargetMode="External"/><Relationship Id="rId27" Type="http://schemas.openxmlformats.org/officeDocument/2006/relationships/hyperlink" Target="https://www.ancestry.com/family-tree/tree/163868056/family?cfpid=342166621011" TargetMode="External"/><Relationship Id="rId30" Type="http://schemas.openxmlformats.org/officeDocument/2006/relationships/hyperlink" Target="https://www.ancestry.com/family-tree/person/tree/163868056/person/342142399691/story" TargetMode="External"/><Relationship Id="rId35" Type="http://schemas.openxmlformats.org/officeDocument/2006/relationships/hyperlink" Target="https://www.ancestry.com/discoveryui-matches/compare/50a7c5ef-9e94-44be-a86a-5736956a97f2/with/b056d199-b8f8-4bb8-8991-cef85b622c13" TargetMode="External"/><Relationship Id="rId43" Type="http://schemas.openxmlformats.org/officeDocument/2006/relationships/hyperlink" Target="https://dnapainter.com/tools/sharedcmv4/10?fbclid=IwAR3wqfKWVRq1DI_x4i7OjYx5ayGhdwQu5Tj-9K3u_CVvBxgEWwX7fHipJPs" TargetMode="External"/><Relationship Id="rId48" Type="http://schemas.openxmlformats.org/officeDocument/2006/relationships/hyperlink" Target="https://dnapainter.com/tools/sharedcmv4/9?fbclid=IwAR3wqfKWVRq1DI_x4i7OjYx5ayGhdwQu5Tj-9K3u_CVvBxgEWwX7fHipJPs" TargetMode="External"/><Relationship Id="rId56" Type="http://schemas.openxmlformats.org/officeDocument/2006/relationships/hyperlink" Target="https://www.ancestry.com/family-tree/person/tree/163868056/person/342338056888/facts" TargetMode="External"/><Relationship Id="rId64" Type="http://schemas.openxmlformats.org/officeDocument/2006/relationships/hyperlink" Target="https://www.ancestry.co.uk/discoveryui-matches/compare/50a7c5ef-9e94-44be-a86a-5736956a97f2/with/c8d1ca5b-2c9b-43f2-a279-2d1e78c37b73" TargetMode="External"/><Relationship Id="rId69" Type="http://schemas.openxmlformats.org/officeDocument/2006/relationships/hyperlink" Target="https://www.ancestry.com/family-tree/person/tree/163868056/person/342338056284/facts" TargetMode="External"/><Relationship Id="rId77" Type="http://schemas.openxmlformats.org/officeDocument/2006/relationships/hyperlink" Target="https://www.ancestry.co.uk/discoveryui-matches/compare/50a7c5ef-9e94-44be-a86a-5736956a97f2/with/c8c6cc50-0406-494c-960e-c18e64a154f6" TargetMode="External"/><Relationship Id="rId8" Type="http://schemas.openxmlformats.org/officeDocument/2006/relationships/hyperlink" Target="https://www.ancestry.co.uk/family-tree/person/tree/163868056/person/342132992964/facts" TargetMode="External"/><Relationship Id="rId51" Type="http://schemas.openxmlformats.org/officeDocument/2006/relationships/hyperlink" Target="https://www.ancestry.com/family-tree/person/tree/163868056/person/342338056284/facts" TargetMode="External"/><Relationship Id="rId72" Type="http://schemas.openxmlformats.org/officeDocument/2006/relationships/hyperlink" Target="https://dnapainter.com/tools/sharedcmv4/22?fbclid=IwAR3wqfKWVRq1DI_x4i7OjYx5ayGhdwQu5Tj-9K3u_CVvBxgEWwX7fHipJPs" TargetMode="External"/><Relationship Id="rId3" Type="http://schemas.openxmlformats.org/officeDocument/2006/relationships/hyperlink" Target="https://www.ancestry.co.uk/family-tree/person/tree/163868056/person/342132992964/facts" TargetMode="External"/><Relationship Id="rId12" Type="http://schemas.openxmlformats.org/officeDocument/2006/relationships/hyperlink" Target="https://www.ancestry.com/family-tree/person/tree/163868056/person/342338056284/facts" TargetMode="External"/><Relationship Id="rId17" Type="http://schemas.openxmlformats.org/officeDocument/2006/relationships/hyperlink" Target="https://www.ancestry.co.uk/family-tree/tree/163868056/family?cfpid=342338055368" TargetMode="External"/><Relationship Id="rId25" Type="http://schemas.openxmlformats.org/officeDocument/2006/relationships/hyperlink" Target="https://www.ancestry.co.uk/family-tree/tree/163868056/family?cfpid=342308041369" TargetMode="External"/><Relationship Id="rId33" Type="http://schemas.openxmlformats.org/officeDocument/2006/relationships/hyperlink" Target="https://www.ancestry.com/family-tree/person/tree/163868056/person/342142399691/story" TargetMode="External"/><Relationship Id="rId38" Type="http://schemas.openxmlformats.org/officeDocument/2006/relationships/hyperlink" Target="https://www.ancestry.co.uk/discoveryui-matches/compare/50a7c5ef-9e94-44be-a86a-5736956a97f2/with/804f5e10-aa70-4c87-b746-df8f5617a31b" TargetMode="External"/><Relationship Id="rId46" Type="http://schemas.openxmlformats.org/officeDocument/2006/relationships/hyperlink" Target="https://dnapainter.com/tools/sharedcmv4/17?fbclid=IwAR3wqfKWVRq1DI_x4i7OjYx5ayGhdwQu5Tj-9K3u_CVvBxgEWwX7fHipJPs" TargetMode="External"/><Relationship Id="rId59" Type="http://schemas.openxmlformats.org/officeDocument/2006/relationships/hyperlink" Target="https://dnapainter.com/tools/sharedcmv4/12?fbclid=IwAR3wqfKWVRq1DI_x4i7OjYx5ayGhdwQu5Tj-9K3u_CVvBxgEWwX7fHipJPs" TargetMode="External"/><Relationship Id="rId67" Type="http://schemas.openxmlformats.org/officeDocument/2006/relationships/hyperlink" Target="https://www.ancestry.co.uk/family-tree/person/tree/163868056/person/342132992964/facts" TargetMode="External"/><Relationship Id="rId20" Type="http://schemas.openxmlformats.org/officeDocument/2006/relationships/hyperlink" Target="https://www.ancestry.co.uk/discoveryui-matches/compare/50a7c5ef-9e94-44be-a86a-5736956a97f2/with/32bceefe-fb2e-4133-9ce2-7959e7b7c3df" TargetMode="External"/><Relationship Id="rId41" Type="http://schemas.openxmlformats.org/officeDocument/2006/relationships/hyperlink" Target="https://dnapainter.com/tools/sharedcmv4/10?fbclid=IwAR3wqfKWVRq1DI_x4i7OjYx5ayGhdwQu5Tj-9K3u_CVvBxgEWwX7fHipJPs" TargetMode="External"/><Relationship Id="rId54" Type="http://schemas.openxmlformats.org/officeDocument/2006/relationships/hyperlink" Target="https://www.ancestry.co.uk/family-tree/tree/163868056/family/pedigree?cfpid=342498218049" TargetMode="External"/><Relationship Id="rId62" Type="http://schemas.openxmlformats.org/officeDocument/2006/relationships/hyperlink" Target="https://www.ancestry.com/family-tree/person/tree/163868056/person/342338056888/facts" TargetMode="External"/><Relationship Id="rId70" Type="http://schemas.openxmlformats.org/officeDocument/2006/relationships/hyperlink" Target="https://www.ancestry.co.uk/family-tree/tree/163868056/family?cfpid=342606573137" TargetMode="External"/><Relationship Id="rId75" Type="http://schemas.openxmlformats.org/officeDocument/2006/relationships/hyperlink" Target="https://www.ancestry.com/family-tree/person/tree/163868056/person/342338056284/facts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www.ancestry.co.uk/family-tree/person/tree/163868056/person/342132992964/facts" TargetMode="External"/><Relationship Id="rId15" Type="http://schemas.openxmlformats.org/officeDocument/2006/relationships/hyperlink" Target="https://www.ancestry.co.uk/family-tree/tree/163868056/family?cfpid=342165448143" TargetMode="External"/><Relationship Id="rId23" Type="http://schemas.openxmlformats.org/officeDocument/2006/relationships/hyperlink" Target="https://www.ancestry.co.uk/family-tree/tree/163868056/family?cfpid=342166621025" TargetMode="External"/><Relationship Id="rId28" Type="http://schemas.openxmlformats.org/officeDocument/2006/relationships/hyperlink" Target="https://www.ancestry.com/discoveryui-matches/compare/50a7c5ef-9e94-44be-a86a-5736956a97f2/with/4ce70d7e-f2b6-487f-b21f-bd43ec3b7620" TargetMode="External"/><Relationship Id="rId36" Type="http://schemas.openxmlformats.org/officeDocument/2006/relationships/hyperlink" Target="https://www.ancestry.co.uk/discoveryui-matches/compare/50a7c5ef-9e94-44be-a86a-5736956a97f2/with/15658915-1ae7-487d-8241-6bfaf029546e" TargetMode="External"/><Relationship Id="rId49" Type="http://schemas.openxmlformats.org/officeDocument/2006/relationships/hyperlink" Target="https://www.ancestry.co.uk/family-tree/person/tree/163868056/person/342132992964/facts" TargetMode="External"/><Relationship Id="rId57" Type="http://schemas.openxmlformats.org/officeDocument/2006/relationships/hyperlink" Target="https://www.ancestry.com/family-tree/person/tree/163868056/person/342338056284/facts" TargetMode="External"/><Relationship Id="rId10" Type="http://schemas.openxmlformats.org/officeDocument/2006/relationships/hyperlink" Target="https://www.ancestry.com/family-tree/person/tree/163868056/person/342338056888/facts" TargetMode="External"/><Relationship Id="rId31" Type="http://schemas.openxmlformats.org/officeDocument/2006/relationships/hyperlink" Target="https://www.ancestry.com/family-tree/person/tree/163868056/person/342142399691/story" TargetMode="External"/><Relationship Id="rId44" Type="http://schemas.openxmlformats.org/officeDocument/2006/relationships/hyperlink" Target="https://dnapainter.com/tools/sharedcmv4/10?fbclid=IwAR3wqfKWVRq1DI_x4i7OjYx5ayGhdwQu5Tj-9K3u_CVvBxgEWwX7fHipJPs" TargetMode="External"/><Relationship Id="rId52" Type="http://schemas.openxmlformats.org/officeDocument/2006/relationships/hyperlink" Target="https://www.ancestry.co.uk/discoveryui-matches/compare/50a7c5ef-9e94-44be-a86a-5736956a97f2/with/a8594511-66b9-454f-8d7f-c30a46fa609d" TargetMode="External"/><Relationship Id="rId60" Type="http://schemas.openxmlformats.org/officeDocument/2006/relationships/hyperlink" Target="https://www.ancestry.co.uk/family-tree/tree/163868056/family?cfpid=342584357076" TargetMode="External"/><Relationship Id="rId65" Type="http://schemas.openxmlformats.org/officeDocument/2006/relationships/hyperlink" Target="https://dnapainter.com/tools/sharedcmv4/14?fbclid=IwAR3wqfKWVRq1DI_x4i7OjYx5ayGhdwQu5Tj-9K3u_CVvBxgEWwX7fHipJPs" TargetMode="External"/><Relationship Id="rId73" Type="http://schemas.openxmlformats.org/officeDocument/2006/relationships/hyperlink" Target="https://www.ancestry.co.uk/family-tree/person/tree/163868056/person/342132992964/facts" TargetMode="External"/><Relationship Id="rId78" Type="http://schemas.openxmlformats.org/officeDocument/2006/relationships/hyperlink" Target="https://dnapainter.com/tools/sharedcmv4/43?fbclid=IwAR3wqfKWVRq1DI_x4i7OjYx5ayGhdwQu5Tj-9K3u_CVvBxgEWwX7fHipJPs" TargetMode="External"/><Relationship Id="rId4" Type="http://schemas.openxmlformats.org/officeDocument/2006/relationships/hyperlink" Target="https://www.ancestry.co.uk/family-tree/person/tree/163868056/person/342132992964/facts" TargetMode="External"/><Relationship Id="rId9" Type="http://schemas.openxmlformats.org/officeDocument/2006/relationships/hyperlink" Target="https://www.ancestry.com/family-tree/person/tree/163868056/person/342338056888/facts" TargetMode="External"/><Relationship Id="rId13" Type="http://schemas.openxmlformats.org/officeDocument/2006/relationships/hyperlink" Target="https://www.ancestry.com/family-tree/person/tree/163868056/person/342338056888/facts" TargetMode="External"/><Relationship Id="rId18" Type="http://schemas.openxmlformats.org/officeDocument/2006/relationships/hyperlink" Target="https://www.ancestry.co.uk/family-tree/tree/163868056/family?cfpid=342338055550" TargetMode="External"/><Relationship Id="rId39" Type="http://schemas.openxmlformats.org/officeDocument/2006/relationships/hyperlink" Target="https://www.myheritage.com/dna/match/D-F9099B9B-87A1-4274-827C-AF35BD245736-D-98833C72-C36A-4B82-B91B-2832A7B3FD38/691113321?mode=shared" TargetMode="External"/><Relationship Id="rId34" Type="http://schemas.openxmlformats.org/officeDocument/2006/relationships/hyperlink" Target="https://www.ancestry.com/family-tree/person/tree/163868056/person/342142399691/story" TargetMode="External"/><Relationship Id="rId50" Type="http://schemas.openxmlformats.org/officeDocument/2006/relationships/hyperlink" Target="https://www.ancestry.com/family-tree/person/tree/163868056/person/342338056888/facts" TargetMode="External"/><Relationship Id="rId55" Type="http://schemas.openxmlformats.org/officeDocument/2006/relationships/hyperlink" Target="https://www.ancestry.co.uk/family-tree/person/tree/163868056/person/342132992964/facts" TargetMode="External"/><Relationship Id="rId76" Type="http://schemas.openxmlformats.org/officeDocument/2006/relationships/hyperlink" Target="https://www.ancestry.co.uk/family-tree/tree/163868056/family/pedigree?cfpid=342631573234" TargetMode="External"/><Relationship Id="rId7" Type="http://schemas.openxmlformats.org/officeDocument/2006/relationships/hyperlink" Target="https://www.ancestry.co.uk/family-tree/person/tree/163868056/person/342132992964/facts" TargetMode="External"/><Relationship Id="rId71" Type="http://schemas.openxmlformats.org/officeDocument/2006/relationships/hyperlink" Target="https://www.myheritage.com/dna/match/D-F9099B9B-87A1-4274-827C-AF35BD245736-D-B6806729-8063-43F7-A94B-0F857A09A74B/691113321?p=1&amp;ps=10&amp;sort=creation_time&amp;filter=theories_of_family_relativity&amp;memberId=704364871&amp;index=2" TargetMode="External"/><Relationship Id="rId2" Type="http://schemas.openxmlformats.org/officeDocument/2006/relationships/hyperlink" Target="https://www.ancestry.co.uk/family-tree/person/tree/163868056/person/342132992964/facts" TargetMode="External"/><Relationship Id="rId29" Type="http://schemas.openxmlformats.org/officeDocument/2006/relationships/hyperlink" Target="https://www.ancestry.co.uk/family-tree/person/tree/163868056/person/342142399690/facts" TargetMode="External"/></Relationships>
</file>

<file path=xl/worksheets/_rels/sheet4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ncestry.co.uk/discoveryui-matches/compare/50a7c5ef-9e94-44be-a86a-5736956a97f2/with/368a8344-47e5-4f74-9ba4-fa53bdfaaaac" TargetMode="External"/><Relationship Id="rId13" Type="http://schemas.openxmlformats.org/officeDocument/2006/relationships/hyperlink" Target="https://www.ancestry.co.uk/family-tree/person/tree/163868056/person/342260378681/story" TargetMode="External"/><Relationship Id="rId18" Type="http://schemas.openxmlformats.org/officeDocument/2006/relationships/hyperlink" Target="https://www.ancestry.co.uk/discoveryui-matches/compare/50a7c5ef-9e94-44be-a86a-5736956a97f2/with/efda94dc-1ef3-4a1f-8f1f-0a18d01da676" TargetMode="External"/><Relationship Id="rId3" Type="http://schemas.openxmlformats.org/officeDocument/2006/relationships/hyperlink" Target="https://www.ancestry.co.uk/family-tree/person/tree/163868056/person/342238053477/hints" TargetMode="External"/><Relationship Id="rId7" Type="http://schemas.openxmlformats.org/officeDocument/2006/relationships/hyperlink" Target="https://www.ancestry.co.uk/family-tree/tree/163868056/family/pedigree?cfpid=342362155419" TargetMode="External"/><Relationship Id="rId12" Type="http://schemas.openxmlformats.org/officeDocument/2006/relationships/hyperlink" Target="https://www.ancestry.co.uk/family-tree/person/tree/163868056/person/342238053477/hints" TargetMode="External"/><Relationship Id="rId17" Type="http://schemas.openxmlformats.org/officeDocument/2006/relationships/hyperlink" Target="https://www.ancestry.co.uk/family-tree/person/tree/163868056/person/342132992964/facts" TargetMode="External"/><Relationship Id="rId2" Type="http://schemas.openxmlformats.org/officeDocument/2006/relationships/hyperlink" Target="https://www.ancestry.co.uk/family-tree/person/tree/163868056/person/342132992964/facts" TargetMode="External"/><Relationship Id="rId16" Type="http://schemas.openxmlformats.org/officeDocument/2006/relationships/hyperlink" Target="https://www.ancestry.co.uk/family-tree/tree/163868056/family/pedigree?cfpid=342510825280" TargetMode="External"/><Relationship Id="rId20" Type="http://schemas.openxmlformats.org/officeDocument/2006/relationships/hyperlink" Target="https://www.ancestry.co.uk/family-tree/tree/163868056/family/pedigree?cfpid=342593570824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www.ancestry.co.uk/discoveryui-matches/compare/50a7c5ef-9e94-44be-a86a-5736956a97f2/with/ccfa81b9-7298-4ad7-bb40-c9878043ccef" TargetMode="External"/><Relationship Id="rId11" Type="http://schemas.openxmlformats.org/officeDocument/2006/relationships/hyperlink" Target="https://dnapainter.com/tools/sharedcmv4/14?fbclid=IwAR3wqfKWVRq1DI_x4i7OjYx5ayGhdwQu5Tj-9K3u_CVvBxgEWwX7fHipJPs" TargetMode="External"/><Relationship Id="rId5" Type="http://schemas.openxmlformats.org/officeDocument/2006/relationships/hyperlink" Target="https://www.ancestry.co.uk/family-tree/tree/163868056/family?cfpid=342260417993" TargetMode="External"/><Relationship Id="rId15" Type="http://schemas.openxmlformats.org/officeDocument/2006/relationships/hyperlink" Target="https://www.ancestry.co.uk/discoveryui-matches/compare/50a7c5ef-9e94-44be-a86a-5736956a97f2/with/8af73fb3-dd44-4765-b1c9-88b3727605af" TargetMode="External"/><Relationship Id="rId10" Type="http://schemas.openxmlformats.org/officeDocument/2006/relationships/hyperlink" Target="https://dnapainter.com/tools/sharedcmv4/14?fbclid=IwAR3wqfKWVRq1DI_x4i7OjYx5ayGhdwQu5Tj-9K3u_CVvBxgEWwX7fHipJPs" TargetMode="External"/><Relationship Id="rId19" Type="http://schemas.openxmlformats.org/officeDocument/2006/relationships/hyperlink" Target="https://dnapainter.com/tools/sharedcmv4/7?fbclid=IwAR3wqfKWVRq1DI_x4i7OjYx5ayGhdwQu5Tj-9K3u_CVvBxgEWwX7fHipJPs" TargetMode="External"/><Relationship Id="rId4" Type="http://schemas.openxmlformats.org/officeDocument/2006/relationships/hyperlink" Target="https://www.ancestry.co.uk/family-tree/person/tree/163868056/person/342260378681/story" TargetMode="External"/><Relationship Id="rId9" Type="http://schemas.openxmlformats.org/officeDocument/2006/relationships/hyperlink" Target="https://dnapainter.com/tools/sharedcmv4/7?fbclid=IwAR3wqfKWVRq1DI_x4i7OjYx5ayGhdwQu5Tj-9K3u_CVvBxgEWwX7fHipJPs" TargetMode="External"/><Relationship Id="rId14" Type="http://schemas.openxmlformats.org/officeDocument/2006/relationships/hyperlink" Target="https://www.ancestry.co.uk/family-tree/person/tree/163868056/person/342132992964/facts" TargetMode="External"/></Relationships>
</file>

<file path=xl/worksheets/_rels/sheet4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ncestry.co.uk/family-tree/tree/163868056/family?cfpid=342132993564" TargetMode="External"/><Relationship Id="rId21" Type="http://schemas.openxmlformats.org/officeDocument/2006/relationships/hyperlink" Target="https://www.ancestry.co.uk/family-tree/person/tree/163868056/person/342132993009/story" TargetMode="External"/><Relationship Id="rId42" Type="http://schemas.openxmlformats.org/officeDocument/2006/relationships/hyperlink" Target="https://www.ancestry.co.uk/family-tree/person/tree/163868056/person/342132992965/facts" TargetMode="External"/><Relationship Id="rId47" Type="http://schemas.openxmlformats.org/officeDocument/2006/relationships/hyperlink" Target="https://dnapainter.com/tools/sharedcmv4/9?fbclid=IwAR3wqfKWVRq1DI_x4i7OjYx5ayGhdwQu5Tj-9K3u_CVvBxgEWwX7fHipJPs" TargetMode="External"/><Relationship Id="rId63" Type="http://schemas.openxmlformats.org/officeDocument/2006/relationships/hyperlink" Target="https://www.myheritage.com/dna/match/D-F9099B9B-87A1-4274-827C-AF35BD245736-D-3CE1B3CF-E83D-4646-893D-AD345E2517C4/691113321?p=3&amp;ps=10&amp;sort=total_shared_segments_length_in_cm&amp;filter=theories_of_family_relativity&amp;memberId=704364871" TargetMode="External"/><Relationship Id="rId68" Type="http://schemas.openxmlformats.org/officeDocument/2006/relationships/hyperlink" Target="https://www.ancestry.co.uk/family-tree/person/tree/163868056/person/342132992993/story" TargetMode="External"/><Relationship Id="rId84" Type="http://schemas.openxmlformats.org/officeDocument/2006/relationships/hyperlink" Target="https://www.ancestry.co.uk/family-tree/person/tree/163868056/person/342132992964/facts" TargetMode="External"/><Relationship Id="rId89" Type="http://schemas.openxmlformats.org/officeDocument/2006/relationships/hyperlink" Target="https://www.ancestry.co.uk/family-tree/tree/163868056/family/pedigree?cfpid=342581112764" TargetMode="External"/><Relationship Id="rId16" Type="http://schemas.openxmlformats.org/officeDocument/2006/relationships/hyperlink" Target="https://www.ancestry.co.uk/family-tree/person/tree/163868056/person/342132992993/story" TargetMode="External"/><Relationship Id="rId11" Type="http://schemas.openxmlformats.org/officeDocument/2006/relationships/hyperlink" Target="https://www.ancestry.co.uk/family-tree/person/tree/163868056/person/342132992992/story" TargetMode="External"/><Relationship Id="rId32" Type="http://schemas.openxmlformats.org/officeDocument/2006/relationships/hyperlink" Target="https://www.ancestry.co.uk/family-tree/tree/163868056/family?cfpid=342153525996" TargetMode="External"/><Relationship Id="rId37" Type="http://schemas.openxmlformats.org/officeDocument/2006/relationships/hyperlink" Target="https://www.ancestry.co.uk/family-tree/tree/163868056/family?cfpid=342188077668" TargetMode="External"/><Relationship Id="rId53" Type="http://schemas.openxmlformats.org/officeDocument/2006/relationships/hyperlink" Target="https://dnapainter.com/tools/sharedcmv4/23?fbclid=IwAR3wqfKWVRq1DI_x4i7OjYx5ayGhdwQu5Tj-9K3u_CVvBxgEWwX7fHipJPs" TargetMode="External"/><Relationship Id="rId58" Type="http://schemas.openxmlformats.org/officeDocument/2006/relationships/hyperlink" Target="https://dnapainter.com/tools/sharedcmv4/43?fbclid=IwAR3wqfKWVRq1DI_x4i7OjYx5ayGhdwQu5Tj-9K3u_CVvBxgEWwX7fHipJPs" TargetMode="External"/><Relationship Id="rId74" Type="http://schemas.openxmlformats.org/officeDocument/2006/relationships/hyperlink" Target="https://www.ancestry.co.uk/family-tree/person/tree/163868056/person/342132992965/facts" TargetMode="External"/><Relationship Id="rId79" Type="http://schemas.openxmlformats.org/officeDocument/2006/relationships/hyperlink" Target="https://dnapainter.com/tools/sharedcmv4/3432?fbclid=IwAR3wqfKWVRq1DI_x4i7OjYx5ayGhdwQu5Tj-9K3u_CVvBxgEWwX7fHipJPs" TargetMode="External"/><Relationship Id="rId5" Type="http://schemas.openxmlformats.org/officeDocument/2006/relationships/hyperlink" Target="https://www.ancestry.co.uk/family-tree/person/tree/163868056/person/342132992964/facts" TargetMode="External"/><Relationship Id="rId90" Type="http://schemas.openxmlformats.org/officeDocument/2006/relationships/hyperlink" Target="https://www.ancestry.co.uk/family-tree/person/tree/163868056/person/342132992964/facts" TargetMode="External"/><Relationship Id="rId95" Type="http://schemas.openxmlformats.org/officeDocument/2006/relationships/hyperlink" Target="https://www.ancestry.co.uk/family-tree/person/tree/163868056/person/342132993007/facts" TargetMode="External"/><Relationship Id="rId22" Type="http://schemas.openxmlformats.org/officeDocument/2006/relationships/hyperlink" Target="https://www.ancestry.co.uk/family-tree/person/tree/163868056/person/342132993009/story" TargetMode="External"/><Relationship Id="rId27" Type="http://schemas.openxmlformats.org/officeDocument/2006/relationships/hyperlink" Target="https://www.ancestry.co.uk/discoveryui-matches/compare/50a7c5ef-9e94-44be-a86a-5736956a97f2/with/e51c6c3b-08aa-46c4-92e8-7e05435e45d3" TargetMode="External"/><Relationship Id="rId43" Type="http://schemas.openxmlformats.org/officeDocument/2006/relationships/hyperlink" Target="https://www.ancestry.co.uk/family-tree/person/tree/163868056/person/342132992968/facts" TargetMode="External"/><Relationship Id="rId48" Type="http://schemas.openxmlformats.org/officeDocument/2006/relationships/hyperlink" Target="https://dnapainter.com/tools/sharedcmv4/18?fbclid=IwAR3wqfKWVRq1DI_x4i7OjYx5ayGhdwQu5Tj-9K3u_CVvBxgEWwX7fHipJPs" TargetMode="External"/><Relationship Id="rId64" Type="http://schemas.openxmlformats.org/officeDocument/2006/relationships/hyperlink" Target="https://dnapainter.com/tools/sharedcmv4/18?fbclid=IwAR3wqfKWVRq1DI_x4i7OjYx5ayGhdwQu5Tj-9K3u_CVvBxgEWwX7fHipJPs" TargetMode="External"/><Relationship Id="rId69" Type="http://schemas.openxmlformats.org/officeDocument/2006/relationships/hyperlink" Target="https://www.ancestry.co.uk/family-tree/tree/163868056/family?cfpid=342529434410" TargetMode="External"/><Relationship Id="rId80" Type="http://schemas.openxmlformats.org/officeDocument/2006/relationships/hyperlink" Target="https://www.ancestry.co.uk/family-tree/person/tree/163868056/person/342132992964/facts" TargetMode="External"/><Relationship Id="rId85" Type="http://schemas.openxmlformats.org/officeDocument/2006/relationships/hyperlink" Target="https://www.ancestry.co.uk/family-tree/person/tree/163868056/person/342132992992/story" TargetMode="External"/><Relationship Id="rId3" Type="http://schemas.openxmlformats.org/officeDocument/2006/relationships/hyperlink" Target="https://www.ancestry.co.uk/family-tree/person/tree/163868056/person/342132992964/facts" TargetMode="External"/><Relationship Id="rId12" Type="http://schemas.openxmlformats.org/officeDocument/2006/relationships/hyperlink" Target="https://www.ancestry.co.uk/family-tree/person/tree/163868056/person/342132992992/story" TargetMode="External"/><Relationship Id="rId17" Type="http://schemas.openxmlformats.org/officeDocument/2006/relationships/hyperlink" Target="https://www.ancestry.co.uk/family-tree/person/tree/163868056/person/342132992993/story" TargetMode="External"/><Relationship Id="rId25" Type="http://schemas.openxmlformats.org/officeDocument/2006/relationships/hyperlink" Target="https://www.ancestry.co.uk/discoveryui-matches/compare/50a7c5ef-9e94-44be-a86a-5736956a97f2/with/5ebc21f8-2d0c-4fd2-bcdd-de43dfa9d311" TargetMode="External"/><Relationship Id="rId33" Type="http://schemas.openxmlformats.org/officeDocument/2006/relationships/hyperlink" Target="https://www.ancestry.co.uk/discoveryui-matches/compare/50a7c5ef-9e94-44be-a86a-5736956a97f2/with/1b352ba8-3859-4d7b-8afc-6d88157945a8" TargetMode="External"/><Relationship Id="rId38" Type="http://schemas.openxmlformats.org/officeDocument/2006/relationships/hyperlink" Target="https://www.ancestry.co.uk/discoveryui-matches/compare/50a7c5ef-9e94-44be-a86a-5736956a97f2/with/c8d23fdc-a0bd-4195-9b63-b67934f3e288" TargetMode="External"/><Relationship Id="rId46" Type="http://schemas.openxmlformats.org/officeDocument/2006/relationships/hyperlink" Target="https://dnapainter.com/tools/sharedcmv4/9?fbclid=IwAR3wqfKWVRq1DI_x4i7OjYx5ayGhdwQu5Tj-9K3u_CVvBxgEWwX7fHipJPs" TargetMode="External"/><Relationship Id="rId59" Type="http://schemas.openxmlformats.org/officeDocument/2006/relationships/hyperlink" Target="https://dnapainter.com/tools/sharedcmv4/49?fbclid=IwAR3wqfKWVRq1DI_x4i7OjYx5ayGhdwQu5Tj-9K3u_CVvBxgEWwX7fHipJPs" TargetMode="External"/><Relationship Id="rId67" Type="http://schemas.openxmlformats.org/officeDocument/2006/relationships/hyperlink" Target="https://www.ancestry.co.uk/family-tree/person/tree/163868056/person/342132992992/story" TargetMode="External"/><Relationship Id="rId20" Type="http://schemas.openxmlformats.org/officeDocument/2006/relationships/hyperlink" Target="https://www.ancestry.co.uk/family-tree/person/tree/163868056/person/342132992993/story" TargetMode="External"/><Relationship Id="rId41" Type="http://schemas.openxmlformats.org/officeDocument/2006/relationships/hyperlink" Target="https://www.ancestry.co.uk/family-tree/person/tree/163868056/person/342132992970/facts" TargetMode="External"/><Relationship Id="rId54" Type="http://schemas.openxmlformats.org/officeDocument/2006/relationships/hyperlink" Target="https://dnapainter.com/tools/sharedcmv4/25?fbclid=IwAR3wqfKWVRq1DI_x4i7OjYx5ayGhdwQu5Tj-9K3u_CVvBxgEWwX7fHipJPs" TargetMode="External"/><Relationship Id="rId62" Type="http://schemas.openxmlformats.org/officeDocument/2006/relationships/hyperlink" Target="https://www.ancestry.co.uk/family-tree/person/tree/163868056/person/342132992993/story" TargetMode="External"/><Relationship Id="rId70" Type="http://schemas.openxmlformats.org/officeDocument/2006/relationships/hyperlink" Target="https://www.ancestry.co.uk/discoveryui-matches/compare/50A7C5EF-9E94-44BE-A86A-5736956A97F2/with/D4F430C9-5F8C-11EE-B8BB-0E3F96DA1E4D" TargetMode="External"/><Relationship Id="rId75" Type="http://schemas.openxmlformats.org/officeDocument/2006/relationships/hyperlink" Target="https://www.ancestry.co.uk/family-tree/person/tree/163868056/person/342132992968/facts" TargetMode="External"/><Relationship Id="rId83" Type="http://schemas.openxmlformats.org/officeDocument/2006/relationships/hyperlink" Target="https://www.ancestry.co.uk/family-tree/tree/163868056/family/pedigree?cfpid=342582122772" TargetMode="External"/><Relationship Id="rId88" Type="http://schemas.openxmlformats.org/officeDocument/2006/relationships/hyperlink" Target="https://dnapainter.com/tools/sharedcmv4/10?fbclid=IwAR3wqfKWVRq1DI_x4i7OjYx5ayGhdwQu5Tj-9K3u_CVvBxgEWwX7fHipJPs" TargetMode="External"/><Relationship Id="rId91" Type="http://schemas.openxmlformats.org/officeDocument/2006/relationships/hyperlink" Target="https://www.ancestry.co.uk/family-tree/tree/163868056/family?cfpid=342606579532" TargetMode="External"/><Relationship Id="rId96" Type="http://schemas.openxmlformats.org/officeDocument/2006/relationships/hyperlink" Target="https://www.ancestry.co.uk/family-tree/person/tree/163868056/person/342134950109/facts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www.ancestry.co.uk/family-tree/person/tree/163868056/person/342132992964/facts" TargetMode="External"/><Relationship Id="rId15" Type="http://schemas.openxmlformats.org/officeDocument/2006/relationships/hyperlink" Target="https://www.ancestry.co.uk/family-tree/person/tree/163868056/person/342132992993/story" TargetMode="External"/><Relationship Id="rId23" Type="http://schemas.openxmlformats.org/officeDocument/2006/relationships/hyperlink" Target="https://www.ancestry.co.uk/family-tree/person/tree/163868056/person/342132993009/story" TargetMode="External"/><Relationship Id="rId28" Type="http://schemas.openxmlformats.org/officeDocument/2006/relationships/hyperlink" Target="https://www.ancestry.co.uk/family-tree/tree/163868056/family?cfpid=342294873513" TargetMode="External"/><Relationship Id="rId36" Type="http://schemas.openxmlformats.org/officeDocument/2006/relationships/hyperlink" Target="https://www.ancestry.co.uk/family-tree/tree/163868056/family?cfpid=342206253643" TargetMode="External"/><Relationship Id="rId49" Type="http://schemas.openxmlformats.org/officeDocument/2006/relationships/hyperlink" Target="https://dnapainter.com/tools/sharedcmv4/20?fbclid=IwAR3wqfKWVRq1DI_x4i7OjYx5ayGhdwQu5Tj-9K3u_CVvBxgEWwX7fHipJPs" TargetMode="External"/><Relationship Id="rId57" Type="http://schemas.openxmlformats.org/officeDocument/2006/relationships/hyperlink" Target="https://dnapainter.com/tools/sharedcmv4/39?fbclid=IwAR3wqfKWVRq1DI_x4i7OjYx5ayGhdwQu5Tj-9K3u_CVvBxgEWwX7fHipJPs" TargetMode="External"/><Relationship Id="rId10" Type="http://schemas.openxmlformats.org/officeDocument/2006/relationships/hyperlink" Target="https://www.ancestry.co.uk/family-tree/person/tree/163868056/person/342132992992/story" TargetMode="External"/><Relationship Id="rId31" Type="http://schemas.openxmlformats.org/officeDocument/2006/relationships/hyperlink" Target="https://www.ancestry.co.uk/discoveryui-matches/compare/50a7c5ef-9e94-44be-a86a-5736956a97f2/with/4664eb22-52be-4f1e-9274-7ad611b52218" TargetMode="External"/><Relationship Id="rId44" Type="http://schemas.openxmlformats.org/officeDocument/2006/relationships/hyperlink" Target="https://www.ancestry.co.uk/discoveryui-matches/compare/50A7C5EF-9E94-44BE-A86A-5736956A97F2/with/8955CF51-8070-4A51-8674-B7F01B347AED" TargetMode="External"/><Relationship Id="rId52" Type="http://schemas.openxmlformats.org/officeDocument/2006/relationships/hyperlink" Target="https://dnapainter.com/tools/sharedcmv4/24?fbclid=IwAR3wqfKWVRq1DI_x4i7OjYx5ayGhdwQu5Tj-9K3u_CVvBxgEWwX7fHipJPs" TargetMode="External"/><Relationship Id="rId60" Type="http://schemas.openxmlformats.org/officeDocument/2006/relationships/hyperlink" Target="https://www.ancestry.co.uk/family-tree/person/tree/163868056/person/342132992964/facts" TargetMode="External"/><Relationship Id="rId65" Type="http://schemas.openxmlformats.org/officeDocument/2006/relationships/hyperlink" Target="https://www.ancestry.co.uk/family-tree/tree/163868056/family?cfpid=342486644313" TargetMode="External"/><Relationship Id="rId73" Type="http://schemas.openxmlformats.org/officeDocument/2006/relationships/hyperlink" Target="https://dnapainter.com/tools/sharedcmv4/1516?fbclid=IwAR3wqfKWVRq1DI_x4i7OjYx5ayGhdwQu5Tj-9K3u_CVvBxgEWwX7fHipJPs" TargetMode="External"/><Relationship Id="rId78" Type="http://schemas.openxmlformats.org/officeDocument/2006/relationships/hyperlink" Target="https://www.ancestry.co.uk/family-tree/tree/163868056/family/pedigree?cfpid=342132992980" TargetMode="External"/><Relationship Id="rId81" Type="http://schemas.openxmlformats.org/officeDocument/2006/relationships/hyperlink" Target="https://www.ancestry.co.uk/discoveryui-matches/compare/50a7c5ef-9e94-44be-a86a-5736956a97f2/with/00449d8f-b26c-48f4-910c-7885cbd71c51" TargetMode="External"/><Relationship Id="rId86" Type="http://schemas.openxmlformats.org/officeDocument/2006/relationships/hyperlink" Target="https://www.ancestry.co.uk/family-tree/person/tree/163868056/person/342132992993/story" TargetMode="External"/><Relationship Id="rId94" Type="http://schemas.openxmlformats.org/officeDocument/2006/relationships/hyperlink" Target="https://www.ancestry.co.uk/family-tree/person/tree/163868056/person/342132993006/facts" TargetMode="External"/><Relationship Id="rId4" Type="http://schemas.openxmlformats.org/officeDocument/2006/relationships/hyperlink" Target="https://www.ancestry.co.uk/family-tree/person/tree/163868056/person/342132992964/facts" TargetMode="External"/><Relationship Id="rId9" Type="http://schemas.openxmlformats.org/officeDocument/2006/relationships/hyperlink" Target="https://www.ancestry.co.uk/family-tree/person/tree/163868056/person/342132992992/story" TargetMode="External"/><Relationship Id="rId13" Type="http://schemas.openxmlformats.org/officeDocument/2006/relationships/hyperlink" Target="https://www.ancestry.co.uk/family-tree/person/tree/163868056/person/342132992992/story" TargetMode="External"/><Relationship Id="rId18" Type="http://schemas.openxmlformats.org/officeDocument/2006/relationships/hyperlink" Target="https://www.ancestry.co.uk/family-tree/person/tree/163868056/person/342132992993/story" TargetMode="External"/><Relationship Id="rId39" Type="http://schemas.openxmlformats.org/officeDocument/2006/relationships/hyperlink" Target="https://you.23andme.com/profile/6de6f7d4d7eb2faa/" TargetMode="External"/><Relationship Id="rId34" Type="http://schemas.openxmlformats.org/officeDocument/2006/relationships/hyperlink" Target="https://www.ancestry.co.uk/family-tree/tree/163868056/family?cfpid=342472155366" TargetMode="External"/><Relationship Id="rId50" Type="http://schemas.openxmlformats.org/officeDocument/2006/relationships/hyperlink" Target="https://dnapainter.com/tools/sharedcmv4/20?fbclid=IwAR3wqfKWVRq1DI_x4i7OjYx5ayGhdwQu5Tj-9K3u_CVvBxgEWwX7fHipJPs" TargetMode="External"/><Relationship Id="rId55" Type="http://schemas.openxmlformats.org/officeDocument/2006/relationships/hyperlink" Target="https://dnapainter.com/tools/sharedcmv4/31?fbclid=IwAR3wqfKWVRq1DI_x4i7OjYx5ayGhdwQu5Tj-9K3u_CVvBxgEWwX7fHipJPs" TargetMode="External"/><Relationship Id="rId76" Type="http://schemas.openxmlformats.org/officeDocument/2006/relationships/hyperlink" Target="https://www.ancestry.co.uk/family-tree/person/tree/163868056/person/342132992964/facts" TargetMode="External"/><Relationship Id="rId97" Type="http://schemas.openxmlformats.org/officeDocument/2006/relationships/hyperlink" Target="https://www.ancestry.co.uk/family-tree/person/tree/163868056/person/342132993396/facts" TargetMode="External"/><Relationship Id="rId7" Type="http://schemas.openxmlformats.org/officeDocument/2006/relationships/hyperlink" Target="https://www.ancestry.co.uk/family-tree/person/tree/163868056/person/342132992964/facts" TargetMode="External"/><Relationship Id="rId71" Type="http://schemas.openxmlformats.org/officeDocument/2006/relationships/hyperlink" Target="https://dnapainter.com/tools/sharedcmv4/12?fbclid=IwAR3wqfKWVRq1DI_x4i7OjYx5ayGhdwQu5Tj-9K3u_CVvBxgEWwX7fHipJPs" TargetMode="External"/><Relationship Id="rId92" Type="http://schemas.openxmlformats.org/officeDocument/2006/relationships/hyperlink" Target="https://www.myheritage.com/dna/match/D-F9099B9B-87A1-4274-827C-AF35BD245736-D-85288E3F-9314-42B7-87E2-0FB89149C6DF/691113321?p=1&amp;ps=10&amp;sort=creation_time&amp;filter=theories_of_family_relativity&amp;memberId=704364871&amp;index=3" TargetMode="External"/><Relationship Id="rId2" Type="http://schemas.openxmlformats.org/officeDocument/2006/relationships/hyperlink" Target="https://www.ancestry.co.uk/family-tree/person/tree/163868056/person/342132992964/facts" TargetMode="External"/><Relationship Id="rId29" Type="http://schemas.openxmlformats.org/officeDocument/2006/relationships/hyperlink" Target="https://www.ancestry.co.uk/discoveryui-matches/compare/50a7c5ef-9e94-44be-a86a-5736956a97f2/with/5b40318d-f8d6-45dd-89c0-e35f23f09656" TargetMode="External"/><Relationship Id="rId24" Type="http://schemas.openxmlformats.org/officeDocument/2006/relationships/hyperlink" Target="https://www.ancestry.co.uk/family-tree/tree/163868056/family?cfpid=342236128691" TargetMode="External"/><Relationship Id="rId40" Type="http://schemas.openxmlformats.org/officeDocument/2006/relationships/hyperlink" Target="https://www.ancestry.co.uk/family-tree/person/tree/163868056/person/342132992964/facts" TargetMode="External"/><Relationship Id="rId45" Type="http://schemas.openxmlformats.org/officeDocument/2006/relationships/hyperlink" Target="https://dnapainter.com/tools/sharedcmv4/2394?fbclid=IwAR3wqfKWVRq1DI_x4i7OjYx5ayGhdwQu5Tj-9K3u_CVvBxgEWwX7fHipJPs" TargetMode="External"/><Relationship Id="rId66" Type="http://schemas.openxmlformats.org/officeDocument/2006/relationships/hyperlink" Target="https://www.ancestry.co.uk/family-tree/person/tree/163868056/person/342132992964/facts" TargetMode="External"/><Relationship Id="rId87" Type="http://schemas.openxmlformats.org/officeDocument/2006/relationships/hyperlink" Target="https://www.ancestry.co.uk/discoveryui-matches/compare/50a7c5ef-9e94-44be-a86a-5736956a97f2/with/f45bf7ad-4699-460d-9f46-c8a58a0a3eef" TargetMode="External"/><Relationship Id="rId61" Type="http://schemas.openxmlformats.org/officeDocument/2006/relationships/hyperlink" Target="https://www.ancestry.co.uk/family-tree/person/tree/163868056/person/342132992992/story" TargetMode="External"/><Relationship Id="rId82" Type="http://schemas.openxmlformats.org/officeDocument/2006/relationships/hyperlink" Target="https://dnapainter.com/tools/sharedcmv4/8?fbclid=IwAR3wqfKWVRq1DI_x4i7OjYx5ayGhdwQu5Tj-9K3u_CVvBxgEWwX7fHipJPs" TargetMode="External"/><Relationship Id="rId19" Type="http://schemas.openxmlformats.org/officeDocument/2006/relationships/hyperlink" Target="https://www.ancestry.co.uk/family-tree/person/tree/163868056/person/342132992993/story" TargetMode="External"/><Relationship Id="rId14" Type="http://schemas.openxmlformats.org/officeDocument/2006/relationships/hyperlink" Target="https://www.ancestry.co.uk/family-tree/person/tree/163868056/person/342132992992/story" TargetMode="External"/><Relationship Id="rId30" Type="http://schemas.openxmlformats.org/officeDocument/2006/relationships/hyperlink" Target="https://www.ancestry.co.uk/family-tree/tree/163868056/family?cfpid=342363474089" TargetMode="External"/><Relationship Id="rId35" Type="http://schemas.openxmlformats.org/officeDocument/2006/relationships/hyperlink" Target="https://www.ancestry.co.uk/discoveryui-matches/compare/50a7c5ef-9e94-44be-a86a-5736956a97f2/with/880a95eb-22cd-42ca-a9a0-27e368c9f944" TargetMode="External"/><Relationship Id="rId56" Type="http://schemas.openxmlformats.org/officeDocument/2006/relationships/hyperlink" Target="https://dnapainter.com/tools/sharedcmv4/34?fbclid=IwAR3wqfKWVRq1DI_x4i7OjYx5ayGhdwQu5Tj-9K3u_CVvBxgEWwX7fHipJPs" TargetMode="External"/><Relationship Id="rId77" Type="http://schemas.openxmlformats.org/officeDocument/2006/relationships/hyperlink" Target="https://www.ancestry.co.uk/family-tree/person/tree/163868056/person/342132992970/facts" TargetMode="External"/><Relationship Id="rId8" Type="http://schemas.openxmlformats.org/officeDocument/2006/relationships/hyperlink" Target="https://www.ancestry.co.uk/family-tree/person/tree/163868056/person/342132992964/facts" TargetMode="External"/><Relationship Id="rId51" Type="http://schemas.openxmlformats.org/officeDocument/2006/relationships/hyperlink" Target="https://dnapainter.com/tools/sharedcmv4/17?fbclid=IwAR3wqfKWVRq1DI_x4i7OjYx5ayGhdwQu5Tj-9K3u_CVvBxgEWwX7fHipJPs" TargetMode="External"/><Relationship Id="rId72" Type="http://schemas.openxmlformats.org/officeDocument/2006/relationships/hyperlink" Target="https://www.ancestry.co.uk/discoveryui-matches/compare/50A7C5EF-9E94-44BE-A86A-5736956A97F2/with/BC1B47D5-977C-11EE-B8BB-0E3F96DA1E4D" TargetMode="External"/><Relationship Id="rId93" Type="http://schemas.openxmlformats.org/officeDocument/2006/relationships/hyperlink" Target="https://dnapainter.com/tools/sharedcmv4/41?fbclid=IwAR3wqfKWVRq1DI_x4i7OjYx5ayGhdwQu5Tj-9K3u_CVvBxgEWwX7fHipJPs" TargetMode="External"/><Relationship Id="rId98" Type="http://schemas.openxmlformats.org/officeDocument/2006/relationships/printerSettings" Target="../printerSettings/printerSettings11.bin"/></Relationships>
</file>

<file path=xl/worksheets/_rels/sheet47.xml.rels><?xml version="1.0" encoding="UTF-8" standalone="yes"?>
<Relationships xmlns="http://schemas.openxmlformats.org/package/2006/relationships"><Relationship Id="rId117" Type="http://schemas.openxmlformats.org/officeDocument/2006/relationships/hyperlink" Target="https://dnapainter.com/tools/sharedcmv4/9?fbclid=IwAR3wqfKWVRq1DI_x4i7OjYx5ayGhdwQu5Tj-9K3u_CVvBxgEWwX7fHipJPs" TargetMode="External"/><Relationship Id="rId21" Type="http://schemas.openxmlformats.org/officeDocument/2006/relationships/hyperlink" Target="https://www.ancestry.co.uk/family-tree/person/tree/163868056/person/342132992970/facts" TargetMode="External"/><Relationship Id="rId63" Type="http://schemas.openxmlformats.org/officeDocument/2006/relationships/hyperlink" Target="https://www.ancestry.co.uk/family-tree/person/tree/163868056/person/342132993742/story" TargetMode="External"/><Relationship Id="rId159" Type="http://schemas.openxmlformats.org/officeDocument/2006/relationships/hyperlink" Target="https://www.ancestry.co.uk/family-tree/person/tree/163868056/person/342132993741/story" TargetMode="External"/><Relationship Id="rId170" Type="http://schemas.openxmlformats.org/officeDocument/2006/relationships/hyperlink" Target="https://www.ancestry.co.uk/discoveryui-matches/compare/50a7c5ef-9e94-44be-a86a-5736956a97f2/with/914325e4-31b4-4e43-ba28-be29dbaed6fe" TargetMode="External"/><Relationship Id="rId226" Type="http://schemas.openxmlformats.org/officeDocument/2006/relationships/hyperlink" Target="https://dnapainter.com/tools/sharedcmv4/8?fbclid=IwAR3wqfKWVRq1DI_x4i7OjYx5ayGhdwQu5Tj-9K3u_CVvBxgEWwX7fHipJPs" TargetMode="External"/><Relationship Id="rId268" Type="http://schemas.openxmlformats.org/officeDocument/2006/relationships/hyperlink" Target="https://www.ancestry.co.uk/family-tree/person/tree/163868056/person/342132994793/story" TargetMode="External"/><Relationship Id="rId32" Type="http://schemas.openxmlformats.org/officeDocument/2006/relationships/hyperlink" Target="https://www.ancestry.co.uk/family-tree/person/tree/163868056/person/342132993741/story" TargetMode="External"/><Relationship Id="rId74" Type="http://schemas.openxmlformats.org/officeDocument/2006/relationships/hyperlink" Target="https://www.ancestry.co.uk/family-tree/tree/163868056/family?cfpid=342153527141" TargetMode="External"/><Relationship Id="rId128" Type="http://schemas.openxmlformats.org/officeDocument/2006/relationships/hyperlink" Target="https://dnapainter.com/tools/sharedcmv4/12?fbclid=IwAR3wqfKWVRq1DI_x4i7OjYx5ayGhdwQu5Tj-9K3u_CVvBxgEWwX7fHipJPs" TargetMode="External"/><Relationship Id="rId5" Type="http://schemas.openxmlformats.org/officeDocument/2006/relationships/hyperlink" Target="https://www.ancestry.co.uk/family-tree/person/tree/163868056/person/342132992964/facts" TargetMode="External"/><Relationship Id="rId181" Type="http://schemas.openxmlformats.org/officeDocument/2006/relationships/hyperlink" Target="https://www.ancestry.co.uk/family-tree/tree/163868056/family/pedigree?cfpid=342542049451" TargetMode="External"/><Relationship Id="rId237" Type="http://schemas.openxmlformats.org/officeDocument/2006/relationships/hyperlink" Target="https://www.ancestry.co.uk/family-tree/tree/163868056/family/pedigree?cfpid=342604716190" TargetMode="External"/><Relationship Id="rId279" Type="http://schemas.openxmlformats.org/officeDocument/2006/relationships/hyperlink" Target="https://www.ancestry.co.uk/family-tree/person/tree/163868056/person/342132994793/story" TargetMode="External"/><Relationship Id="rId22" Type="http://schemas.openxmlformats.org/officeDocument/2006/relationships/hyperlink" Target="https://www.ancestry.co.uk/family-tree/person/tree/163868056/person/342132992970/facts" TargetMode="External"/><Relationship Id="rId43" Type="http://schemas.openxmlformats.org/officeDocument/2006/relationships/hyperlink" Target="https://www.ancestry.co.uk/family-tree/person/tree/163868056/person/342132993741/story" TargetMode="External"/><Relationship Id="rId64" Type="http://schemas.openxmlformats.org/officeDocument/2006/relationships/hyperlink" Target="https://www.ancestry.co.uk/family-tree/person/tree/163868056/person/342132993742/story" TargetMode="External"/><Relationship Id="rId118" Type="http://schemas.openxmlformats.org/officeDocument/2006/relationships/hyperlink" Target="https://dnapainter.com/tools/sharedcmv4/10?fbclid=IwAR3wqfKWVRq1DI_x4i7OjYx5ayGhdwQu5Tj-9K3u_CVvBxgEWwX7fHipJPs" TargetMode="External"/><Relationship Id="rId139" Type="http://schemas.openxmlformats.org/officeDocument/2006/relationships/hyperlink" Target="https://dnapainter.com/tools/sharedcmv4/23?fbclid=IwAR3wqfKWVRq1DI_x4i7OjYx5ayGhdwQu5Tj-9K3u_CVvBxgEWwX7fHipJPs" TargetMode="External"/><Relationship Id="rId85" Type="http://schemas.openxmlformats.org/officeDocument/2006/relationships/hyperlink" Target="https://www.ancestry.co.uk/family-tree/tree/163868056/family?cfpid=342132998223" TargetMode="External"/><Relationship Id="rId150" Type="http://schemas.openxmlformats.org/officeDocument/2006/relationships/hyperlink" Target="https://www.ancestry.co.uk/family-tree/tree/163868056/family/pedigree?cfpid=342511062070" TargetMode="External"/><Relationship Id="rId171" Type="http://schemas.openxmlformats.org/officeDocument/2006/relationships/hyperlink" Target="https://dnapainter.com/tools/sharedcmv4/9?fbclid=IwAR3wqfKWVRq1DI_x4i7OjYx5ayGhdwQu5Tj-9K3u_CVvBxgEWwX7fHipJPs" TargetMode="External"/><Relationship Id="rId192" Type="http://schemas.openxmlformats.org/officeDocument/2006/relationships/hyperlink" Target="https://www.ancestry.co.uk/family-tree/person/tree/163868056/person/342132993741/story" TargetMode="External"/><Relationship Id="rId206" Type="http://schemas.openxmlformats.org/officeDocument/2006/relationships/hyperlink" Target="https://www.ancestry.co.uk/discoveryui-matches/compare/8955cf51-8070-4a51-8674-b7f01b347aed/with/2245940e-ebcf-449e-8f6d-65252209dbd4" TargetMode="External"/><Relationship Id="rId227" Type="http://schemas.openxmlformats.org/officeDocument/2006/relationships/hyperlink" Target="https://www.ancestry.co.uk/family-tree/person/tree/163868056/person/342132992964/facts" TargetMode="External"/><Relationship Id="rId248" Type="http://schemas.openxmlformats.org/officeDocument/2006/relationships/hyperlink" Target="https://www.ancestry.co.uk/discoveryui-matches/compare/50a7c5ef-9e94-44be-a86a-5736956a97f2/with/fc5ae84a-d6d1-404f-994c-f1cee1ece22c" TargetMode="External"/><Relationship Id="rId269" Type="http://schemas.openxmlformats.org/officeDocument/2006/relationships/hyperlink" Target="https://www.ancestry.co.uk/family-tree/person/tree/163868056/person/342132994806/story" TargetMode="External"/><Relationship Id="rId12" Type="http://schemas.openxmlformats.org/officeDocument/2006/relationships/hyperlink" Target="https://www.ancestry.co.uk/family-tree/person/tree/163868056/person/342132992970/facts" TargetMode="External"/><Relationship Id="rId33" Type="http://schemas.openxmlformats.org/officeDocument/2006/relationships/hyperlink" Target="https://www.ancestry.co.uk/family-tree/person/tree/163868056/person/342132993741/story" TargetMode="External"/><Relationship Id="rId108" Type="http://schemas.openxmlformats.org/officeDocument/2006/relationships/hyperlink" Target="https://www.ancestry.co.uk/discoveryui-matches/compare/8955cf51-8070-4a51-8674-b7f01b347aed/with/28be01d9-148c-4c5a-b54c-3d794f13d7fc" TargetMode="External"/><Relationship Id="rId129" Type="http://schemas.openxmlformats.org/officeDocument/2006/relationships/hyperlink" Target="https://dnapainter.com/tools/sharedcmv4/12?fbclid=IwAR3wqfKWVRq1DI_x4i7OjYx5ayGhdwQu5Tj-9K3u_CVvBxgEWwX7fHipJPs" TargetMode="External"/><Relationship Id="rId280" Type="http://schemas.openxmlformats.org/officeDocument/2006/relationships/hyperlink" Target="https://www.ancestry.co.uk/family-tree/person/tree/163868056/person/342132994806/story" TargetMode="External"/><Relationship Id="rId54" Type="http://schemas.openxmlformats.org/officeDocument/2006/relationships/hyperlink" Target="https://www.ancestry.co.uk/family-tree/person/tree/163868056/person/342132993742/story" TargetMode="External"/><Relationship Id="rId75" Type="http://schemas.openxmlformats.org/officeDocument/2006/relationships/hyperlink" Target="https://www.ancestry.co.uk/family-tree/person/tree/163868056/person/342361725392/story" TargetMode="External"/><Relationship Id="rId96" Type="http://schemas.openxmlformats.org/officeDocument/2006/relationships/hyperlink" Target="https://www.ancestry.co.uk/discoveryui-matches/compare/8955CF51-8070-4A51-8674-B7F01B347AED/with/C0FC70F8-70DF-4054-8605-EFD8DABE551C" TargetMode="External"/><Relationship Id="rId140" Type="http://schemas.openxmlformats.org/officeDocument/2006/relationships/hyperlink" Target="https://dnapainter.com/tools/sharedcmv4/23?fbclid=IwAR3wqfKWVRq1DI_x4i7OjYx5ayGhdwQu5Tj-9K3u_CVvBxgEWwX7fHipJPs" TargetMode="External"/><Relationship Id="rId161" Type="http://schemas.openxmlformats.org/officeDocument/2006/relationships/hyperlink" Target="https://www.ancestry.co.uk/family-tree/tree/163868056/family?cfpid=342283809903" TargetMode="External"/><Relationship Id="rId182" Type="http://schemas.openxmlformats.org/officeDocument/2006/relationships/hyperlink" Target="https://www.ancestry.co.uk/discoveryui-matches/compare/8955cf51-8070-4a51-8674-b7f01b347aed/with/7d8589ae-b32f-4468-b353-450797e40cc7" TargetMode="External"/><Relationship Id="rId217" Type="http://schemas.openxmlformats.org/officeDocument/2006/relationships/hyperlink" Target="https://www.ancestry.co.uk/family-tree/person/tree/163868056/person/342132993742/story" TargetMode="External"/><Relationship Id="rId6" Type="http://schemas.openxmlformats.org/officeDocument/2006/relationships/hyperlink" Target="https://www.ancestry.co.uk/family-tree/person/tree/163868056/person/342132992964/facts" TargetMode="External"/><Relationship Id="rId238" Type="http://schemas.openxmlformats.org/officeDocument/2006/relationships/hyperlink" Target="https://www.ancestry.co.uk/discoveryui-matches/compare/8955CF51-8070-4A51-8674-B7F01B347AED/with/2B128DEA-86E0-46FC-9909-D835735DB630/matchesofmatches" TargetMode="External"/><Relationship Id="rId259" Type="http://schemas.openxmlformats.org/officeDocument/2006/relationships/hyperlink" Target="https://www.ancestry.co.uk/family-tree/person/tree/163868056/person/342132992970/facts" TargetMode="External"/><Relationship Id="rId23" Type="http://schemas.openxmlformats.org/officeDocument/2006/relationships/hyperlink" Target="https://www.ancestry.co.uk/family-tree/person/tree/163868056/person/342132993741/story" TargetMode="External"/><Relationship Id="rId119" Type="http://schemas.openxmlformats.org/officeDocument/2006/relationships/hyperlink" Target="https://dnapainter.com/tools/sharedcmv4/10?fbclid=IwAR3wqfKWVRq1DI_x4i7OjYx5ayGhdwQu5Tj-9K3u_CVvBxgEWwX7fHipJPs" TargetMode="External"/><Relationship Id="rId270" Type="http://schemas.openxmlformats.org/officeDocument/2006/relationships/hyperlink" Target="https://www.ancestry.co.uk/family-tree/person/tree/163868056/person/342132992970/facts" TargetMode="External"/><Relationship Id="rId44" Type="http://schemas.openxmlformats.org/officeDocument/2006/relationships/hyperlink" Target="https://www.ancestry.co.uk/family-tree/person/tree/163868056/person/342132993741/story" TargetMode="External"/><Relationship Id="rId65" Type="http://schemas.openxmlformats.org/officeDocument/2006/relationships/hyperlink" Target="https://www.ancestry.co.uk/family-tree/person/tree/163868056/person/342132993742/story" TargetMode="External"/><Relationship Id="rId86" Type="http://schemas.openxmlformats.org/officeDocument/2006/relationships/hyperlink" Target="https://www.ancestry.co.uk/family-tree/tree/163868056/family?cfpid=342339796478" TargetMode="External"/><Relationship Id="rId130" Type="http://schemas.openxmlformats.org/officeDocument/2006/relationships/hyperlink" Target="https://dnapainter.com/tools/sharedcmv4/14?fbclid=IwAR3wqfKWVRq1DI_x4i7OjYx5ayGhdwQu5Tj-9K3u_CVvBxgEWwX7fHipJPs" TargetMode="External"/><Relationship Id="rId151" Type="http://schemas.openxmlformats.org/officeDocument/2006/relationships/hyperlink" Target="https://dnapainter.com/tools/sharedcmv4/13?fbclid=IwAR3wqfKWVRq1DI_x4i7OjYx5ayGhdwQu5Tj-9K3u_CVvBxgEWwX7fHipJPs" TargetMode="External"/><Relationship Id="rId172" Type="http://schemas.openxmlformats.org/officeDocument/2006/relationships/hyperlink" Target="https://www.ancestry.co.uk/family-tree/person/tree/163868056/person/342132992970/facts" TargetMode="External"/><Relationship Id="rId193" Type="http://schemas.openxmlformats.org/officeDocument/2006/relationships/hyperlink" Target="https://www.ancestry.co.uk/family-tree/person/tree/163868056/person/342132993742/story" TargetMode="External"/><Relationship Id="rId207" Type="http://schemas.openxmlformats.org/officeDocument/2006/relationships/hyperlink" Target="https://dnapainter.com/tools/sharedcmv4/8?fbclid=IwAR3wqfKWVRq1DI_x4i7OjYx5ayGhdwQu5Tj-9K3u_CVvBxgEWwX7fHipJPs" TargetMode="External"/><Relationship Id="rId228" Type="http://schemas.openxmlformats.org/officeDocument/2006/relationships/hyperlink" Target="https://www.ancestry.co.uk/family-tree/person/tree/163868056/person/342132993741/story" TargetMode="External"/><Relationship Id="rId249" Type="http://schemas.openxmlformats.org/officeDocument/2006/relationships/hyperlink" Target="https://dnapainter.com/tools/sharedcmv4/12?fbclid=IwAR3wqfKWVRq1DI_x4i7OjYx5ayGhdwQu5Tj-9K3u_CVvBxgEWwX7fHipJPs" TargetMode="External"/><Relationship Id="rId13" Type="http://schemas.openxmlformats.org/officeDocument/2006/relationships/hyperlink" Target="https://www.ancestry.co.uk/family-tree/person/tree/163868056/person/342132992970/facts" TargetMode="External"/><Relationship Id="rId109" Type="http://schemas.openxmlformats.org/officeDocument/2006/relationships/hyperlink" Target="https://www.ancestry.co.uk/discoveryui-matches/compare/50A7C5EF-9E94-44BE-A86A-5736956A97F2/with/5B1FAC1E-6F39-41E0-A30F-2705A06B973F" TargetMode="External"/><Relationship Id="rId260" Type="http://schemas.openxmlformats.org/officeDocument/2006/relationships/hyperlink" Target="https://www.ancestry.co.uk/family-tree/person/tree/163868056/person/342132993741/story" TargetMode="External"/><Relationship Id="rId281" Type="http://schemas.openxmlformats.org/officeDocument/2006/relationships/hyperlink" Target="https://www.ancestry.co.uk/family-tree/person/tree/163868056/person/342132992964/facts" TargetMode="External"/><Relationship Id="rId34" Type="http://schemas.openxmlformats.org/officeDocument/2006/relationships/hyperlink" Target="https://www.ancestry.co.uk/family-tree/person/tree/163868056/person/342132993741/story" TargetMode="External"/><Relationship Id="rId55" Type="http://schemas.openxmlformats.org/officeDocument/2006/relationships/hyperlink" Target="https://www.ancestry.co.uk/family-tree/person/tree/163868056/person/342132993742/story" TargetMode="External"/><Relationship Id="rId76" Type="http://schemas.openxmlformats.org/officeDocument/2006/relationships/hyperlink" Target="https://www.ancestry.co.uk/discoveryui-matches/compare/50a7c5ef-9e94-44be-a86a-5736956a97f2/with/68185cda-cb06-44ec-9bf8-61ba69e1c50e" TargetMode="External"/><Relationship Id="rId97" Type="http://schemas.openxmlformats.org/officeDocument/2006/relationships/hyperlink" Target="https://www.ancestry.co.uk/discoveryui-matches/compare/8955CF51-8070-4A51-8674-B7F01B347AED/with/71CAA9A0-EC10-482C-B4EB-28EEDF5F4001" TargetMode="External"/><Relationship Id="rId120" Type="http://schemas.openxmlformats.org/officeDocument/2006/relationships/hyperlink" Target="https://dnapainter.com/tools/sharedcmv4/10?fbclid=IwAR3wqfKWVRq1DI_x4i7OjYx5ayGhdwQu5Tj-9K3u_CVvBxgEWwX7fHipJPs" TargetMode="External"/><Relationship Id="rId141" Type="http://schemas.openxmlformats.org/officeDocument/2006/relationships/hyperlink" Target="https://dnapainter.com/tools/sharedcmv4/23?fbclid=IwAR3wqfKWVRq1DI_x4i7OjYx5ayGhdwQu5Tj-9K3u_CVvBxgEWwX7fHipJPs" TargetMode="External"/><Relationship Id="rId7" Type="http://schemas.openxmlformats.org/officeDocument/2006/relationships/hyperlink" Target="https://www.ancestry.co.uk/family-tree/person/tree/163868056/person/342132992964/facts" TargetMode="External"/><Relationship Id="rId162" Type="http://schemas.openxmlformats.org/officeDocument/2006/relationships/hyperlink" Target="https://www.ancestry.co.uk/discoveryui-matches/compare/50A7C5EF-9E94-44BE-A86A-5736956A97F2/with/834240E4-D9FE-41BA-9E71-5A895798231C" TargetMode="External"/><Relationship Id="rId183" Type="http://schemas.openxmlformats.org/officeDocument/2006/relationships/hyperlink" Target="https://dnapainter.com/tools/sharedcmv4/11?fbclid=IwAR3wqfKWVRq1DI_x4i7OjYx5ayGhdwQu5Tj-9K3u_CVvBxgEWwX7fHipJPs" TargetMode="External"/><Relationship Id="rId218" Type="http://schemas.openxmlformats.org/officeDocument/2006/relationships/hyperlink" Target="https://www.ancestry.co.uk/family-tree/tree/163868056/family/pedigree?cfpid=342599614328" TargetMode="External"/><Relationship Id="rId239" Type="http://schemas.openxmlformats.org/officeDocument/2006/relationships/hyperlink" Target="https://www.ancestry.co.uk/family-tree/person/tree/163868056/person/342132992970/facts" TargetMode="External"/><Relationship Id="rId250" Type="http://schemas.openxmlformats.org/officeDocument/2006/relationships/hyperlink" Target="https://dnapainter.com/tools/sharedcmv4/16?fbclid=IwAR3wqfKWVRq1DI_x4i7OjYx5ayGhdwQu5Tj-9K3u_CVvBxgEWwX7fHipJPs" TargetMode="External"/><Relationship Id="rId271" Type="http://schemas.openxmlformats.org/officeDocument/2006/relationships/hyperlink" Target="https://www.ancestry.co.uk/family-tree/person/tree/163868056/person/342132992970/facts" TargetMode="External"/><Relationship Id="rId24" Type="http://schemas.openxmlformats.org/officeDocument/2006/relationships/hyperlink" Target="https://www.ancestry.co.uk/family-tree/person/tree/163868056/person/342132993741/story" TargetMode="External"/><Relationship Id="rId45" Type="http://schemas.openxmlformats.org/officeDocument/2006/relationships/hyperlink" Target="https://www.ancestry.co.uk/family-tree/person/tree/163868056/person/342132993742/story" TargetMode="External"/><Relationship Id="rId66" Type="http://schemas.openxmlformats.org/officeDocument/2006/relationships/hyperlink" Target="https://www.ancestry.co.uk/family-tree/person/tree/163868056/person/342132993742/story" TargetMode="External"/><Relationship Id="rId87" Type="http://schemas.openxmlformats.org/officeDocument/2006/relationships/hyperlink" Target="https://www.ancestry.co.uk/family-tree/tree/163868056/family?cfpid=342270044188" TargetMode="External"/><Relationship Id="rId110" Type="http://schemas.openxmlformats.org/officeDocument/2006/relationships/hyperlink" Target="https://www.myheritage.com/dna/match/D-9E1FE62B-73EF-414E-8CC5-9A2285D9F64A-D-23D6F0F7-9C46-43C4-8D47-BBBC742B8DE9/691113321?p=1&amp;ps=10&amp;search=michael%20h%20brett&amp;sort=total_shared_segments_length_in_cm&amp;siteId=691113321&amp;individualId=12000007" TargetMode="External"/><Relationship Id="rId131" Type="http://schemas.openxmlformats.org/officeDocument/2006/relationships/hyperlink" Target="https://dnapainter.com/tools/sharedcmv4/15?fbclid=IwAR3wqfKWVRq1DI_x4i7OjYx5ayGhdwQu5Tj-9K3u_CVvBxgEWwX7fHipJPs" TargetMode="External"/><Relationship Id="rId152" Type="http://schemas.openxmlformats.org/officeDocument/2006/relationships/hyperlink" Target="https://www.ancestry.co.uk/family-tree/person/tree/163868056/person/342132992970/facts" TargetMode="External"/><Relationship Id="rId173" Type="http://schemas.openxmlformats.org/officeDocument/2006/relationships/hyperlink" Target="https://www.ancestry.co.uk/family-tree/person/tree/163868056/person/342132993741/story" TargetMode="External"/><Relationship Id="rId194" Type="http://schemas.openxmlformats.org/officeDocument/2006/relationships/hyperlink" Target="https://www.ancestry.co.uk/discoveryui-matches/compare/8955cf51-8070-4a51-8674-b7f01b347aed/with/b950803c-92ee-4f46-9241-511db58ae0ac" TargetMode="External"/><Relationship Id="rId208" Type="http://schemas.openxmlformats.org/officeDocument/2006/relationships/hyperlink" Target="https://www.ancestry.co.uk/family-tree/tree/163868056/family/pedigree?cfpid=342592974287" TargetMode="External"/><Relationship Id="rId229" Type="http://schemas.openxmlformats.org/officeDocument/2006/relationships/hyperlink" Target="https://www.ancestry.co.uk/family-tree/person/tree/163868056/person/342132993742/story" TargetMode="External"/><Relationship Id="rId240" Type="http://schemas.openxmlformats.org/officeDocument/2006/relationships/hyperlink" Target="https://www.ancestry.co.uk/family-tree/person/tree/163868056/person/342132993741/story" TargetMode="External"/><Relationship Id="rId261" Type="http://schemas.openxmlformats.org/officeDocument/2006/relationships/hyperlink" Target="https://www.ancestry.co.uk/family-tree/person/tree/163868056/person/342132993742/story" TargetMode="External"/><Relationship Id="rId14" Type="http://schemas.openxmlformats.org/officeDocument/2006/relationships/hyperlink" Target="https://www.ancestry.co.uk/family-tree/person/tree/163868056/person/342132992970/facts" TargetMode="External"/><Relationship Id="rId35" Type="http://schemas.openxmlformats.org/officeDocument/2006/relationships/hyperlink" Target="https://www.ancestry.co.uk/family-tree/person/tree/163868056/person/342132993741/story" TargetMode="External"/><Relationship Id="rId56" Type="http://schemas.openxmlformats.org/officeDocument/2006/relationships/hyperlink" Target="https://www.ancestry.co.uk/family-tree/person/tree/163868056/person/342132993742/story" TargetMode="External"/><Relationship Id="rId77" Type="http://schemas.openxmlformats.org/officeDocument/2006/relationships/hyperlink" Target="https://www.ancestry.co.uk/family-tree/tree/163868056/family?cfpid=342273583228" TargetMode="External"/><Relationship Id="rId100" Type="http://schemas.openxmlformats.org/officeDocument/2006/relationships/hyperlink" Target="https://www.ancestry.co.uk/discoveryui-matches/compare/8955CF51-8070-4A51-8674-B7F01B347AED/with/CEFFAB0F-A3FB-4234-B70B-1A17CCD28C05" TargetMode="External"/><Relationship Id="rId282" Type="http://schemas.openxmlformats.org/officeDocument/2006/relationships/hyperlink" Target="https://www.ancestry.co.uk/family-tree/tree/163868056/family/pedigree?cfpid=342640126459" TargetMode="External"/><Relationship Id="rId8" Type="http://schemas.openxmlformats.org/officeDocument/2006/relationships/hyperlink" Target="https://www.ancestry.co.uk/family-tree/person/tree/163868056/person/342132992964/facts" TargetMode="External"/><Relationship Id="rId98" Type="http://schemas.openxmlformats.org/officeDocument/2006/relationships/hyperlink" Target="https://www.ancestry.co.uk/discoveryui-matches/compare/8955CF51-8070-4A51-8674-B7F01B347AED/with/E63ED60F-61E2-4275-9EA9-0AF39974C6E8" TargetMode="External"/><Relationship Id="rId121" Type="http://schemas.openxmlformats.org/officeDocument/2006/relationships/hyperlink" Target="https://dnapainter.com/tools/sharedcmv4/10?fbclid=IwAR3wqfKWVRq1DI_x4i7OjYx5ayGhdwQu5Tj-9K3u_CVvBxgEWwX7fHipJPs" TargetMode="External"/><Relationship Id="rId142" Type="http://schemas.openxmlformats.org/officeDocument/2006/relationships/hyperlink" Target="https://dnapainter.com/tools/sharedcmv4/23?fbclid=IwAR3wqfKWVRq1DI_x4i7OjYx5ayGhdwQu5Tj-9K3u_CVvBxgEWwX7fHipJPs" TargetMode="External"/><Relationship Id="rId163" Type="http://schemas.openxmlformats.org/officeDocument/2006/relationships/hyperlink" Target="https://dnapainter.com/tools/sharedcmv4/11?fbclid=IwAR3wqfKWVRq1DI_x4i7OjYx5ayGhdwQu5Tj-9K3u_CVvBxgEWwX7fHipJPs" TargetMode="External"/><Relationship Id="rId184" Type="http://schemas.openxmlformats.org/officeDocument/2006/relationships/hyperlink" Target="https://www.ancestry.co.uk/family-tree/person/tree/163868056/person/342132992964/facts" TargetMode="External"/><Relationship Id="rId219" Type="http://schemas.openxmlformats.org/officeDocument/2006/relationships/hyperlink" Target="https://www.ancestry.co.uk/discoveryui-matches/compare/8955cf51-8070-4a51-8674-b7f01b347aed/with/a191b646-c9b2-460d-af16-fb4bbfccd406" TargetMode="External"/><Relationship Id="rId230" Type="http://schemas.openxmlformats.org/officeDocument/2006/relationships/hyperlink" Target="https://www.ancestry.co.uk/discoveryui-matches/compare/50A7C5EF-9E94-44BE-A86A-5736956A97F2/with/5B1FAC1E-6F39-41E0-A30F-2705A06B973F" TargetMode="External"/><Relationship Id="rId251" Type="http://schemas.openxmlformats.org/officeDocument/2006/relationships/hyperlink" Target="https://www.ancestry.co.uk/family-tree/tree/163868056/family/pedigree?cfpid=342616123024" TargetMode="External"/><Relationship Id="rId25" Type="http://schemas.openxmlformats.org/officeDocument/2006/relationships/hyperlink" Target="https://www.ancestry.co.uk/family-tree/person/tree/163868056/person/342132993741/story" TargetMode="External"/><Relationship Id="rId46" Type="http://schemas.openxmlformats.org/officeDocument/2006/relationships/hyperlink" Target="https://www.ancestry.co.uk/family-tree/person/tree/163868056/person/342132993742/story" TargetMode="External"/><Relationship Id="rId67" Type="http://schemas.openxmlformats.org/officeDocument/2006/relationships/hyperlink" Target="https://www.ancestry.co.uk/family-tree/person/tree/163868056/person/342132994793/story" TargetMode="External"/><Relationship Id="rId272" Type="http://schemas.openxmlformats.org/officeDocument/2006/relationships/hyperlink" Target="https://www.ancestry.co.uk/family-tree/person/tree/163868056/person/342132993741/story" TargetMode="External"/><Relationship Id="rId88" Type="http://schemas.openxmlformats.org/officeDocument/2006/relationships/hyperlink" Target="https://www.ancestry.co.uk/family-tree/tree/163868056/family?cfpid=342339796478" TargetMode="External"/><Relationship Id="rId111" Type="http://schemas.openxmlformats.org/officeDocument/2006/relationships/hyperlink" Target="https://www.ancestry.co.uk/discoveryui-matches/compare/8955CF51-8070-4A51-8674-B7F01B347AED/with/CEFFAB0F-A3FB-4234-B70B-1A17CCD28C05" TargetMode="External"/><Relationship Id="rId132" Type="http://schemas.openxmlformats.org/officeDocument/2006/relationships/hyperlink" Target="https://dnapainter.com/tools/sharedcmv4/16?fbclid=IwAR3wqfKWVRq1DI_x4i7OjYx5ayGhdwQu5Tj-9K3u_CVvBxgEWwX7fHipJPs" TargetMode="External"/><Relationship Id="rId153" Type="http://schemas.openxmlformats.org/officeDocument/2006/relationships/hyperlink" Target="https://www.ancestry.co.uk/family-tree/person/tree/163868056/person/342132993741/story" TargetMode="External"/><Relationship Id="rId174" Type="http://schemas.openxmlformats.org/officeDocument/2006/relationships/hyperlink" Target="https://www.ancestry.co.uk/family-tree/person/tree/163868056/person/342132993742/story" TargetMode="External"/><Relationship Id="rId195" Type="http://schemas.openxmlformats.org/officeDocument/2006/relationships/hyperlink" Target="https://dnapainter.com/tools/sharedcmv4/9?fbclid=IwAR3wqfKWVRq1DI_x4i7OjYx5ayGhdwQu5Tj-9K3u_CVvBxgEWwX7fHipJPs" TargetMode="External"/><Relationship Id="rId209" Type="http://schemas.openxmlformats.org/officeDocument/2006/relationships/hyperlink" Target="https://www.ancestry.co.uk/family-tree/person/tree/163868056/person/342132994793/story" TargetMode="External"/><Relationship Id="rId220" Type="http://schemas.openxmlformats.org/officeDocument/2006/relationships/hyperlink" Target="https://dnapainter.com/tools/sharedcmv4/8?fbclid=IwAR3wqfKWVRq1DI_x4i7OjYx5ayGhdwQu5Tj-9K3u_CVvBxgEWwX7fHipJPs" TargetMode="External"/><Relationship Id="rId241" Type="http://schemas.openxmlformats.org/officeDocument/2006/relationships/hyperlink" Target="https://www.ancestry.co.uk/family-tree/person/tree/163868056/person/342132993742/story" TargetMode="External"/><Relationship Id="rId15" Type="http://schemas.openxmlformats.org/officeDocument/2006/relationships/hyperlink" Target="https://www.ancestry.co.uk/family-tree/person/tree/163868056/person/342132992970/facts" TargetMode="External"/><Relationship Id="rId36" Type="http://schemas.openxmlformats.org/officeDocument/2006/relationships/hyperlink" Target="https://www.ancestry.co.uk/family-tree/person/tree/163868056/person/342132993741/story" TargetMode="External"/><Relationship Id="rId57" Type="http://schemas.openxmlformats.org/officeDocument/2006/relationships/hyperlink" Target="https://www.ancestry.co.uk/family-tree/person/tree/163868056/person/342132993742/story" TargetMode="External"/><Relationship Id="rId262" Type="http://schemas.openxmlformats.org/officeDocument/2006/relationships/hyperlink" Target="https://www.ancestry.co.uk/family-tree/tree/163868056/family/pedigree?cfpid=342615007655" TargetMode="External"/><Relationship Id="rId78" Type="http://schemas.openxmlformats.org/officeDocument/2006/relationships/hyperlink" Target="https://www.ancestry.co.uk/family-tree/tree/163868056/family?cfpid=342321898350" TargetMode="External"/><Relationship Id="rId99" Type="http://schemas.openxmlformats.org/officeDocument/2006/relationships/hyperlink" Target="https://www.ancestry.co.uk/discoveryui-matches/compare/8955CF51-8070-4A51-8674-B7F01B347AED/with/71CAA9A0-EC10-482C-B4EB-28EEDF5F4001" TargetMode="External"/><Relationship Id="rId101" Type="http://schemas.openxmlformats.org/officeDocument/2006/relationships/hyperlink" Target="https://www.myheritage.com/dna/match/D-9E1FE62B-73EF-414E-8CC5-9A2285D9F64A-D-33E78534-335C-4F65-A33E-0DE8BDB42C4A/691113321?p=1&amp;ps=10&amp;search=caitlin&amp;sort=total_shared_segments_length_in_cm&amp;siteId=691113321&amp;individualId=12000007" TargetMode="External"/><Relationship Id="rId122" Type="http://schemas.openxmlformats.org/officeDocument/2006/relationships/hyperlink" Target="https://dnapainter.com/tools/sharedcmv4/10?fbclid=IwAR3wqfKWVRq1DI_x4i7OjYx5ayGhdwQu5Tj-9K3u_CVvBxgEWwX7fHipJPs" TargetMode="External"/><Relationship Id="rId143" Type="http://schemas.openxmlformats.org/officeDocument/2006/relationships/hyperlink" Target="https://dnapainter.com/tools/sharedcmv4/24?fbclid=IwAR3wqfKWVRq1DI_x4i7OjYx5ayGhdwQu5Tj-9K3u_CVvBxgEWwX7fHipJPs" TargetMode="External"/><Relationship Id="rId164" Type="http://schemas.openxmlformats.org/officeDocument/2006/relationships/hyperlink" Target="https://dnapainter.com/tools/sharedcmv4/15?fbclid=IwAR3wqfKWVRq1DI_x4i7OjYx5ayGhdwQu5Tj-9K3u_CVvBxgEWwX7fHipJPs" TargetMode="External"/><Relationship Id="rId185" Type="http://schemas.openxmlformats.org/officeDocument/2006/relationships/hyperlink" Target="https://www.ancestry.co.uk/family-tree/person/tree/163868056/person/342132993741/story" TargetMode="External"/><Relationship Id="rId9" Type="http://schemas.openxmlformats.org/officeDocument/2006/relationships/hyperlink" Target="https://www.ancestry.co.uk/family-tree/person/tree/163868056/person/342132992970/facts" TargetMode="External"/><Relationship Id="rId210" Type="http://schemas.openxmlformats.org/officeDocument/2006/relationships/hyperlink" Target="https://www.ancestry.co.uk/family-tree/person/tree/163868056/person/342132994806/story" TargetMode="External"/><Relationship Id="rId26" Type="http://schemas.openxmlformats.org/officeDocument/2006/relationships/hyperlink" Target="https://www.ancestry.co.uk/family-tree/person/tree/163868056/person/342132993741/story" TargetMode="External"/><Relationship Id="rId231" Type="http://schemas.openxmlformats.org/officeDocument/2006/relationships/hyperlink" Target="https://dnapainter.com/tools/sharedcmv4/12?fbclid=IwAR3wqfKWVRq1DI_x4i7OjYx5ayGhdwQu5Tj-9K3u_CVvBxgEWwX7fHipJPs" TargetMode="External"/><Relationship Id="rId252" Type="http://schemas.openxmlformats.org/officeDocument/2006/relationships/hyperlink" Target="https://www.ancestry.co.uk/family-tree/person/tree/163868056/person/342132992970/facts" TargetMode="External"/><Relationship Id="rId273" Type="http://schemas.openxmlformats.org/officeDocument/2006/relationships/hyperlink" Target="https://www.ancestry.co.uk/family-tree/person/tree/163868056/person/342132993742/story" TargetMode="External"/><Relationship Id="rId47" Type="http://schemas.openxmlformats.org/officeDocument/2006/relationships/hyperlink" Target="https://www.ancestry.co.uk/family-tree/person/tree/163868056/person/342132993742/story" TargetMode="External"/><Relationship Id="rId68" Type="http://schemas.openxmlformats.org/officeDocument/2006/relationships/hyperlink" Target="https://www.ancestry.co.uk/family-tree/person/tree/163868056/person/342132994806/story" TargetMode="External"/><Relationship Id="rId89" Type="http://schemas.openxmlformats.org/officeDocument/2006/relationships/hyperlink" Target="https://www.ancestry.co.uk/family-tree/person/tree/163868056/person/342476429207/facts" TargetMode="External"/><Relationship Id="rId112" Type="http://schemas.openxmlformats.org/officeDocument/2006/relationships/hyperlink" Target="https://dnapainter.com/tools/sharedcmv4/8?fbclid=IwAR3wqfKWVRq1DI_x4i7OjYx5ayGhdwQu5Tj-9K3u_CVvBxgEWwX7fHipJPs" TargetMode="External"/><Relationship Id="rId133" Type="http://schemas.openxmlformats.org/officeDocument/2006/relationships/hyperlink" Target="https://dnapainter.com/tools/sharedcmv4/16?fbclid=IwAR3wqfKWVRq1DI_x4i7OjYx5ayGhdwQu5Tj-9K3u_CVvBxgEWwX7fHipJPs" TargetMode="External"/><Relationship Id="rId154" Type="http://schemas.openxmlformats.org/officeDocument/2006/relationships/hyperlink" Target="https://www.ancestry.co.uk/family-tree/person/tree/163868056/person/342132993742/story" TargetMode="External"/><Relationship Id="rId175" Type="http://schemas.openxmlformats.org/officeDocument/2006/relationships/hyperlink" Target="https://www.ancestry.co.uk/discoveryui-matches/compare/8955cf51-8070-4a51-8674-b7f01b347aed/with/d63a0538-9ce9-496f-b212-0e3be41aaa0e" TargetMode="External"/><Relationship Id="rId196" Type="http://schemas.openxmlformats.org/officeDocument/2006/relationships/hyperlink" Target="https://www.ancestry.co.uk/family-tree/person/tree/163868056/person/342570517682/facts" TargetMode="External"/><Relationship Id="rId200" Type="http://schemas.openxmlformats.org/officeDocument/2006/relationships/hyperlink" Target="https://dnapainter.com/tools/sharedcmv4/19?fbclid=IwAR3wqfKWVRq1DI_x4i7OjYx5ayGhdwQu5Tj-9K3u_CVvBxgEWwX7fHipJPs" TargetMode="External"/><Relationship Id="rId16" Type="http://schemas.openxmlformats.org/officeDocument/2006/relationships/hyperlink" Target="https://www.ancestry.co.uk/family-tree/person/tree/163868056/person/342132992970/facts" TargetMode="External"/><Relationship Id="rId221" Type="http://schemas.openxmlformats.org/officeDocument/2006/relationships/hyperlink" Target="https://www.ancestry.co.uk/family-tree/person/tree/163868056/person/342132992970/facts" TargetMode="External"/><Relationship Id="rId242" Type="http://schemas.openxmlformats.org/officeDocument/2006/relationships/hyperlink" Target="https://www.ancestry.co.uk/family-tree/tree/163868056/family/pedigree?cfpid=342607797014" TargetMode="External"/><Relationship Id="rId263" Type="http://schemas.openxmlformats.org/officeDocument/2006/relationships/hyperlink" Target="https://www.ancestry.co.uk/discoveryui-matches/compare/8955CF51-8070-4A51-8674-B7F01B347AED/with/D45919F9-A6A9-4496-BCCC-B1CF7EEDF9DC/matchesofmatches" TargetMode="External"/><Relationship Id="rId37" Type="http://schemas.openxmlformats.org/officeDocument/2006/relationships/hyperlink" Target="https://www.ancestry.co.uk/family-tree/person/tree/163868056/person/342132993741/story" TargetMode="External"/><Relationship Id="rId58" Type="http://schemas.openxmlformats.org/officeDocument/2006/relationships/hyperlink" Target="https://www.ancestry.co.uk/family-tree/person/tree/163868056/person/342132993742/story" TargetMode="External"/><Relationship Id="rId79" Type="http://schemas.openxmlformats.org/officeDocument/2006/relationships/hyperlink" Target="https://www.ancestry.co.uk/family-tree/tree/163868056/family/pedigree?cfpid=342268845396" TargetMode="External"/><Relationship Id="rId102" Type="http://schemas.openxmlformats.org/officeDocument/2006/relationships/hyperlink" Target="https://www.ancestry.co.uk/discoveryui-matches/compare/8955CF51-8070-4A51-8674-B7F01B347AED/with/188A0720-6603-4BD1-9F11-1E589C5834C6" TargetMode="External"/><Relationship Id="rId123" Type="http://schemas.openxmlformats.org/officeDocument/2006/relationships/hyperlink" Target="https://dnapainter.com/tools/sharedcmv4/10?fbclid=IwAR3wqfKWVRq1DI_x4i7OjYx5ayGhdwQu5Tj-9K3u_CVvBxgEWwX7fHipJPs" TargetMode="External"/><Relationship Id="rId144" Type="http://schemas.openxmlformats.org/officeDocument/2006/relationships/hyperlink" Target="https://dnapainter.com/tools/sharedcmv4/18?fbclid=IwAR3wqfKWVRq1DI_x4i7OjYx5ayGhdwQu5Tj-9K3u_CVvBxgEWwX7fHipJPs" TargetMode="External"/><Relationship Id="rId90" Type="http://schemas.openxmlformats.org/officeDocument/2006/relationships/hyperlink" Target="https://www.ancestry.com/discoveryui-matches/compare/8955CF51-8070-4A51-8674-B7F01B347AED/with/DC8356F0-B5AC-4A9C-AD01-FCAFC48A1F47" TargetMode="External"/><Relationship Id="rId165" Type="http://schemas.openxmlformats.org/officeDocument/2006/relationships/hyperlink" Target="https://www.ancestry.co.uk/family-tree/person/tree/163868056/person/342132992970/facts" TargetMode="External"/><Relationship Id="rId186" Type="http://schemas.openxmlformats.org/officeDocument/2006/relationships/hyperlink" Target="https://www.ancestry.co.uk/family-tree/person/tree/163868056/person/342132993742/story" TargetMode="External"/><Relationship Id="rId211" Type="http://schemas.openxmlformats.org/officeDocument/2006/relationships/hyperlink" Target="https://www.ancestry.co.uk/discoveryui-matches/compare/8955cf51-8070-4a51-8674-b7f01b347aed/with/1ce49fbb-139e-40ab-8c7e-623d48a20828" TargetMode="External"/><Relationship Id="rId232" Type="http://schemas.openxmlformats.org/officeDocument/2006/relationships/hyperlink" Target="https://www.ancestry.co.uk/family-tree/tree/163868056/family/pedigree?cfpid=342592932712" TargetMode="External"/><Relationship Id="rId253" Type="http://schemas.openxmlformats.org/officeDocument/2006/relationships/hyperlink" Target="https://www.ancestry.co.uk/family-tree/person/tree/163868056/person/342132993741/story" TargetMode="External"/><Relationship Id="rId274" Type="http://schemas.openxmlformats.org/officeDocument/2006/relationships/hyperlink" Target="https://www.ancestry.co.uk/family-tree/tree/163868056/family/pedigree?cfpid=342635764987" TargetMode="External"/><Relationship Id="rId27" Type="http://schemas.openxmlformats.org/officeDocument/2006/relationships/hyperlink" Target="https://www.ancestry.co.uk/family-tree/person/tree/163868056/person/342132993741/story" TargetMode="External"/><Relationship Id="rId48" Type="http://schemas.openxmlformats.org/officeDocument/2006/relationships/hyperlink" Target="https://www.ancestry.co.uk/family-tree/person/tree/163868056/person/342132993742/story" TargetMode="External"/><Relationship Id="rId69" Type="http://schemas.openxmlformats.org/officeDocument/2006/relationships/hyperlink" Target="https://www.ancestry.co.uk/family-tree/tree/163868056/family?cfpid=342194858070" TargetMode="External"/><Relationship Id="rId113" Type="http://schemas.openxmlformats.org/officeDocument/2006/relationships/hyperlink" Target="https://dnapainter.com/tools/sharedcmv4/9?fbclid=IwAR3wqfKWVRq1DI_x4i7OjYx5ayGhdwQu5Tj-9K3u_CVvBxgEWwX7fHipJPs" TargetMode="External"/><Relationship Id="rId134" Type="http://schemas.openxmlformats.org/officeDocument/2006/relationships/hyperlink" Target="https://dnapainter.com/tools/sharedcmv4/16?fbclid=IwAR3wqfKWVRq1DI_x4i7OjYx5ayGhdwQu5Tj-9K3u_CVvBxgEWwX7fHipJPs" TargetMode="External"/><Relationship Id="rId80" Type="http://schemas.openxmlformats.org/officeDocument/2006/relationships/hyperlink" Target="https://www.ancestry.co.uk/family-tree/tree/163868056/family?cfpid=342266632454" TargetMode="External"/><Relationship Id="rId155" Type="http://schemas.openxmlformats.org/officeDocument/2006/relationships/hyperlink" Target="https://www.ancestry.co.uk/family-tree/tree/163868056/family/pedigree?cfpid=342513052398" TargetMode="External"/><Relationship Id="rId176" Type="http://schemas.openxmlformats.org/officeDocument/2006/relationships/hyperlink" Target="https://dnapainter.com/tools/sharedcmv4/11?fbclid=IwAR3wqfKWVRq1DI_x4i7OjYx5ayGhdwQu5Tj-9K3u_CVvBxgEWwX7fHipJPs" TargetMode="External"/><Relationship Id="rId197" Type="http://schemas.openxmlformats.org/officeDocument/2006/relationships/hyperlink" Target="https://www.ancestry.co.uk/family-tree/person/tree/163868056/person/342132992964/facts" TargetMode="External"/><Relationship Id="rId201" Type="http://schemas.openxmlformats.org/officeDocument/2006/relationships/hyperlink" Target="https://www.ancestry.co.uk/family-tree/tree/163868056/family/pedigree?cfpid=342599614205" TargetMode="External"/><Relationship Id="rId222" Type="http://schemas.openxmlformats.org/officeDocument/2006/relationships/hyperlink" Target="https://www.ancestry.co.uk/family-tree/person/tree/163868056/person/342132993741/story" TargetMode="External"/><Relationship Id="rId243" Type="http://schemas.openxmlformats.org/officeDocument/2006/relationships/hyperlink" Target="https://www.ancestry.co.uk/discoveryui-matches/compare/8955cf51-8070-4a51-8674-b7f01b347aed/with/7d73cd49-4936-44c4-ba1d-a37e0b043941" TargetMode="External"/><Relationship Id="rId264" Type="http://schemas.openxmlformats.org/officeDocument/2006/relationships/hyperlink" Target="https://dnapainter.com/tools/sharedcmv4/9?fbclid=IwAR3wqfKWVRq1DI_x4i7OjYx5ayGhdwQu5Tj-9K3u_CVvBxgEWwX7fHipJPs" TargetMode="External"/><Relationship Id="rId17" Type="http://schemas.openxmlformats.org/officeDocument/2006/relationships/hyperlink" Target="https://www.ancestry.co.uk/family-tree/person/tree/163868056/person/342132992970/facts" TargetMode="External"/><Relationship Id="rId38" Type="http://schemas.openxmlformats.org/officeDocument/2006/relationships/hyperlink" Target="https://www.ancestry.co.uk/family-tree/person/tree/163868056/person/342132993741/story" TargetMode="External"/><Relationship Id="rId59" Type="http://schemas.openxmlformats.org/officeDocument/2006/relationships/hyperlink" Target="https://www.ancestry.co.uk/family-tree/person/tree/163868056/person/342132993742/story" TargetMode="External"/><Relationship Id="rId103" Type="http://schemas.openxmlformats.org/officeDocument/2006/relationships/hyperlink" Target="https://www.ancestry.co.uk/discoveryui-matches/compare/8955CF51-8070-4A51-8674-B7F01B347AED/with/4292225C-DA99-4D39-A5FB-ED702B33C02A" TargetMode="External"/><Relationship Id="rId124" Type="http://schemas.openxmlformats.org/officeDocument/2006/relationships/hyperlink" Target="https://dnapainter.com/tools/sharedcmv4/10?fbclid=IwAR3wqfKWVRq1DI_x4i7OjYx5ayGhdwQu5Tj-9K3u_CVvBxgEWwX7fHipJPs" TargetMode="External"/><Relationship Id="rId70" Type="http://schemas.openxmlformats.org/officeDocument/2006/relationships/hyperlink" Target="https://www.ancestry.co.uk/discoveryui-matches/compare/50a7c5ef-9e94-44be-a86a-5736956a97f2/with/f3fa9167-392f-4118-bcd3-78fd3f4f1f64" TargetMode="External"/><Relationship Id="rId91" Type="http://schemas.openxmlformats.org/officeDocument/2006/relationships/hyperlink" Target="https://www.ancestry.com/family-tree/tree/163868056/family?cfpid=342413589306" TargetMode="External"/><Relationship Id="rId145" Type="http://schemas.openxmlformats.org/officeDocument/2006/relationships/hyperlink" Target="https://www.ancestry.co.uk/family-tree/person/tree/163868056/person/342132992970/facts" TargetMode="External"/><Relationship Id="rId166" Type="http://schemas.openxmlformats.org/officeDocument/2006/relationships/hyperlink" Target="https://www.ancestry.co.uk/family-tree/person/tree/163868056/person/342132992970/facts" TargetMode="External"/><Relationship Id="rId187" Type="http://schemas.openxmlformats.org/officeDocument/2006/relationships/hyperlink" Target="https://www.ancestry.co.uk/discoveryui-matches/compare/50A7C5EF-9E94-44BE-A86A-5736956A97F2/with/5B1FAC1E-6F39-41E0-A30F-2705A06B973F" TargetMode="External"/><Relationship Id="rId1" Type="http://schemas.openxmlformats.org/officeDocument/2006/relationships/hyperlink" Target="https://www.ancestry.co.uk/family-tree/person/tree/163868056/person/342132992964/facts" TargetMode="External"/><Relationship Id="rId212" Type="http://schemas.openxmlformats.org/officeDocument/2006/relationships/hyperlink" Target="https://dnapainter.com/tools/sharedcmv4/8?fbclid=IwAR3wqfKWVRq1DI_x4i7OjYx5ayGhdwQu5Tj-9K3u_CVvBxgEWwX7fHipJPs" TargetMode="External"/><Relationship Id="rId233" Type="http://schemas.openxmlformats.org/officeDocument/2006/relationships/hyperlink" Target="https://www.ancestry.co.uk/family-tree/person/tree/163868056/person/342132992964/facts" TargetMode="External"/><Relationship Id="rId254" Type="http://schemas.openxmlformats.org/officeDocument/2006/relationships/hyperlink" Target="https://www.ancestry.co.uk/family-tree/person/tree/163868056/person/342132993742/story" TargetMode="External"/><Relationship Id="rId28" Type="http://schemas.openxmlformats.org/officeDocument/2006/relationships/hyperlink" Target="https://www.ancestry.co.uk/family-tree/person/tree/163868056/person/342132993741/story" TargetMode="External"/><Relationship Id="rId49" Type="http://schemas.openxmlformats.org/officeDocument/2006/relationships/hyperlink" Target="https://www.ancestry.co.uk/family-tree/person/tree/163868056/person/342132993742/story" TargetMode="External"/><Relationship Id="rId114" Type="http://schemas.openxmlformats.org/officeDocument/2006/relationships/hyperlink" Target="https://dnapainter.com/tools/sharedcmv4/9?fbclid=IwAR3wqfKWVRq1DI_x4i7OjYx5ayGhdwQu5Tj-9K3u_CVvBxgEWwX7fHipJPs" TargetMode="External"/><Relationship Id="rId275" Type="http://schemas.openxmlformats.org/officeDocument/2006/relationships/hyperlink" Target="https://www.ancestry.co.uk/discoveryui-matches/compare/8955cf51-8070-4a51-8674-b7f01b347aed/with/6cc8d708-4f4f-4363-97ad-6c1bfc42fe8f" TargetMode="External"/><Relationship Id="rId60" Type="http://schemas.openxmlformats.org/officeDocument/2006/relationships/hyperlink" Target="https://www.ancestry.co.uk/family-tree/person/tree/163868056/person/342132993742/story" TargetMode="External"/><Relationship Id="rId81" Type="http://schemas.openxmlformats.org/officeDocument/2006/relationships/hyperlink" Target="https://www.ancestry.co.uk/family-tree/tree/163868056/family?cfpid=342268843433" TargetMode="External"/><Relationship Id="rId135" Type="http://schemas.openxmlformats.org/officeDocument/2006/relationships/hyperlink" Target="https://dnapainter.com/tools/sharedcmv4/20?fbclid=IwAR3wqfKWVRq1DI_x4i7OjYx5ayGhdwQu5Tj-9K3u_CVvBxgEWwX7fHipJPs" TargetMode="External"/><Relationship Id="rId156" Type="http://schemas.openxmlformats.org/officeDocument/2006/relationships/hyperlink" Target="https://www.ancestry.co.uk/discoveryui-matches/compare/8955CF51-8070-4A51-8674-B7F01B347AED/with/B2A8A6E2-A2C9-4F27-AE6B-06387968C9EA" TargetMode="External"/><Relationship Id="rId177" Type="http://schemas.openxmlformats.org/officeDocument/2006/relationships/hyperlink" Target="https://www.ancestry.co.uk/family-tree/tree/163868056/family?cfpid=342521508372" TargetMode="External"/><Relationship Id="rId198" Type="http://schemas.openxmlformats.org/officeDocument/2006/relationships/hyperlink" Target="https://www.ancestry.co.uk/family-tree/person/tree/163868056/person/342132993741/story" TargetMode="External"/><Relationship Id="rId202" Type="http://schemas.openxmlformats.org/officeDocument/2006/relationships/hyperlink" Target="https://www.ancestry.co.uk/discoveryui-matches/compare/8955CF51-8070-4A51-8674-B7F01B347AED/with/2B128DEA-86E0-46FC-9909-D835735DB630/matchesofmatches" TargetMode="External"/><Relationship Id="rId223" Type="http://schemas.openxmlformats.org/officeDocument/2006/relationships/hyperlink" Target="https://www.ancestry.co.uk/family-tree/person/tree/163868056/person/342132993742/story" TargetMode="External"/><Relationship Id="rId244" Type="http://schemas.openxmlformats.org/officeDocument/2006/relationships/hyperlink" Target="https://dnapainter.com/tools/sharedcmv4/11?fbclid=IwAR3wqfKWVRq1DI_x4i7OjYx5ayGhdwQu5Tj-9K3u_CVvBxgEWwX7fHipJPs" TargetMode="External"/><Relationship Id="rId18" Type="http://schemas.openxmlformats.org/officeDocument/2006/relationships/hyperlink" Target="https://www.ancestry.co.uk/family-tree/person/tree/163868056/person/342132992970/facts" TargetMode="External"/><Relationship Id="rId39" Type="http://schemas.openxmlformats.org/officeDocument/2006/relationships/hyperlink" Target="https://www.ancestry.co.uk/family-tree/person/tree/163868056/person/342132993741/story" TargetMode="External"/><Relationship Id="rId265" Type="http://schemas.openxmlformats.org/officeDocument/2006/relationships/hyperlink" Target="https://www.ancestry.co.uk/family-tree/tree/163868056/family/pedigree?cfpid=342288234307" TargetMode="External"/><Relationship Id="rId50" Type="http://schemas.openxmlformats.org/officeDocument/2006/relationships/hyperlink" Target="https://www.ancestry.co.uk/family-tree/person/tree/163868056/person/342132993742/story" TargetMode="External"/><Relationship Id="rId104" Type="http://schemas.openxmlformats.org/officeDocument/2006/relationships/hyperlink" Target="https://www.ancestry.co.uk/discoveryui-matches/compare/8955CF51-8070-4A51-8674-B7F01B347AED/with/556A58C4-83F4-4144-A3B6-4408D429CA5F" TargetMode="External"/><Relationship Id="rId125" Type="http://schemas.openxmlformats.org/officeDocument/2006/relationships/hyperlink" Target="https://dnapainter.com/tools/sharedcmv4/11?fbclid=IwAR3wqfKWVRq1DI_x4i7OjYx5ayGhdwQu5Tj-9K3u_CVvBxgEWwX7fHipJPs" TargetMode="External"/><Relationship Id="rId146" Type="http://schemas.openxmlformats.org/officeDocument/2006/relationships/hyperlink" Target="https://www.ancestry.co.uk/family-tree/person/tree/163868056/person/342132993741/story" TargetMode="External"/><Relationship Id="rId167" Type="http://schemas.openxmlformats.org/officeDocument/2006/relationships/hyperlink" Target="https://www.ancestry.co.uk/family-tree/person/tree/163868056/person/342132993741/story" TargetMode="External"/><Relationship Id="rId188" Type="http://schemas.openxmlformats.org/officeDocument/2006/relationships/hyperlink" Target="https://dnapainter.com/tools/sharedcmv4/12?fbclid=IwAR3wqfKWVRq1DI_x4i7OjYx5ayGhdwQu5Tj-9K3u_CVvBxgEWwX7fHipJPs" TargetMode="External"/><Relationship Id="rId71" Type="http://schemas.openxmlformats.org/officeDocument/2006/relationships/hyperlink" Target="https://www.ancestry.co.uk/family-tree/tree/163868056/family?cfpid=342180756334" TargetMode="External"/><Relationship Id="rId92" Type="http://schemas.openxmlformats.org/officeDocument/2006/relationships/hyperlink" Target="https://www.ancestry.com/family-tree/tree/163868056/family?cfpid=342268845481" TargetMode="External"/><Relationship Id="rId213" Type="http://schemas.openxmlformats.org/officeDocument/2006/relationships/hyperlink" Target="https://www.ancestry.co.uk/family-tree/tree/163868056/family/pedigree?cfpid=342592938279" TargetMode="External"/><Relationship Id="rId234" Type="http://schemas.openxmlformats.org/officeDocument/2006/relationships/hyperlink" Target="https://www.ancestry.co.uk/family-tree/person/tree/163868056/person/342132993741/story" TargetMode="External"/><Relationship Id="rId2" Type="http://schemas.openxmlformats.org/officeDocument/2006/relationships/hyperlink" Target="https://www.ancestry.co.uk/family-tree/person/tree/163868056/person/342132992964/facts" TargetMode="External"/><Relationship Id="rId29" Type="http://schemas.openxmlformats.org/officeDocument/2006/relationships/hyperlink" Target="https://www.ancestry.co.uk/family-tree/person/tree/163868056/person/342132993741/story" TargetMode="External"/><Relationship Id="rId255" Type="http://schemas.openxmlformats.org/officeDocument/2006/relationships/hyperlink" Target="https://www.ancestry.co.uk/discoveryui-matches/compare/8955CF51-8070-4A51-8674-B7F01B347AED/with/0A0228AD-2805-4310-B635-530F995B5A45/matchesofmatches" TargetMode="External"/><Relationship Id="rId276" Type="http://schemas.openxmlformats.org/officeDocument/2006/relationships/hyperlink" Target="https://dnapainter.com/tools/sharedcmv4/8?fbclid=IwAR3wqfKWVRq1DI_x4i7OjYx5ayGhdwQu5Tj-9K3u_CVvBxgEWwX7fHipJPs" TargetMode="External"/><Relationship Id="rId40" Type="http://schemas.openxmlformats.org/officeDocument/2006/relationships/hyperlink" Target="https://www.ancestry.co.uk/family-tree/person/tree/163868056/person/342132993741/story" TargetMode="External"/><Relationship Id="rId115" Type="http://schemas.openxmlformats.org/officeDocument/2006/relationships/hyperlink" Target="https://dnapainter.com/tools/sharedcmv4/9?fbclid=IwAR3wqfKWVRq1DI_x4i7OjYx5ayGhdwQu5Tj-9K3u_CVvBxgEWwX7fHipJPs" TargetMode="External"/><Relationship Id="rId136" Type="http://schemas.openxmlformats.org/officeDocument/2006/relationships/hyperlink" Target="https://dnapainter.com/tools/sharedcmv4/20?fbclid=IwAR3wqfKWVRq1DI_x4i7OjYx5ayGhdwQu5Tj-9K3u_CVvBxgEWwX7fHipJPs" TargetMode="External"/><Relationship Id="rId157" Type="http://schemas.openxmlformats.org/officeDocument/2006/relationships/hyperlink" Target="https://dnapainter.com/tools/sharedcmv4/9?fbclid=IwAR3wqfKWVRq1DI_x4i7OjYx5ayGhdwQu5Tj-9K3u_CVvBxgEWwX7fHipJPs" TargetMode="External"/><Relationship Id="rId178" Type="http://schemas.openxmlformats.org/officeDocument/2006/relationships/hyperlink" Target="https://www.ancestry.co.uk/family-tree/person/tree/163868056/person/342132992970/facts" TargetMode="External"/><Relationship Id="rId61" Type="http://schemas.openxmlformats.org/officeDocument/2006/relationships/hyperlink" Target="https://www.ancestry.co.uk/family-tree/person/tree/163868056/person/342132993742/story" TargetMode="External"/><Relationship Id="rId82" Type="http://schemas.openxmlformats.org/officeDocument/2006/relationships/hyperlink" Target="https://www.ancestry.co.uk/family-tree/tree/163868056/family?cfpid=342296745335" TargetMode="External"/><Relationship Id="rId199" Type="http://schemas.openxmlformats.org/officeDocument/2006/relationships/hyperlink" Target="https://www.ancestry.co.uk/family-tree/person/tree/163868056/person/342132993742/story" TargetMode="External"/><Relationship Id="rId203" Type="http://schemas.openxmlformats.org/officeDocument/2006/relationships/hyperlink" Target="https://www.ancestry.co.uk/family-tree/person/tree/163868056/person/342132992970/facts" TargetMode="External"/><Relationship Id="rId19" Type="http://schemas.openxmlformats.org/officeDocument/2006/relationships/hyperlink" Target="https://www.ancestry.co.uk/family-tree/person/tree/163868056/person/342132992970/facts" TargetMode="External"/><Relationship Id="rId224" Type="http://schemas.openxmlformats.org/officeDocument/2006/relationships/hyperlink" Target="https://www.ancestry.co.uk/family-tree/tree/163868056/family/pedigree?cfpid=342599614254" TargetMode="External"/><Relationship Id="rId245" Type="http://schemas.openxmlformats.org/officeDocument/2006/relationships/hyperlink" Target="https://www.ancestry.co.uk/family-tree/person/tree/163868056/person/342132992970/facts" TargetMode="External"/><Relationship Id="rId266" Type="http://schemas.openxmlformats.org/officeDocument/2006/relationships/hyperlink" Target="https://www.ancestry.co.uk/discoveryui-matches/compare/8955cf51-8070-4a51-8674-b7f01b347aed/with/556a58c4-83f4-4144-a3b6-4408d429ca5f" TargetMode="External"/><Relationship Id="rId30" Type="http://schemas.openxmlformats.org/officeDocument/2006/relationships/hyperlink" Target="https://www.ancestry.co.uk/family-tree/person/tree/163868056/person/342132993741/story" TargetMode="External"/><Relationship Id="rId105" Type="http://schemas.openxmlformats.org/officeDocument/2006/relationships/hyperlink" Target="https://www.ancestry.co.uk/discoveryui-matches/compare/8955CF51-8070-4A51-8674-B7F01B347AED/with/B0A218F2-5604-49F6-AFE9-F6C8C71D121F" TargetMode="External"/><Relationship Id="rId126" Type="http://schemas.openxmlformats.org/officeDocument/2006/relationships/hyperlink" Target="https://dnapainter.com/tools/sharedcmv4/11?fbclid=IwAR3wqfKWVRq1DI_x4i7OjYx5ayGhdwQu5Tj-9K3u_CVvBxgEWwX7fHipJPs" TargetMode="External"/><Relationship Id="rId147" Type="http://schemas.openxmlformats.org/officeDocument/2006/relationships/hyperlink" Target="https://www.ancestry.co.uk/family-tree/person/tree/163868056/person/342132993742/story" TargetMode="External"/><Relationship Id="rId168" Type="http://schemas.openxmlformats.org/officeDocument/2006/relationships/hyperlink" Target="https://www.ancestry.co.uk/family-tree/person/tree/163868056/person/342132993742/story" TargetMode="External"/><Relationship Id="rId51" Type="http://schemas.openxmlformats.org/officeDocument/2006/relationships/hyperlink" Target="https://www.ancestry.co.uk/family-tree/person/tree/163868056/person/342132993742/story" TargetMode="External"/><Relationship Id="rId72" Type="http://schemas.openxmlformats.org/officeDocument/2006/relationships/hyperlink" Target="https://www.ancestry.co.uk/discoveryui-matches/compare/50a7c5ef-9e94-44be-a86a-5736956a97f2/with/af089654-c28d-44a8-a0d0-a8566d4a6a7b" TargetMode="External"/><Relationship Id="rId93" Type="http://schemas.openxmlformats.org/officeDocument/2006/relationships/hyperlink" Target="https://www.ancestry.com/family-tree/tree/163868056/family?cfpid=342268846176" TargetMode="External"/><Relationship Id="rId189" Type="http://schemas.openxmlformats.org/officeDocument/2006/relationships/hyperlink" Target="https://www.ancestry.co.uk/family-tree/tree/163868056/family/pedigree?cfpid=342557180273" TargetMode="External"/><Relationship Id="rId3" Type="http://schemas.openxmlformats.org/officeDocument/2006/relationships/hyperlink" Target="https://www.ancestry.co.uk/family-tree/person/tree/163868056/person/342132992964/facts" TargetMode="External"/><Relationship Id="rId214" Type="http://schemas.openxmlformats.org/officeDocument/2006/relationships/hyperlink" Target="https://www.ancestry.co.uk/family-tree/person/tree/163868056/person/342132992970/facts" TargetMode="External"/><Relationship Id="rId235" Type="http://schemas.openxmlformats.org/officeDocument/2006/relationships/hyperlink" Target="https://www.ancestry.co.uk/family-tree/person/tree/163868056/person/342132993742/story" TargetMode="External"/><Relationship Id="rId256" Type="http://schemas.openxmlformats.org/officeDocument/2006/relationships/hyperlink" Target="https://dnapainter.com/tools/sharedcmv4/10?fbclid=IwAR3wqfKWVRq1DI_x4i7OjYx5ayGhdwQu5Tj-9K3u_CVvBxgEWwX7fHipJPs" TargetMode="External"/><Relationship Id="rId277" Type="http://schemas.openxmlformats.org/officeDocument/2006/relationships/hyperlink" Target="https://www.ancestry.co.uk/discoveryui-matches/compare/50a7c5ef-9e94-44be-a86a-5736956a97f2/with/fdfd44e5-d9ca-4fef-a80f-1433f27f9cf2" TargetMode="External"/><Relationship Id="rId116" Type="http://schemas.openxmlformats.org/officeDocument/2006/relationships/hyperlink" Target="https://dnapainter.com/tools/sharedcmv4/9?fbclid=IwAR3wqfKWVRq1DI_x4i7OjYx5ayGhdwQu5Tj-9K3u_CVvBxgEWwX7fHipJPs" TargetMode="External"/><Relationship Id="rId137" Type="http://schemas.openxmlformats.org/officeDocument/2006/relationships/hyperlink" Target="https://dnapainter.com/tools/sharedcmv4/20?fbclid=IwAR3wqfKWVRq1DI_x4i7OjYx5ayGhdwQu5Tj-9K3u_CVvBxgEWwX7fHipJPs" TargetMode="External"/><Relationship Id="rId158" Type="http://schemas.openxmlformats.org/officeDocument/2006/relationships/hyperlink" Target="https://www.ancestry.co.uk/family-tree/person/tree/163868056/person/342132992964/facts" TargetMode="External"/><Relationship Id="rId20" Type="http://schemas.openxmlformats.org/officeDocument/2006/relationships/hyperlink" Target="https://www.ancestry.co.uk/family-tree/person/tree/163868056/person/342132992970/facts" TargetMode="External"/><Relationship Id="rId41" Type="http://schemas.openxmlformats.org/officeDocument/2006/relationships/hyperlink" Target="https://www.ancestry.co.uk/family-tree/person/tree/163868056/person/342132993741/story" TargetMode="External"/><Relationship Id="rId62" Type="http://schemas.openxmlformats.org/officeDocument/2006/relationships/hyperlink" Target="https://www.ancestry.co.uk/family-tree/person/tree/163868056/person/342132993742/story" TargetMode="External"/><Relationship Id="rId83" Type="http://schemas.openxmlformats.org/officeDocument/2006/relationships/hyperlink" Target="https://www.ancestry.co.uk/family-tree/tree/163868056/family?cfpid=342288234307" TargetMode="External"/><Relationship Id="rId179" Type="http://schemas.openxmlformats.org/officeDocument/2006/relationships/hyperlink" Target="https://www.ancestry.co.uk/family-tree/person/tree/163868056/person/342132993741/story" TargetMode="External"/><Relationship Id="rId190" Type="http://schemas.openxmlformats.org/officeDocument/2006/relationships/hyperlink" Target="https://dnapainter.com/tools/sharedcmv4/10?fbclid=IwAR3wqfKWVRq1DI_x4i7OjYx5ayGhdwQu5Tj-9K3u_CVvBxgEWwX7fHipJPs" TargetMode="External"/><Relationship Id="rId204" Type="http://schemas.openxmlformats.org/officeDocument/2006/relationships/hyperlink" Target="https://www.ancestry.co.uk/family-tree/person/tree/163868056/person/342132993741/story" TargetMode="External"/><Relationship Id="rId225" Type="http://schemas.openxmlformats.org/officeDocument/2006/relationships/hyperlink" Target="https://www.ancestry.co.uk/discoveryui-matches/compare/8955cf51-8070-4a51-8674-b7f01b347aed/with/a191b646-c9b2-460d-af16-fb4bbfccd406" TargetMode="External"/><Relationship Id="rId246" Type="http://schemas.openxmlformats.org/officeDocument/2006/relationships/hyperlink" Target="https://www.ancestry.co.uk/family-tree/person/tree/163868056/person/342132993741/story" TargetMode="External"/><Relationship Id="rId267" Type="http://schemas.openxmlformats.org/officeDocument/2006/relationships/hyperlink" Target="https://dnapainter.com/tools/sharedcmv4/11?fbclid=IwAR3wqfKWVRq1DI_x4i7OjYx5ayGhdwQu5Tj-9K3u_CVvBxgEWwX7fHipJPs" TargetMode="External"/><Relationship Id="rId106" Type="http://schemas.openxmlformats.org/officeDocument/2006/relationships/hyperlink" Target="https://www.ancestry.co.uk/discoveryui-matches/compare/8955CF51-8070-4A51-8674-B7F01B347AED/with/0EEE4C8C-BFE7-42F5-BB30-333C0E56C9DB" TargetMode="External"/><Relationship Id="rId127" Type="http://schemas.openxmlformats.org/officeDocument/2006/relationships/hyperlink" Target="https://dnapainter.com/tools/sharedcmv4/11?fbclid=IwAR3wqfKWVRq1DI_x4i7OjYx5ayGhdwQu5Tj-9K3u_CVvBxgEWwX7fHipJPs" TargetMode="External"/><Relationship Id="rId10" Type="http://schemas.openxmlformats.org/officeDocument/2006/relationships/hyperlink" Target="https://www.ancestry.co.uk/family-tree/person/tree/163868056/person/342132992970/facts" TargetMode="External"/><Relationship Id="rId31" Type="http://schemas.openxmlformats.org/officeDocument/2006/relationships/hyperlink" Target="https://www.ancestry.co.uk/family-tree/person/tree/163868056/person/342132993741/story" TargetMode="External"/><Relationship Id="rId52" Type="http://schemas.openxmlformats.org/officeDocument/2006/relationships/hyperlink" Target="https://www.ancestry.co.uk/family-tree/person/tree/163868056/person/342132993742/story" TargetMode="External"/><Relationship Id="rId73" Type="http://schemas.openxmlformats.org/officeDocument/2006/relationships/hyperlink" Target="https://www.ancestry.co.uk/family-tree/tree/163868056/family?cfpid=342153527141" TargetMode="External"/><Relationship Id="rId94" Type="http://schemas.openxmlformats.org/officeDocument/2006/relationships/hyperlink" Target="https://www.ancestry.com/family-tree/tree/163868056/family?cfpid=342412209508" TargetMode="External"/><Relationship Id="rId148" Type="http://schemas.openxmlformats.org/officeDocument/2006/relationships/hyperlink" Target="https://www.ancestry.co.uk/discoveryui-matches/compare/50a7c5ef-9e94-44be-a86a-5736956a97f2/with/e95b045d-9d24-453f-a02c-8f76ca3442ed" TargetMode="External"/><Relationship Id="rId169" Type="http://schemas.openxmlformats.org/officeDocument/2006/relationships/hyperlink" Target="https://www.ancestry.co.uk/family-tree/tree/163868056/family/pedigree?cfpid=342513228943" TargetMode="External"/><Relationship Id="rId4" Type="http://schemas.openxmlformats.org/officeDocument/2006/relationships/hyperlink" Target="https://www.ancestry.co.uk/family-tree/person/tree/163868056/person/342132992964/facts" TargetMode="External"/><Relationship Id="rId180" Type="http://schemas.openxmlformats.org/officeDocument/2006/relationships/hyperlink" Target="https://www.ancestry.co.uk/family-tree/person/tree/163868056/person/342132993742/story" TargetMode="External"/><Relationship Id="rId215" Type="http://schemas.openxmlformats.org/officeDocument/2006/relationships/hyperlink" Target="https://www.ancestry.co.uk/family-tree/person/tree/163868056/person/342132992970/facts" TargetMode="External"/><Relationship Id="rId236" Type="http://schemas.openxmlformats.org/officeDocument/2006/relationships/hyperlink" Target="https://dnapainter.com/tools/sharedcmv4/18?fbclid=IwAR3wqfKWVRq1DI_x4i7OjYx5ayGhdwQu5Tj-9K3u_CVvBxgEWwX7fHipJPs" TargetMode="External"/><Relationship Id="rId257" Type="http://schemas.openxmlformats.org/officeDocument/2006/relationships/hyperlink" Target="https://www.ancestry.co.uk/family-tree/tree/163868056/family/pedigree?cfpid=342615007147" TargetMode="External"/><Relationship Id="rId278" Type="http://schemas.openxmlformats.org/officeDocument/2006/relationships/hyperlink" Target="https://dnapainter.com/tools/sharedcmv4/16?fbclid=IwAR3wqfKWVRq1DI_x4i7OjYx5ayGhdwQu5Tj-9K3u_CVvBxgEWwX7fHipJPs" TargetMode="External"/><Relationship Id="rId42" Type="http://schemas.openxmlformats.org/officeDocument/2006/relationships/hyperlink" Target="https://www.ancestry.co.uk/family-tree/person/tree/163868056/person/342132993741/story" TargetMode="External"/><Relationship Id="rId84" Type="http://schemas.openxmlformats.org/officeDocument/2006/relationships/hyperlink" Target="https://www.ancestry.co.uk/family-tree/tree/163868056/family?cfpid=342268597706" TargetMode="External"/><Relationship Id="rId138" Type="http://schemas.openxmlformats.org/officeDocument/2006/relationships/hyperlink" Target="https://dnapainter.com/tools/sharedcmv4/20?fbclid=IwAR3wqfKWVRq1DI_x4i7OjYx5ayGhdwQu5Tj-9K3u_CVvBxgEWwX7fHipJPs" TargetMode="External"/><Relationship Id="rId191" Type="http://schemas.openxmlformats.org/officeDocument/2006/relationships/hyperlink" Target="https://www.ancestry.co.uk/family-tree/person/tree/163868056/person/342132992970/facts" TargetMode="External"/><Relationship Id="rId205" Type="http://schemas.openxmlformats.org/officeDocument/2006/relationships/hyperlink" Target="https://www.ancestry.co.uk/family-tree/person/tree/163868056/person/342132993742/story" TargetMode="External"/><Relationship Id="rId247" Type="http://schemas.openxmlformats.org/officeDocument/2006/relationships/hyperlink" Target="https://www.ancestry.co.uk/family-tree/person/tree/163868056/person/342132993742/story" TargetMode="External"/><Relationship Id="rId107" Type="http://schemas.openxmlformats.org/officeDocument/2006/relationships/hyperlink" Target="https://www.ancestry.co.uk/discoveryui-matches/compare/8955CF51-8070-4A51-8674-B7F01B347AED/with/344866BA-632B-4E20-A233-BBE5894D9783" TargetMode="External"/><Relationship Id="rId11" Type="http://schemas.openxmlformats.org/officeDocument/2006/relationships/hyperlink" Target="https://www.ancestry.co.uk/family-tree/person/tree/163868056/person/342132992970/facts" TargetMode="External"/><Relationship Id="rId53" Type="http://schemas.openxmlformats.org/officeDocument/2006/relationships/hyperlink" Target="https://www.ancestry.co.uk/family-tree/person/tree/163868056/person/342132993742/story" TargetMode="External"/><Relationship Id="rId149" Type="http://schemas.openxmlformats.org/officeDocument/2006/relationships/hyperlink" Target="https://dnapainter.com/tools/sharedcmv4/17?fbclid=IwAR3wqfKWVRq1DI_x4i7OjYx5ayGhdwQu5Tj-9K3u_CVvBxgEWwX7fHipJPs" TargetMode="External"/><Relationship Id="rId95" Type="http://schemas.openxmlformats.org/officeDocument/2006/relationships/hyperlink" Target="https://www.ancestry.co.uk/discoveryui-matches/compare/8955CF51-8070-4A51-8674-B7F01B347AED/with/2986F82F-B5FB-4312-9DCF-A5D0A6F86ACC" TargetMode="External"/><Relationship Id="rId160" Type="http://schemas.openxmlformats.org/officeDocument/2006/relationships/hyperlink" Target="https://www.ancestry.co.uk/family-tree/person/tree/163868056/person/342132993742/story" TargetMode="External"/><Relationship Id="rId216" Type="http://schemas.openxmlformats.org/officeDocument/2006/relationships/hyperlink" Target="https://www.ancestry.co.uk/family-tree/person/tree/163868056/person/342132993741/story" TargetMode="External"/><Relationship Id="rId258" Type="http://schemas.openxmlformats.org/officeDocument/2006/relationships/hyperlink" Target="https://www.ancestry.co.uk/family-tree/tree/163868056/family/pedigree?cfpid=342268597706" TargetMode="External"/></Relationships>
</file>

<file path=xl/worksheets/_rels/sheet48.xml.rels><?xml version="1.0" encoding="UTF-8" standalone="yes"?>
<Relationships xmlns="http://schemas.openxmlformats.org/package/2006/relationships"><Relationship Id="rId26" Type="http://schemas.openxmlformats.org/officeDocument/2006/relationships/hyperlink" Target="https://dnapainter.com/tools/sharedcmv4/8?fbclid=IwAR3wqfKWVRq1DI_x4i7OjYx5ayGhdwQu5Tj-9K3u_CVvBxgEWwX7fHipJPs" TargetMode="External"/><Relationship Id="rId21" Type="http://schemas.openxmlformats.org/officeDocument/2006/relationships/hyperlink" Target="https://www.ancestry.co.uk/discoveryui-matches/compare/50a7c5ef-9e94-44be-a86a-5736956a97f2/with/740142e6-be91-452e-aa4c-d2484a3ea05c" TargetMode="External"/><Relationship Id="rId42" Type="http://schemas.openxmlformats.org/officeDocument/2006/relationships/hyperlink" Target="https://www.ancestry.co.uk/family-tree/tree/163868056/family?cfpid=342486116942" TargetMode="External"/><Relationship Id="rId47" Type="http://schemas.openxmlformats.org/officeDocument/2006/relationships/hyperlink" Target="https://www.ancestry.co.uk/family-tree/person/tree/163868056/person/342132994518/facts" TargetMode="External"/><Relationship Id="rId63" Type="http://schemas.openxmlformats.org/officeDocument/2006/relationships/hyperlink" Target="https://www.ancestry.co.uk/family-tree/person/tree/163868056/person/342132994517/facts" TargetMode="External"/><Relationship Id="rId68" Type="http://schemas.openxmlformats.org/officeDocument/2006/relationships/hyperlink" Target="https://dnapainter.com/tools/sharedcmv4/9?fbclid=IwAR3wqfKWVRq1DI_x4i7OjYx5ayGhdwQu5Tj-9K3u_CVvBxgEWwX7fHipJPs" TargetMode="External"/><Relationship Id="rId16" Type="http://schemas.openxmlformats.org/officeDocument/2006/relationships/hyperlink" Target="https://www.ancestry.co.uk/family-tree/tree/163868056/family?cfpid=342213245277" TargetMode="External"/><Relationship Id="rId11" Type="http://schemas.openxmlformats.org/officeDocument/2006/relationships/hyperlink" Target="https://www.ancestry.co.uk/family-tree/person/tree/163868056/person/342132994518/facts" TargetMode="External"/><Relationship Id="rId24" Type="http://schemas.openxmlformats.org/officeDocument/2006/relationships/hyperlink" Target="https://www.ancestry.co.uk/family-tree/tree/163868056/family/pedigree?cfpid=342161468212" TargetMode="External"/><Relationship Id="rId32" Type="http://schemas.openxmlformats.org/officeDocument/2006/relationships/hyperlink" Target="https://www.ancestry.co.uk/family-tree/person/tree/163868056/person/342132992964/facts" TargetMode="External"/><Relationship Id="rId37" Type="http://schemas.openxmlformats.org/officeDocument/2006/relationships/hyperlink" Target="https://dnapainter.com/tools/sharedcmv4/33?fbclid=IwAR3wqfKWVRq1DI_x4i7OjYx5ayGhdwQu5Tj-9K3u_CVvBxgEWwX7fHipJPs" TargetMode="External"/><Relationship Id="rId40" Type="http://schemas.openxmlformats.org/officeDocument/2006/relationships/hyperlink" Target="https://www.ancestry.co.uk/discoveryui-matches/compare/7F8D61F6-1FA4-47C1-9A03-3889CC97CC0C/with/A06500A3-40A0-487E-8933-E925544007E8" TargetMode="External"/><Relationship Id="rId45" Type="http://schemas.openxmlformats.org/officeDocument/2006/relationships/hyperlink" Target="https://www.ancestry.co.uk/family-tree/person/tree/163868056/person/342132992964/facts" TargetMode="External"/><Relationship Id="rId53" Type="http://schemas.openxmlformats.org/officeDocument/2006/relationships/hyperlink" Target="https://www.ancestry.co.uk/family-tree/person/tree/163868056/person/342132994518/facts" TargetMode="External"/><Relationship Id="rId58" Type="http://schemas.openxmlformats.org/officeDocument/2006/relationships/hyperlink" Target="https://www.ancestry.co.uk/family-tree/person/tree/163868056/person/342132994517/facts" TargetMode="External"/><Relationship Id="rId66" Type="http://schemas.openxmlformats.org/officeDocument/2006/relationships/hyperlink" Target="https://www.ancestry.co.uk/family-tree/tree/163868056/family?cfpid=342584712245" TargetMode="External"/><Relationship Id="rId74" Type="http://schemas.openxmlformats.org/officeDocument/2006/relationships/hyperlink" Target="https://www.ancestry.co.uk/family-tree/person/tree/163868056/person/342132994518/facts" TargetMode="External"/><Relationship Id="rId79" Type="http://schemas.openxmlformats.org/officeDocument/2006/relationships/hyperlink" Target="https://dnapainter.com/tools/sharedcmv4/9?fbclid=IwAR3wqfKWVRq1DI_x4i7OjYx5ayGhdwQu5Tj-9K3u_CVvBxgEWwX7fHipJPs" TargetMode="External"/><Relationship Id="rId5" Type="http://schemas.openxmlformats.org/officeDocument/2006/relationships/hyperlink" Target="https://www.ancestry.co.uk/family-tree/person/tree/163868056/person/342132992964/facts" TargetMode="External"/><Relationship Id="rId61" Type="http://schemas.openxmlformats.org/officeDocument/2006/relationships/hyperlink" Target="https://www.ancestry.co.uk/discoveryui-matches/compare/8955CF51-8070-4A51-8674-B7F01B347AED/with/33E73EC1-4019-41E6-BEE8-A99A0BCC6C23" TargetMode="External"/><Relationship Id="rId19" Type="http://schemas.openxmlformats.org/officeDocument/2006/relationships/hyperlink" Target="https://www.ancestry.co.uk/family-tree/tree/163868056/family?cfpid=342161468265" TargetMode="External"/><Relationship Id="rId14" Type="http://schemas.openxmlformats.org/officeDocument/2006/relationships/hyperlink" Target="https://www.ancestry.co.uk/family-tree/person/tree/163868056/person/342132993801/facts" TargetMode="External"/><Relationship Id="rId22" Type="http://schemas.openxmlformats.org/officeDocument/2006/relationships/hyperlink" Target="https://www.ancestry.co.uk/family-tree/tree/163868056/family?cfpid=342442144614" TargetMode="External"/><Relationship Id="rId27" Type="http://schemas.openxmlformats.org/officeDocument/2006/relationships/hyperlink" Target="https://dnapainter.com/tools/sharedcmv4/8?fbclid=IwAR3wqfKWVRq1DI_x4i7OjYx5ayGhdwQu5Tj-9K3u_CVvBxgEWwX7fHipJPs" TargetMode="External"/><Relationship Id="rId30" Type="http://schemas.openxmlformats.org/officeDocument/2006/relationships/hyperlink" Target="https://dnapainter.com/tools/sharedcmv4/21?fbclid=IwAR3wqfKWVRq1DI_x4i7OjYx5ayGhdwQu5Tj-9K3u_CVvBxgEWwX7fHipJPs" TargetMode="External"/><Relationship Id="rId35" Type="http://schemas.openxmlformats.org/officeDocument/2006/relationships/hyperlink" Target="https://www.ancestry.co.uk/discoveryui-matches/compare/50A7C5EF-9E94-44BE-A86A-5736956A97F2/with/217853B9-29C1-4748-9EE2-DB1EA83AA7F9" TargetMode="External"/><Relationship Id="rId43" Type="http://schemas.openxmlformats.org/officeDocument/2006/relationships/hyperlink" Target="https://www.ancestry.co.uk/family-tree/person/tree/163868056/person/342132993800/facts" TargetMode="External"/><Relationship Id="rId48" Type="http://schemas.openxmlformats.org/officeDocument/2006/relationships/hyperlink" Target="https://www.ancestry.co.uk/family-tree/tree/163868056/family?cfpid=342454635187" TargetMode="External"/><Relationship Id="rId56" Type="http://schemas.openxmlformats.org/officeDocument/2006/relationships/hyperlink" Target="https://dnapainter.com/tools/sharedcmv4/13?fbclid=IwAR3wqfKWVRq1DI_x4i7OjYx5ayGhdwQu5Tj-9K3u_CVvBxgEWwX7fHipJPs" TargetMode="External"/><Relationship Id="rId64" Type="http://schemas.openxmlformats.org/officeDocument/2006/relationships/hyperlink" Target="https://www.ancestry.co.uk/family-tree/person/tree/163868056/person/342132994518/facts" TargetMode="External"/><Relationship Id="rId69" Type="http://schemas.openxmlformats.org/officeDocument/2006/relationships/hyperlink" Target="https://www.ancestry.co.uk/family-tree/person/tree/163868056/person/342132994517/facts" TargetMode="External"/><Relationship Id="rId77" Type="http://schemas.openxmlformats.org/officeDocument/2006/relationships/hyperlink" Target="https://dnapainter.com/tools/sharedcmv4/17?fbclid=IwAR3wqfKWVRq1DI_x4i7OjYx5ayGhdwQu5Tj-9K3u_CVvBxgEWwX7fHipJPs" TargetMode="External"/><Relationship Id="rId8" Type="http://schemas.openxmlformats.org/officeDocument/2006/relationships/hyperlink" Target="https://www.ancestry.co.uk/family-tree/person/tree/163868056/person/342132994517/facts" TargetMode="External"/><Relationship Id="rId51" Type="http://schemas.openxmlformats.org/officeDocument/2006/relationships/hyperlink" Target="https://dnapainter.com/tools/sharedcmv4/10?fbclid=IwAR3wqfKWVRq1DI_x4i7OjYx5ayGhdwQu5Tj-9K3u_CVvBxgEWwX7fHipJPs" TargetMode="External"/><Relationship Id="rId72" Type="http://schemas.openxmlformats.org/officeDocument/2006/relationships/hyperlink" Target="https://www.ancestry.co.uk/family-tree/tree/163868056/family/pedigree?cfpid=342593572999" TargetMode="External"/><Relationship Id="rId80" Type="http://schemas.openxmlformats.org/officeDocument/2006/relationships/hyperlink" Target="https://dnapainter.com/tools/sharedcmv4/17?fbclid=IwAR3wqfKWVRq1DI_x4i7OjYx5ayGhdwQu5Tj-9K3u_CVvBxgEWwX7fHipJPs" TargetMode="External"/><Relationship Id="rId3" Type="http://schemas.openxmlformats.org/officeDocument/2006/relationships/hyperlink" Target="https://www.ancestry.co.uk/family-tree/person/tree/163868056/person/342132992964/facts" TargetMode="External"/><Relationship Id="rId12" Type="http://schemas.openxmlformats.org/officeDocument/2006/relationships/hyperlink" Target="https://www.ancestry.co.uk/family-tree/person/tree/163868056/person/342132993800/facts" TargetMode="External"/><Relationship Id="rId17" Type="http://schemas.openxmlformats.org/officeDocument/2006/relationships/hyperlink" Target="https://www.ancestry.co.uk/discoveryui-matches/compare/50a7c5ef-9e94-44be-a86a-5736956a97f2/with/95538d74-e0fa-4c23-b7a7-b29b7959b825" TargetMode="External"/><Relationship Id="rId25" Type="http://schemas.openxmlformats.org/officeDocument/2006/relationships/hyperlink" Target="https://www.ancestry.co.uk/discoveryui-matches/compare/7F8D61F6-1FA4-47C1-9A03-3889CC97CC0C/with/11F29543-9C27-4B1B-9359-432997FDAEDA" TargetMode="External"/><Relationship Id="rId33" Type="http://schemas.openxmlformats.org/officeDocument/2006/relationships/hyperlink" Target="https://www.ancestry.co.uk/family-tree/person/tree/163868056/person/342132994517/facts" TargetMode="External"/><Relationship Id="rId38" Type="http://schemas.openxmlformats.org/officeDocument/2006/relationships/hyperlink" Target="https://www.ancestry.co.uk/family-tree/tree/163868056/family?cfpid=342353908773" TargetMode="External"/><Relationship Id="rId46" Type="http://schemas.openxmlformats.org/officeDocument/2006/relationships/hyperlink" Target="https://www.ancestry.co.uk/family-tree/person/tree/163868056/person/342132994517/facts" TargetMode="External"/><Relationship Id="rId59" Type="http://schemas.openxmlformats.org/officeDocument/2006/relationships/hyperlink" Target="https://www.ancestry.co.uk/family-tree/person/tree/163868056/person/342132994518/facts" TargetMode="External"/><Relationship Id="rId67" Type="http://schemas.openxmlformats.org/officeDocument/2006/relationships/hyperlink" Target="https://www.ancestry.co.uk/family-tree/person/tree/163868056/person/342132992964/facts" TargetMode="External"/><Relationship Id="rId20" Type="http://schemas.openxmlformats.org/officeDocument/2006/relationships/hyperlink" Target="https://www.ancestry.co.uk/discoveryui-matches/compare/50a7c5ef-9e94-44be-a86a-5736956a97f2/with/c5486c8a-95ed-4ea2-b78d-f9a8224a17c9" TargetMode="External"/><Relationship Id="rId41" Type="http://schemas.openxmlformats.org/officeDocument/2006/relationships/hyperlink" Target="https://dnapainter.com/tools/sharedcmv4/15?fbclid=IwAR3wqfKWVRq1DI_x4i7OjYx5ayGhdwQu5Tj-9K3u_CVvBxgEWwX7fHipJPs" TargetMode="External"/><Relationship Id="rId54" Type="http://schemas.openxmlformats.org/officeDocument/2006/relationships/hyperlink" Target="https://www.ancestry.co.uk/family-tree/tree/163868056/family?cfpid=342527671722" TargetMode="External"/><Relationship Id="rId62" Type="http://schemas.openxmlformats.org/officeDocument/2006/relationships/hyperlink" Target="https://dnapainter.com/tools/sharedcmv4/14?fbclid=IwAR3wqfKWVRq1DI_x4i7OjYx5ayGhdwQu5Tj-9K3u_CVvBxgEWwX7fHipJPs" TargetMode="External"/><Relationship Id="rId70" Type="http://schemas.openxmlformats.org/officeDocument/2006/relationships/hyperlink" Target="https://www.ancestry.co.uk/family-tree/person/tree/163868056/person/342132994518/facts" TargetMode="External"/><Relationship Id="rId75" Type="http://schemas.openxmlformats.org/officeDocument/2006/relationships/hyperlink" Target="https://www.ancestry.co.uk/family-tree/tree/163868056/family/pedigree?cfpid=342618318010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www.ancestry.co.uk/family-tree/person/tree/163868056/person/342132994517/facts" TargetMode="External"/><Relationship Id="rId15" Type="http://schemas.openxmlformats.org/officeDocument/2006/relationships/hyperlink" Target="https://www.ancestry.co.uk/family-tree/person/tree/163868056/person/342132993801/facts" TargetMode="External"/><Relationship Id="rId23" Type="http://schemas.openxmlformats.org/officeDocument/2006/relationships/hyperlink" Target="https://www.ancestry.co.uk/discoveryui-matches/compare/50a7c5ef-9e94-44be-a86a-5736956a97f2/with/acba3c7a-5600-4be2-93be-390828f953b9" TargetMode="External"/><Relationship Id="rId28" Type="http://schemas.openxmlformats.org/officeDocument/2006/relationships/hyperlink" Target="https://dnapainter.com/tools/sharedcmv4/8?fbclid=IwAR3wqfKWVRq1DI_x4i7OjYx5ayGhdwQu5Tj-9K3u_CVvBxgEWwX7fHipJPs" TargetMode="External"/><Relationship Id="rId36" Type="http://schemas.openxmlformats.org/officeDocument/2006/relationships/hyperlink" Target="https://dnapainter.com/tools/sharedcmv4/33?fbclid=IwAR3wqfKWVRq1DI_x4i7OjYx5ayGhdwQu5Tj-9K3u_CVvBxgEWwX7fHipJPs" TargetMode="External"/><Relationship Id="rId49" Type="http://schemas.openxmlformats.org/officeDocument/2006/relationships/hyperlink" Target="https://www.ancestry.co.uk/discoveryui-matches/compare/8955CF51-8070-4A51-8674-B7F01B347AED/with/5310F2B9-8CF5-4DFA-9A0E-9338BA108FB2" TargetMode="External"/><Relationship Id="rId57" Type="http://schemas.openxmlformats.org/officeDocument/2006/relationships/hyperlink" Target="https://www.ancestry.co.uk/family-tree/person/tree/163868056/person/342132992964/facts" TargetMode="External"/><Relationship Id="rId10" Type="http://schemas.openxmlformats.org/officeDocument/2006/relationships/hyperlink" Target="https://www.ancestry.co.uk/family-tree/person/tree/163868056/person/342132994518/facts" TargetMode="External"/><Relationship Id="rId31" Type="http://schemas.openxmlformats.org/officeDocument/2006/relationships/hyperlink" Target="https://dnapainter.com/tools/sharedcmv4/21?fbclid=IwAR3wqfKWVRq1DI_x4i7OjYx5ayGhdwQu5Tj-9K3u_CVvBxgEWwX7fHipJPs" TargetMode="External"/><Relationship Id="rId44" Type="http://schemas.openxmlformats.org/officeDocument/2006/relationships/hyperlink" Target="https://www.ancestry.co.uk/family-tree/person/tree/163868056/person/342132993801/facts" TargetMode="External"/><Relationship Id="rId52" Type="http://schemas.openxmlformats.org/officeDocument/2006/relationships/hyperlink" Target="https://www.ancestry.co.uk/family-tree/person/tree/163868056/person/342132994517/facts" TargetMode="External"/><Relationship Id="rId60" Type="http://schemas.openxmlformats.org/officeDocument/2006/relationships/hyperlink" Target="https://www.ancestry.co.uk/family-tree/tree/163868056/family/pedigree?cfpid=342568100316" TargetMode="External"/><Relationship Id="rId65" Type="http://schemas.openxmlformats.org/officeDocument/2006/relationships/hyperlink" Target="https://www.ancestry.co.uk/discoveryui-matches/compare/8955cf51-8070-4a51-8674-b7f01b347aed/with/7f7ecaad-c551-4a40-85f9-cef6aef68a90" TargetMode="External"/><Relationship Id="rId73" Type="http://schemas.openxmlformats.org/officeDocument/2006/relationships/hyperlink" Target="https://www.ancestry.co.uk/family-tree/person/tree/163868056/person/342132994517/facts" TargetMode="External"/><Relationship Id="rId78" Type="http://schemas.openxmlformats.org/officeDocument/2006/relationships/hyperlink" Target="https://www.ancestry.co.uk/family-tree/person/tree/163868056/person/342132992964/facts" TargetMode="External"/><Relationship Id="rId4" Type="http://schemas.openxmlformats.org/officeDocument/2006/relationships/hyperlink" Target="https://www.ancestry.co.uk/family-tree/person/tree/163868056/person/342132992964/facts" TargetMode="External"/><Relationship Id="rId9" Type="http://schemas.openxmlformats.org/officeDocument/2006/relationships/hyperlink" Target="https://www.ancestry.co.uk/family-tree/person/tree/163868056/person/342132994518/facts" TargetMode="External"/><Relationship Id="rId13" Type="http://schemas.openxmlformats.org/officeDocument/2006/relationships/hyperlink" Target="https://www.ancestry.co.uk/family-tree/person/tree/163868056/person/342132993800/facts" TargetMode="External"/><Relationship Id="rId18" Type="http://schemas.openxmlformats.org/officeDocument/2006/relationships/hyperlink" Target="https://www.ancestry.co.uk/family-tree/tree/163868056/family?cfpid=342486202474" TargetMode="External"/><Relationship Id="rId39" Type="http://schemas.openxmlformats.org/officeDocument/2006/relationships/hyperlink" Target="https://www.ancestry.co.uk/family-tree/person/tree/163868056/person/342132993681/facts" TargetMode="External"/><Relationship Id="rId34" Type="http://schemas.openxmlformats.org/officeDocument/2006/relationships/hyperlink" Target="https://www.ancestry.co.uk/family-tree/person/tree/163868056/person/342132994518/facts" TargetMode="External"/><Relationship Id="rId50" Type="http://schemas.openxmlformats.org/officeDocument/2006/relationships/hyperlink" Target="https://dnapainter.com/tools/sharedcmv4/19?fbclid=IwAR3wqfKWVRq1DI_x4i7OjYx5ayGhdwQu5Tj-9K3u_CVvBxgEWwX7fHipJPs" TargetMode="External"/><Relationship Id="rId55" Type="http://schemas.openxmlformats.org/officeDocument/2006/relationships/hyperlink" Target="https://www.ancestry.co.uk/discoveryui-matches/compare/8955CF51-8070-4A51-8674-B7F01B347AED/with/B070E208-21F0-4B56-AE0E-9B21CD1CF9AC" TargetMode="External"/><Relationship Id="rId76" Type="http://schemas.openxmlformats.org/officeDocument/2006/relationships/hyperlink" Target="https://www.ancestry.co.uk/discoveryui-matches/compare/8955cf51-8070-4a51-8674-b7f01b347aed/with/9083c25c-d3f1-495f-baf7-f88ece35bf9d" TargetMode="External"/><Relationship Id="rId7" Type="http://schemas.openxmlformats.org/officeDocument/2006/relationships/hyperlink" Target="https://www.ancestry.co.uk/family-tree/person/tree/163868056/person/342132994517/facts" TargetMode="External"/><Relationship Id="rId71" Type="http://schemas.openxmlformats.org/officeDocument/2006/relationships/hyperlink" Target="https://www.ancestry.co.uk/discoveryui-matches/compare/8955cf51-8070-4a51-8674-b7f01b347aed/with/a275a3a2-e272-45cd-8893-56225c5b41e8" TargetMode="External"/><Relationship Id="rId2" Type="http://schemas.openxmlformats.org/officeDocument/2006/relationships/hyperlink" Target="https://www.ancestry.co.uk/family-tree/person/tree/163868056/person/342132993681/facts" TargetMode="External"/><Relationship Id="rId29" Type="http://schemas.openxmlformats.org/officeDocument/2006/relationships/hyperlink" Target="https://dnapainter.com/tools/sharedcmv4/16?fbclid=IwAR3wqfKWVRq1DI_x4i7OjYx5ayGhdwQu5Tj-9K3u_CVvBxgEWwX7fHipJPs" TargetMode="External"/></Relationships>
</file>

<file path=xl/worksheets/_rels/sheet49.xml.rels><?xml version="1.0" encoding="UTF-8" standalone="yes"?>
<Relationships xmlns="http://schemas.openxmlformats.org/package/2006/relationships"><Relationship Id="rId26" Type="http://schemas.openxmlformats.org/officeDocument/2006/relationships/hyperlink" Target="https://dnapainter.com/tools/sharedcmv4/39.8?fbclid=IwAR3wqfKWVRq1DI_x4i7OjYx5ayGhdwQu5Tj-9K3u_CVvBxgEWwX7fHipJPs" TargetMode="External"/><Relationship Id="rId21" Type="http://schemas.openxmlformats.org/officeDocument/2006/relationships/hyperlink" Target="https://dnapainter.com/tools/sharedcmv4/21?fbclid=IwAR3wqfKWVRq1DI_x4i7OjYx5ayGhdwQu5Tj-9K3u_CVvBxgEWwX7fHipJPs" TargetMode="External"/><Relationship Id="rId42" Type="http://schemas.openxmlformats.org/officeDocument/2006/relationships/hyperlink" Target="https://www.ancestry.co.uk/family-tree/person/tree/163868056/person/342133396548/facts" TargetMode="External"/><Relationship Id="rId47" Type="http://schemas.openxmlformats.org/officeDocument/2006/relationships/hyperlink" Target="https://dnapainter.com/tools/sharedcmv4/31?fbclid=IwAR3wqfKWVRq1DI_x4i7OjYx5ayGhdwQu5Tj-9K3u_CVvBxgEWwX7fHipJPs" TargetMode="External"/><Relationship Id="rId63" Type="http://schemas.openxmlformats.org/officeDocument/2006/relationships/hyperlink" Target="https://dnapainter.com/tools/sharedcmv4/31?fbclid=IwAR3wqfKWVRq1DI_x4i7OjYx5ayGhdwQu5Tj-9K3u_CVvBxgEWwX7fHipJPs" TargetMode="External"/><Relationship Id="rId68" Type="http://schemas.openxmlformats.org/officeDocument/2006/relationships/hyperlink" Target="https://www.ancestry.co.uk/family-tree/person/tree/163868056/person/342132992964/facts" TargetMode="External"/><Relationship Id="rId2" Type="http://schemas.openxmlformats.org/officeDocument/2006/relationships/hyperlink" Target="https://www.ancestry.co.uk/family-tree/person/tree/163868056/person/342132992964/facts" TargetMode="External"/><Relationship Id="rId16" Type="http://schemas.openxmlformats.org/officeDocument/2006/relationships/hyperlink" Target="https://www.ancestry.co.uk/family-tree/tree/163868056/family?cfpid=342465138562" TargetMode="External"/><Relationship Id="rId29" Type="http://schemas.openxmlformats.org/officeDocument/2006/relationships/hyperlink" Target="https://www.ancestry.co.uk/family-tree/person/tree/163868056/person/342132994590/facts" TargetMode="External"/><Relationship Id="rId11" Type="http://schemas.openxmlformats.org/officeDocument/2006/relationships/hyperlink" Target="https://www.ancestry.co.uk/family-tree/person/tree/163868056/person/342132994590/facts" TargetMode="External"/><Relationship Id="rId24" Type="http://schemas.openxmlformats.org/officeDocument/2006/relationships/hyperlink" Target="https://dnapainter.com/tools/sharedcmv4/16?fbclid=IwAR3wqfKWVRq1DI_x4i7OjYx5ayGhdwQu5Tj-9K3u_CVvBxgEWwX7fHipJPs" TargetMode="External"/><Relationship Id="rId32" Type="http://schemas.openxmlformats.org/officeDocument/2006/relationships/hyperlink" Target="https://www.ancestry.co.uk/discoveryui-matches/compare/8955cf51-8070-4a51-8674-b7f01b347aed/with/861e9325-ebbb-4388-9710-f6f3a2a2e398" TargetMode="External"/><Relationship Id="rId37" Type="http://schemas.openxmlformats.org/officeDocument/2006/relationships/hyperlink" Target="https://www.ancestry.co.uk/discoveryui-matches/compare/50a7c5ef-9e94-44be-a86a-5736956a97f2/with/4190a687-57d7-4e77-873c-a20804855b52" TargetMode="External"/><Relationship Id="rId40" Type="http://schemas.openxmlformats.org/officeDocument/2006/relationships/hyperlink" Target="https://dnapainter.com/tools/sharedcmv4/14?fbclid=IwAR3wqfKWVRq1DI_x4i7OjYx5ayGhdwQu5Tj-9K3u_CVvBxgEWwX7fHipJPs" TargetMode="External"/><Relationship Id="rId45" Type="http://schemas.openxmlformats.org/officeDocument/2006/relationships/hyperlink" Target="https://www.ancestry.co.uk/family-tree/person/tree/163868056/person/342132994644/facts" TargetMode="External"/><Relationship Id="rId53" Type="http://schemas.openxmlformats.org/officeDocument/2006/relationships/hyperlink" Target="https://dnapainter.com/tools/sharedcmv4/31?fbclid=IwAR3wqfKWVRq1DI_x4i7OjYx5ayGhdwQu5Tj-9K3u_CVvBxgEWwX7fHipJPs" TargetMode="External"/><Relationship Id="rId58" Type="http://schemas.openxmlformats.org/officeDocument/2006/relationships/hyperlink" Target="https://www.ancestry.co.uk/family-tree/person/tree/163868056/person/342132994644/facts" TargetMode="External"/><Relationship Id="rId66" Type="http://schemas.openxmlformats.org/officeDocument/2006/relationships/hyperlink" Target="https://www.myheritage.com/dna/match/D-9E1FE62B-73EF-414E-8CC5-9A2285D9F64A-D-B9DA151D-8756-4305-A417-61885FCD4881/691113321?mode=shared" TargetMode="External"/><Relationship Id="rId74" Type="http://schemas.openxmlformats.org/officeDocument/2006/relationships/hyperlink" Target="https://www.ancestry.co.uk/family-tree/tree/163868056/family/pedigree?cfpid=342388789688" TargetMode="External"/><Relationship Id="rId5" Type="http://schemas.openxmlformats.org/officeDocument/2006/relationships/hyperlink" Target="https://www.ancestry.co.uk/family-tree/person/tree/163868056/person/342132993780/facts" TargetMode="External"/><Relationship Id="rId61" Type="http://schemas.openxmlformats.org/officeDocument/2006/relationships/hyperlink" Target="https://www.ancestry.co.uk/family-tree/tree/163868056/family?cfpid=342606580625" TargetMode="External"/><Relationship Id="rId19" Type="http://schemas.openxmlformats.org/officeDocument/2006/relationships/hyperlink" Target="https://www.ancestry.co.uk/discoveryui-matches/compare/8955CF51-8070-4A51-8674-B7F01B347AED/with/F9C19A5B-71E9-4B3B-A9DB-665FE4185BA3" TargetMode="External"/><Relationship Id="rId14" Type="http://schemas.openxmlformats.org/officeDocument/2006/relationships/hyperlink" Target="https://www.ancestry.co.uk/family-tree/tree/163868056/family?cfpid=342403690437" TargetMode="External"/><Relationship Id="rId22" Type="http://schemas.openxmlformats.org/officeDocument/2006/relationships/hyperlink" Target="https://dnapainter.com/tools/sharedcmv4/14?fbclid=IwAR3wqfKWVRq1DI_x4i7OjYx5ayGhdwQu5Tj-9K3u_CVvBxgEWwX7fHipJPs" TargetMode="External"/><Relationship Id="rId27" Type="http://schemas.openxmlformats.org/officeDocument/2006/relationships/hyperlink" Target="https://dnapainter.com/tools/sharedcmv4/58.95?fbclid=IwAR3wqfKWVRq1DI_x4i7OjYx5ayGhdwQu5Tj-9K3u_CVvBxgEWwX7fHipJPs" TargetMode="External"/><Relationship Id="rId30" Type="http://schemas.openxmlformats.org/officeDocument/2006/relationships/hyperlink" Target="https://www.ancestry.co.uk/family-tree/person/tree/163868056/person/342132994644/facts" TargetMode="External"/><Relationship Id="rId35" Type="http://schemas.openxmlformats.org/officeDocument/2006/relationships/hyperlink" Target="https://www.ancestry.co.uk/family-tree/person/tree/163868056/person/342133396548/facts" TargetMode="External"/><Relationship Id="rId43" Type="http://schemas.openxmlformats.org/officeDocument/2006/relationships/hyperlink" Target="https://www.ancestry.co.uk/family-tree/person/tree/163868056/person/342132992964/facts" TargetMode="External"/><Relationship Id="rId48" Type="http://schemas.openxmlformats.org/officeDocument/2006/relationships/hyperlink" Target="https://www.ancestry.co.uk/family-tree/tree/163868056/family?cfpid=342606580434" TargetMode="External"/><Relationship Id="rId56" Type="http://schemas.openxmlformats.org/officeDocument/2006/relationships/hyperlink" Target="https://www.ancestry.co.uk/family-tree/person/tree/163868056/person/342132992970/facts" TargetMode="External"/><Relationship Id="rId64" Type="http://schemas.openxmlformats.org/officeDocument/2006/relationships/hyperlink" Target="https://www.ancestry.co.uk/family-tree/person/tree/163868056/person/342132994590/facts" TargetMode="External"/><Relationship Id="rId69" Type="http://schemas.openxmlformats.org/officeDocument/2006/relationships/hyperlink" Target="https://www.ancestry.co.uk/family-tree/tree/163868056/family?cfpid=342606580834" TargetMode="External"/><Relationship Id="rId8" Type="http://schemas.openxmlformats.org/officeDocument/2006/relationships/hyperlink" Target="https://www.ancestry.co.uk/family-tree/person/tree/163868056/person/342133396548/facts" TargetMode="External"/><Relationship Id="rId51" Type="http://schemas.openxmlformats.org/officeDocument/2006/relationships/hyperlink" Target="https://www.ancestry.co.uk/family-tree/person/tree/163868056/person/342132994644/facts" TargetMode="External"/><Relationship Id="rId72" Type="http://schemas.openxmlformats.org/officeDocument/2006/relationships/hyperlink" Target="https://www.ancestry.co.uk/family-tree/person/tree/163868056/person/342132993780/facts" TargetMode="External"/><Relationship Id="rId3" Type="http://schemas.openxmlformats.org/officeDocument/2006/relationships/hyperlink" Target="https://www.ancestry.co.uk/family-tree/person/tree/163868056/person/342132992964/facts" TargetMode="External"/><Relationship Id="rId12" Type="http://schemas.openxmlformats.org/officeDocument/2006/relationships/hyperlink" Target="https://www.ancestry.co.uk/family-tree/person/tree/163868056/person/342132994644/facts" TargetMode="External"/><Relationship Id="rId17" Type="http://schemas.openxmlformats.org/officeDocument/2006/relationships/hyperlink" Target="https://www.ancestry.co.uk/discoveryui-matches/compare/50a7c5ef-9e94-44be-a86a-5736956a97f2/with/5ec49042-ddbc-44b8-a9a2-d85d11631c6e" TargetMode="External"/><Relationship Id="rId25" Type="http://schemas.openxmlformats.org/officeDocument/2006/relationships/hyperlink" Target="https://dnapainter.com/tools/sharedcmv4/24?fbclid=IwAR3wqfKWVRq1DI_x4i7OjYx5ayGhdwQu5Tj-9K3u_CVvBxgEWwX7fHipJPs" TargetMode="External"/><Relationship Id="rId33" Type="http://schemas.openxmlformats.org/officeDocument/2006/relationships/hyperlink" Target="https://dnapainter.com/tools/sharedcmv4/14?fbclid=IwAR3wqfKWVRq1DI_x4i7OjYx5ayGhdwQu5Tj-9K3u_CVvBxgEWwX7fHipJPs" TargetMode="External"/><Relationship Id="rId38" Type="http://schemas.openxmlformats.org/officeDocument/2006/relationships/hyperlink" Target="https://dnapainter.com/tools/sharedcmv4/22?fbclid=IwAR3wqfKWVRq1DI_x4i7OjYx5ayGhdwQu5Tj-9K3u_CVvBxgEWwX7fHipJPs" TargetMode="External"/><Relationship Id="rId46" Type="http://schemas.openxmlformats.org/officeDocument/2006/relationships/hyperlink" Target="https://www.myheritage.com/dna/match/D-F9099B9B-87A1-4274-827C-AF35BD245736-D-28FFB502-2464-4184-A259-F273604847C7/691113321?p=1&amp;ps=10&amp;sort=creation_time&amp;filter=theories_of_family_relativity&amp;memberId=704364871&amp;index=6" TargetMode="External"/><Relationship Id="rId59" Type="http://schemas.openxmlformats.org/officeDocument/2006/relationships/hyperlink" Target="https://www.myheritage.com/dna/match/D-9E1FE62B-73EF-414E-8CC5-9A2285D9F64A-D-0A03B6BC-D151-494B-9AF0-C2CE2A01B18B/691113321?mode=shared" TargetMode="External"/><Relationship Id="rId67" Type="http://schemas.openxmlformats.org/officeDocument/2006/relationships/hyperlink" Target="https://dnapainter.com/tools/sharedcmv4/31?fbclid=IwAR3wqfKWVRq1DI_x4i7OjYx5ayGhdwQu5Tj-9K3u_CVvBxgEWwX7fHipJPs" TargetMode="External"/><Relationship Id="rId20" Type="http://schemas.openxmlformats.org/officeDocument/2006/relationships/hyperlink" Target="https://my.livingdna.com/family-matching/match/LD0129329A/conversation" TargetMode="External"/><Relationship Id="rId41" Type="http://schemas.openxmlformats.org/officeDocument/2006/relationships/hyperlink" Target="https://www.ancestry.co.uk/family-tree/person/tree/163868056/person/342132993780/facts" TargetMode="External"/><Relationship Id="rId54" Type="http://schemas.openxmlformats.org/officeDocument/2006/relationships/hyperlink" Target="https://www.ancestry.co.uk/family-tree/person/tree/163868056/person/342132992964/facts" TargetMode="External"/><Relationship Id="rId62" Type="http://schemas.openxmlformats.org/officeDocument/2006/relationships/hyperlink" Target="https://dnapainter.com/tools/sharedcmv4/31?fbclid=IwAR3wqfKWVRq1DI_x4i7OjYx5ayGhdwQu5Tj-9K3u_CVvBxgEWwX7fHipJPs" TargetMode="External"/><Relationship Id="rId70" Type="http://schemas.openxmlformats.org/officeDocument/2006/relationships/hyperlink" Target="https://www.ancestry.co.uk/discoveryui-matches/compare/8955cf51-8070-4a51-8674-b7f01b347aed/with/bf041166-d879-4b20-ad61-68efff28316c" TargetMode="External"/><Relationship Id="rId75" Type="http://schemas.openxmlformats.org/officeDocument/2006/relationships/hyperlink" Target="https://www.ancestry.co.uk/family-tree/person/tree/163868056/person/342132992970/facts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www.ancestry.co.uk/family-tree/person/tree/163868056/person/342132993780/facts" TargetMode="External"/><Relationship Id="rId15" Type="http://schemas.openxmlformats.org/officeDocument/2006/relationships/hyperlink" Target="https://www.ancestry.co.uk/family-tree/tree/163868056/family?cfpid=342425579543" TargetMode="External"/><Relationship Id="rId23" Type="http://schemas.openxmlformats.org/officeDocument/2006/relationships/hyperlink" Target="https://dnapainter.com/tools/sharedcmv4/10?fbclid=IwAR3wqfKWVRq1DI_x4i7OjYx5ayGhdwQu5Tj-9K3u_CVvBxgEWwX7fHipJPs" TargetMode="External"/><Relationship Id="rId28" Type="http://schemas.openxmlformats.org/officeDocument/2006/relationships/hyperlink" Target="https://www.ancestry.co.uk/family-tree/person/tree/163868056/person/342132992970/facts" TargetMode="External"/><Relationship Id="rId36" Type="http://schemas.openxmlformats.org/officeDocument/2006/relationships/hyperlink" Target="https://www.ancestry.co.uk/family-tree/tree/163868056/family?cfpid=342423215772" TargetMode="External"/><Relationship Id="rId49" Type="http://schemas.openxmlformats.org/officeDocument/2006/relationships/hyperlink" Target="https://www.ancestry.co.uk/family-tree/person/tree/163868056/person/342132992964/facts" TargetMode="External"/><Relationship Id="rId57" Type="http://schemas.openxmlformats.org/officeDocument/2006/relationships/hyperlink" Target="https://www.ancestry.co.uk/family-tree/person/tree/163868056/person/342132994590/facts" TargetMode="External"/><Relationship Id="rId10" Type="http://schemas.openxmlformats.org/officeDocument/2006/relationships/hyperlink" Target="https://www.ancestry.co.uk/family-tree/person/tree/163868056/person/342133396548/facts" TargetMode="External"/><Relationship Id="rId31" Type="http://schemas.openxmlformats.org/officeDocument/2006/relationships/hyperlink" Target="https://www.ancestry.co.uk/family-tree/tree/163868056/family/pedigree?cfpid=342533656639" TargetMode="External"/><Relationship Id="rId44" Type="http://schemas.openxmlformats.org/officeDocument/2006/relationships/hyperlink" Target="https://www.ancestry.co.uk/family-tree/person/tree/163868056/person/342132994590/facts" TargetMode="External"/><Relationship Id="rId52" Type="http://schemas.openxmlformats.org/officeDocument/2006/relationships/hyperlink" Target="https://www.myheritage.com/dna/match/D-F9099B9B-87A1-4274-827C-AF35BD245736-D-28FFB502-2464-4184-A259-F273604847C7/691113321?p=1&amp;ps=10&amp;sort=creation_time&amp;filter=theories_of_family_relativity&amp;memberId=704364871&amp;index=6" TargetMode="External"/><Relationship Id="rId60" Type="http://schemas.openxmlformats.org/officeDocument/2006/relationships/hyperlink" Target="https://dnapainter.com/tools/sharedcmv4/24?fbclid=IwAR3wqfKWVRq1DI_x4i7OjYx5ayGhdwQu5Tj-9K3u_CVvBxgEWwX7fHipJPs" TargetMode="External"/><Relationship Id="rId65" Type="http://schemas.openxmlformats.org/officeDocument/2006/relationships/hyperlink" Target="https://www.ancestry.co.uk/family-tree/person/tree/163868056/person/342132994644/facts" TargetMode="External"/><Relationship Id="rId73" Type="http://schemas.openxmlformats.org/officeDocument/2006/relationships/hyperlink" Target="https://www.ancestry.co.uk/family-tree/person/tree/163868056/person/342133396548/facts" TargetMode="External"/><Relationship Id="rId4" Type="http://schemas.openxmlformats.org/officeDocument/2006/relationships/hyperlink" Target="https://www.ancestry.co.uk/family-tree/person/tree/163868056/person/342132992970/facts" TargetMode="External"/><Relationship Id="rId9" Type="http://schemas.openxmlformats.org/officeDocument/2006/relationships/hyperlink" Target="https://www.ancestry.co.uk/family-tree/person/tree/163868056/person/342133396548/facts" TargetMode="External"/><Relationship Id="rId13" Type="http://schemas.openxmlformats.org/officeDocument/2006/relationships/hyperlink" Target="https://www.ancestry.co.uk/family-tree/tree/163868056/family?cfpid=342423215822" TargetMode="External"/><Relationship Id="rId18" Type="http://schemas.openxmlformats.org/officeDocument/2006/relationships/hyperlink" Target="https://www.ancestry.co.uk/discoveryui-matches/compare/50A7C5EF-9E94-44BE-A86A-5736956A97F2/with/D5A384A5-28A9-446C-917E-208C36630DCF" TargetMode="External"/><Relationship Id="rId39" Type="http://schemas.openxmlformats.org/officeDocument/2006/relationships/hyperlink" Target="https://www.ancestry.co.uk/discoveryui-matches/compare/50a7c5ef-9e94-44be-a86a-5736956a97f2/with/bf041166-d879-4b20-ad61-68efff28316c" TargetMode="External"/><Relationship Id="rId34" Type="http://schemas.openxmlformats.org/officeDocument/2006/relationships/hyperlink" Target="https://www.ancestry.co.uk/family-tree/person/tree/163868056/person/342132993780/facts" TargetMode="External"/><Relationship Id="rId50" Type="http://schemas.openxmlformats.org/officeDocument/2006/relationships/hyperlink" Target="https://www.ancestry.co.uk/family-tree/person/tree/163868056/person/342132994590/facts" TargetMode="External"/><Relationship Id="rId55" Type="http://schemas.openxmlformats.org/officeDocument/2006/relationships/hyperlink" Target="https://www.ancestry.co.uk/family-tree/tree/163868056/family?cfpid=342606580691" TargetMode="External"/><Relationship Id="rId76" Type="http://schemas.openxmlformats.org/officeDocument/2006/relationships/hyperlink" Target="https://www.ancestry.co.uk/family-tree/person/tree/163868056/person/342132992970/facts" TargetMode="External"/><Relationship Id="rId7" Type="http://schemas.openxmlformats.org/officeDocument/2006/relationships/hyperlink" Target="https://www.ancestry.co.uk/family-tree/person/tree/163868056/person/342132993780/facts" TargetMode="External"/><Relationship Id="rId71" Type="http://schemas.openxmlformats.org/officeDocument/2006/relationships/hyperlink" Target="https://dnapainter.com/tools/sharedcmv4/16?fbclid=IwAR3wqfKWVRq1DI_x4i7OjYx5ayGhdwQu5Tj-9K3u_CVvBxgEWwX7fHipJPs" TargetMode="External"/></Relationships>
</file>

<file path=xl/worksheets/_rels/sheet5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ncestry.co.uk/family-tree/person/tree/163868056/person/342373323730/facts" TargetMode="External"/><Relationship Id="rId13" Type="http://schemas.openxmlformats.org/officeDocument/2006/relationships/hyperlink" Target="https://www.ancestry.co.uk/family-tree/person/tree/163868056/person/342144472532/facts" TargetMode="External"/><Relationship Id="rId18" Type="http://schemas.openxmlformats.org/officeDocument/2006/relationships/hyperlink" Target="https://www.ancestry.co.uk/discoveryui-matches/compare/50A7C5EF-9E94-44BE-A86A-5736956A97F2/with/63C33BFF-0A99-4B28-9349-A5E5BA1533E2" TargetMode="External"/><Relationship Id="rId3" Type="http://schemas.openxmlformats.org/officeDocument/2006/relationships/hyperlink" Target="https://www.ancestry.co.uk/family-tree/person/tree/163868056/person/342132992964/facts" TargetMode="External"/><Relationship Id="rId21" Type="http://schemas.openxmlformats.org/officeDocument/2006/relationships/hyperlink" Target="https://dnapainter.com/tools/sharedcmv4/7?fbclid=IwAR3wqfKWVRq1DI_x4i7OjYx5ayGhdwQu5Tj-9K3u_CVvBxgEWwX7fHipJPs" TargetMode="External"/><Relationship Id="rId7" Type="http://schemas.openxmlformats.org/officeDocument/2006/relationships/hyperlink" Target="https://www.ancestry.co.uk/family-tree/person/tree/163868056/person/342373323729/facts" TargetMode="External"/><Relationship Id="rId12" Type="http://schemas.openxmlformats.org/officeDocument/2006/relationships/hyperlink" Target="https://www.ancestry.co.uk/family-tree/person/tree/163868056/person/342144472532/facts" TargetMode="External"/><Relationship Id="rId17" Type="http://schemas.openxmlformats.org/officeDocument/2006/relationships/hyperlink" Target="https://www.ancestry.co.uk/discoveryui-matches/compare/50a7c5ef-9e94-44be-a86a-5736956a97f2/with/63e0a42c-dcd8-438a-92fe-d84773a05547" TargetMode="External"/><Relationship Id="rId2" Type="http://schemas.openxmlformats.org/officeDocument/2006/relationships/hyperlink" Target="https://www.ancestry.co.uk/family-tree/person/tree/163868056/person/342132992964/facts" TargetMode="External"/><Relationship Id="rId16" Type="http://schemas.openxmlformats.org/officeDocument/2006/relationships/hyperlink" Target="https://www.ancestry.co.uk/family-tree/tree/163868056/family?cfpid=342244516215" TargetMode="External"/><Relationship Id="rId20" Type="http://schemas.openxmlformats.org/officeDocument/2006/relationships/hyperlink" Target="https://dnapainter.com/tools/sharedcmv4/6?fbclid=IwAR3wqfKWVRq1DI_x4i7OjYx5ayGhdwQu5Tj-9K3u_CVvBxgEWwX7fHipJPs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www.ancestry.co.uk/family-tree/person/tree/163868056/person/342373323729/facts" TargetMode="External"/><Relationship Id="rId11" Type="http://schemas.openxmlformats.org/officeDocument/2006/relationships/hyperlink" Target="https://www.ancestry.co.uk/family-tree/person/tree/163868056/person/342144472531/facts" TargetMode="External"/><Relationship Id="rId5" Type="http://schemas.openxmlformats.org/officeDocument/2006/relationships/hyperlink" Target="https://www.ancestry.co.uk/family-tree/tree/163868056/family/pedigree?cfpid=342475042146" TargetMode="External"/><Relationship Id="rId15" Type="http://schemas.openxmlformats.org/officeDocument/2006/relationships/hyperlink" Target="https://www.ancestry.co.uk/family-tree/tree/163868056/family?cfpid=342373360584" TargetMode="External"/><Relationship Id="rId23" Type="http://schemas.openxmlformats.org/officeDocument/2006/relationships/hyperlink" Target="https://dnapainter.com/tools/sharedcmv4/13?fbclid=IwAR3wqfKWVRq1DI_x4i7OjYx5ayGhdwQu5Tj-9K3u_CVvBxgEWwX7fHipJPs" TargetMode="External"/><Relationship Id="rId10" Type="http://schemas.openxmlformats.org/officeDocument/2006/relationships/hyperlink" Target="https://www.ancestry.co.uk/family-tree/person/tree/163868056/person/342144472531/facts" TargetMode="External"/><Relationship Id="rId19" Type="http://schemas.openxmlformats.org/officeDocument/2006/relationships/hyperlink" Target="https://www.ancestry.co.uk/discoveryui-matches/compare/50A7C5EF-9E94-44BE-A86A-5736956A97F2/with/0CD51AED-71C6-4DA9-BF19-FF4BA99198BE" TargetMode="External"/><Relationship Id="rId4" Type="http://schemas.openxmlformats.org/officeDocument/2006/relationships/hyperlink" Target="https://www.ancestry.co.uk/family-tree/person/tree/163868056/person/342132992964/facts" TargetMode="External"/><Relationship Id="rId9" Type="http://schemas.openxmlformats.org/officeDocument/2006/relationships/hyperlink" Target="https://www.ancestry.co.uk/family-tree/person/tree/163868056/person/342373323730/facts" TargetMode="External"/><Relationship Id="rId14" Type="http://schemas.openxmlformats.org/officeDocument/2006/relationships/hyperlink" Target="https://www.ancestry.co.uk/family-tree/tree/163868056/family?cfpid=342263622289" TargetMode="External"/><Relationship Id="rId22" Type="http://schemas.openxmlformats.org/officeDocument/2006/relationships/hyperlink" Target="https://dnapainter.com/tools/sharedcmv4/13?fbclid=IwAR3wqfKWVRq1DI_x4i7OjYx5ayGhdwQu5Tj-9K3u_CVvBxgEWwX7fHipJPs" TargetMode="Externa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ncestry.co.uk/family-tree/tree/163868056/family/pedigree?cfpid=342559559566" TargetMode="External"/><Relationship Id="rId2" Type="http://schemas.openxmlformats.org/officeDocument/2006/relationships/hyperlink" Target="https://www.ancestry.co.uk/family-tree/person/tree/163868056/person/342133005275/facts" TargetMode="External"/><Relationship Id="rId1" Type="http://schemas.openxmlformats.org/officeDocument/2006/relationships/hyperlink" Target="https://www.ancestry.co.uk/discoveryui-matches/compare/50A7C5EF-9E94-44BE-A86A-5736956A97F2/with/6581679D-00EC-46F8-BAFA-7DA09A2B7A45" TargetMode="External"/><Relationship Id="rId5" Type="http://schemas.openxmlformats.org/officeDocument/2006/relationships/hyperlink" Target="https://dnapainter.com/tools/sharedcmv4/8?fbclid=IwAR3wqfKWVRq1DI_x4i7OjYx5ayGhdwQu5Tj-9K3u_CVvBxgEWwX7fHipJPs" TargetMode="External"/><Relationship Id="rId4" Type="http://schemas.openxmlformats.org/officeDocument/2006/relationships/hyperlink" Target="https://www.ancestry.co.uk/family-tree/person/tree/163868056/person/342132992964/facts" TargetMode="External"/></Relationships>
</file>

<file path=xl/worksheets/_rels/sheet5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ncestry.co.uk/family-tree/tree/163868056/family?cfpid=342265992563" TargetMode="External"/><Relationship Id="rId117" Type="http://schemas.openxmlformats.org/officeDocument/2006/relationships/hyperlink" Target="https://dnapainter.com/tools/sharedcmv4/24?fbclid=IwAR3wqfKWVRq1DI_x4i7OjYx5ayGhdwQu5Tj-9K3u_CVvBxgEWwX7fHipJPs" TargetMode="External"/><Relationship Id="rId21" Type="http://schemas.openxmlformats.org/officeDocument/2006/relationships/hyperlink" Target="https://www.ancestry.co.uk/family-tree/tree/163868056/family?cfpid=342221266983" TargetMode="External"/><Relationship Id="rId42" Type="http://schemas.openxmlformats.org/officeDocument/2006/relationships/hyperlink" Target="https://dnapainter.com/tools/sharedcmv4/26?fbclid=IwAR3wqfKWVRq1DI_x4i7OjYx5ayGhdwQu5Tj-9K3u_CVvBxgEWwX7fHipJPs" TargetMode="External"/><Relationship Id="rId47" Type="http://schemas.openxmlformats.org/officeDocument/2006/relationships/hyperlink" Target="https://dnapainter.com/tools/sharedcmv4/19?fbclid=IwAR3wqfKWVRq1DI_x4i7OjYx5ayGhdwQu5Tj-9K3u_CVvBxgEWwX7fHipJPs" TargetMode="External"/><Relationship Id="rId63" Type="http://schemas.openxmlformats.org/officeDocument/2006/relationships/hyperlink" Target="https://www.ancestry.co.uk/family-tree/person/tree/163868056/person/342132992964/facts" TargetMode="External"/><Relationship Id="rId68" Type="http://schemas.openxmlformats.org/officeDocument/2006/relationships/hyperlink" Target="https://www.ancestry.co.uk/discoveryui-matches/compare/50A7C5EF-9E94-44BE-A86A-5736956A97F2/with/356FC99C-E55C-4148-B401-CDBEA35C457E" TargetMode="External"/><Relationship Id="rId84" Type="http://schemas.openxmlformats.org/officeDocument/2006/relationships/hyperlink" Target="https://www.ancestry.co.uk/discoveryui-matches/compare/50a7c5ef-9e94-44be-a86a-5736956a97f2/with/5a110fba-1ecc-459a-a20a-ae8d92653bdf" TargetMode="External"/><Relationship Id="rId89" Type="http://schemas.openxmlformats.org/officeDocument/2006/relationships/hyperlink" Target="https://www.ancestry.co.uk/family-tree/person/tree/163868056/person/342132992970/facts" TargetMode="External"/><Relationship Id="rId112" Type="http://schemas.openxmlformats.org/officeDocument/2006/relationships/hyperlink" Target="https://www.ancestry.co.uk/family-tree/tree/163868056/family/pedigree?cfpid=342611645625" TargetMode="External"/><Relationship Id="rId16" Type="http://schemas.openxmlformats.org/officeDocument/2006/relationships/hyperlink" Target="https://www.ancestry.co.uk/family-tree/person/tree/163868056/person/342173014485/facts" TargetMode="External"/><Relationship Id="rId107" Type="http://schemas.openxmlformats.org/officeDocument/2006/relationships/hyperlink" Target="https://www.ancestry.co.uk/family-tree/person/tree/163868056/person/342132992964/facts" TargetMode="External"/><Relationship Id="rId11" Type="http://schemas.openxmlformats.org/officeDocument/2006/relationships/hyperlink" Target="https://www.ancestry.co.uk/family-tree/person/tree/163868056/person/342175088248/facts" TargetMode="External"/><Relationship Id="rId32" Type="http://schemas.openxmlformats.org/officeDocument/2006/relationships/hyperlink" Target="https://www.ancestry.co.uk/family-tree/tree/163868056/family?cfpid=342452267187" TargetMode="External"/><Relationship Id="rId37" Type="http://schemas.openxmlformats.org/officeDocument/2006/relationships/hyperlink" Target="https://dnapainter.com/tools/sharedcmv4/9?fbclid=IwAR3wqfKWVRq1DI_x4i7OjYx5ayGhdwQu5Tj-9K3u_CVvBxgEWwX7fHipJPs" TargetMode="External"/><Relationship Id="rId53" Type="http://schemas.openxmlformats.org/officeDocument/2006/relationships/hyperlink" Target="https://dnapainter.com/tools/sharedcmv4/38?fbclid=IwAR3wqfKWVRq1DI_x4i7OjYx5ayGhdwQu5Tj-9K3u_CVvBxgEWwX7fHipJPs" TargetMode="External"/><Relationship Id="rId58" Type="http://schemas.openxmlformats.org/officeDocument/2006/relationships/hyperlink" Target="https://www.ancestry.co.uk/family-tree/person/tree/163868056/person/342173014492/facts" TargetMode="External"/><Relationship Id="rId74" Type="http://schemas.openxmlformats.org/officeDocument/2006/relationships/hyperlink" Target="https://www.ancestry.co.uk/family-tree/person/tree/163868056/person/342173014485/facts" TargetMode="External"/><Relationship Id="rId79" Type="http://schemas.openxmlformats.org/officeDocument/2006/relationships/hyperlink" Target="https://www.ancestry.co.uk/family-tree/person/tree/163868056/person/342173014492/facts" TargetMode="External"/><Relationship Id="rId102" Type="http://schemas.openxmlformats.org/officeDocument/2006/relationships/hyperlink" Target="https://www.ancestry.co.uk/family-tree/person/tree/163868056/person/342175088248/facts" TargetMode="External"/><Relationship Id="rId5" Type="http://schemas.openxmlformats.org/officeDocument/2006/relationships/hyperlink" Target="https://www.ancestry.co.uk/family-tree/person/tree/163868056/person/342132992970/facts" TargetMode="External"/><Relationship Id="rId90" Type="http://schemas.openxmlformats.org/officeDocument/2006/relationships/hyperlink" Target="https://www.ancestry.co.uk/family-tree/person/tree/163868056/person/342173014492/facts" TargetMode="External"/><Relationship Id="rId95" Type="http://schemas.openxmlformats.org/officeDocument/2006/relationships/hyperlink" Target="https://www.ancestry.co.uk/family-tree/person/tree/163868056/person/342132992964/facts" TargetMode="External"/><Relationship Id="rId22" Type="http://schemas.openxmlformats.org/officeDocument/2006/relationships/hyperlink" Target="https://www.ancestry.co.uk/family-tree/person/tree/163868056/person/342173014492/facts" TargetMode="External"/><Relationship Id="rId27" Type="http://schemas.openxmlformats.org/officeDocument/2006/relationships/hyperlink" Target="https://www.ancestry.co.uk/discoveryui-matches/compare/50a7c5ef-9e94-44be-a86a-5736956a97f2/with/b0d1a8bb-7918-4b05-8c5b-eb3bf70b1759" TargetMode="External"/><Relationship Id="rId43" Type="http://schemas.openxmlformats.org/officeDocument/2006/relationships/hyperlink" Target="https://www.ancestry.co.uk/family-tree/person/tree/163868056/person/342132992964/facts" TargetMode="External"/><Relationship Id="rId48" Type="http://schemas.openxmlformats.org/officeDocument/2006/relationships/hyperlink" Target="https://www.ancestry.co.uk/discoveryui-matches/compare/50a7c5ef-9e94-44be-a86a-5736956a97f2/with/c14c5228-f9f0-43c5-9a99-3ecfcb37db89" TargetMode="External"/><Relationship Id="rId64" Type="http://schemas.openxmlformats.org/officeDocument/2006/relationships/hyperlink" Target="https://www.ancestry.co.uk/discoveryui-matches/compare/50A7C5EF-9E94-44BE-A86A-5736956A97F2/with/B7316055-41F0-40BC-9DCB-62AAAB3986A4" TargetMode="External"/><Relationship Id="rId69" Type="http://schemas.openxmlformats.org/officeDocument/2006/relationships/hyperlink" Target="https://dnapainter.com/tools/sharedcmv4/22?fbclid=IwAR3wqfKWVRq1DI_x4i7OjYx5ayGhdwQu5Tj-9K3u_CVvBxgEWwX7fHipJPs" TargetMode="External"/><Relationship Id="rId113" Type="http://schemas.openxmlformats.org/officeDocument/2006/relationships/hyperlink" Target="https://www.ancestry.co.uk/family-tree/person/tree/163868056/person/342132992964/facts" TargetMode="External"/><Relationship Id="rId118" Type="http://schemas.openxmlformats.org/officeDocument/2006/relationships/hyperlink" Target="https://www.ancestry.co.uk/family-tree/tree/163868056/family/pedigree?cfpid=342632215587" TargetMode="External"/><Relationship Id="rId80" Type="http://schemas.openxmlformats.org/officeDocument/2006/relationships/hyperlink" Target="https://www.ancestry.co.uk/family-tree/person/tree/163868056/person/342173014485/facts" TargetMode="External"/><Relationship Id="rId85" Type="http://schemas.openxmlformats.org/officeDocument/2006/relationships/hyperlink" Target="https://www.ancestry.co.uk/family-tree/person/tree/163868056/person/342173014492/facts" TargetMode="External"/><Relationship Id="rId12" Type="http://schemas.openxmlformats.org/officeDocument/2006/relationships/hyperlink" Target="https://www.ancestry.co.uk/family-tree/person/tree/163868056/person/342175088248/facts" TargetMode="External"/><Relationship Id="rId17" Type="http://schemas.openxmlformats.org/officeDocument/2006/relationships/hyperlink" Target="https://www.ancestry.co.uk/family-tree/person/tree/163868056/person/342173014485/facts" TargetMode="External"/><Relationship Id="rId33" Type="http://schemas.openxmlformats.org/officeDocument/2006/relationships/hyperlink" Target="https://www.ancestry.co.uk/discoveryui-matches/compare/8955CF51-8070-4A51-8674-B7F01B347AED/with/9DCCEF45-1ACB-4DC4-9CCF-BE974E0E3194" TargetMode="External"/><Relationship Id="rId38" Type="http://schemas.openxmlformats.org/officeDocument/2006/relationships/hyperlink" Target="https://dnapainter.com/tools/sharedcmv4/9?fbclid=IwAR3wqfKWVRq1DI_x4i7OjYx5ayGhdwQu5Tj-9K3u_CVvBxgEWwX7fHipJPs" TargetMode="External"/><Relationship Id="rId59" Type="http://schemas.openxmlformats.org/officeDocument/2006/relationships/hyperlink" Target="https://www.ancestry.co.uk/family-tree/person/tree/163868056/person/342173014485/facts" TargetMode="External"/><Relationship Id="rId103" Type="http://schemas.openxmlformats.org/officeDocument/2006/relationships/hyperlink" Target="https://www.ancestry.co.uk/family-tree/person/tree/163868056/person/342175088249/facts" TargetMode="External"/><Relationship Id="rId108" Type="http://schemas.openxmlformats.org/officeDocument/2006/relationships/hyperlink" Target="https://www.ancestry.co.uk/family-tree/person/tree/163868056/person/342175088248/facts" TargetMode="External"/><Relationship Id="rId54" Type="http://schemas.openxmlformats.org/officeDocument/2006/relationships/hyperlink" Target="https://www.ancestry.co.uk/family-tree/tree/163868056/family?cfpid=342518376607&amp;fpid=342175088357&amp;usePUBJs=true" TargetMode="External"/><Relationship Id="rId70" Type="http://schemas.openxmlformats.org/officeDocument/2006/relationships/hyperlink" Target="https://www.ancestry.co.uk/family-tree/tree/163868056/family?cfpid=342563665165" TargetMode="External"/><Relationship Id="rId75" Type="http://schemas.openxmlformats.org/officeDocument/2006/relationships/hyperlink" Target="https://dnapainter.com/tools/sharedcmv4/38?fbclid=IwAR3wqfKWVRq1DI_x4i7OjYx5ayGhdwQu5Tj-9K3u_CVvBxgEWwX7fHipJPs" TargetMode="External"/><Relationship Id="rId91" Type="http://schemas.openxmlformats.org/officeDocument/2006/relationships/hyperlink" Target="https://www.ancestry.co.uk/family-tree/person/tree/163868056/person/342173014485/facts" TargetMode="External"/><Relationship Id="rId96" Type="http://schemas.openxmlformats.org/officeDocument/2006/relationships/hyperlink" Target="https://www.ancestry.co.uk/family-tree/person/tree/163868056/person/342175088248/facts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www.ancestry.co.uk/family-tree/person/tree/163868056/person/342132992964/facts" TargetMode="External"/><Relationship Id="rId23" Type="http://schemas.openxmlformats.org/officeDocument/2006/relationships/hyperlink" Target="https://www.ancestry.co.uk/family-tree/person/tree/163868056/person/342173014485/facts" TargetMode="External"/><Relationship Id="rId28" Type="http://schemas.openxmlformats.org/officeDocument/2006/relationships/hyperlink" Target="https://www.ancestry.co.uk/family-tree/tree/163868056/family?cfpid=342175107606" TargetMode="External"/><Relationship Id="rId49" Type="http://schemas.openxmlformats.org/officeDocument/2006/relationships/hyperlink" Target="https://www.ancestry.co.uk/family-tree/person/tree/163868056/person/342132992964/facts" TargetMode="External"/><Relationship Id="rId114" Type="http://schemas.openxmlformats.org/officeDocument/2006/relationships/hyperlink" Target="https://www.ancestry.co.uk/discoveryui-matches/compare/8955cf51-8070-4a51-8674-b7f01b347aed/with/f258cc08-9397-4bdd-8f5c-296d07416348" TargetMode="External"/><Relationship Id="rId10" Type="http://schemas.openxmlformats.org/officeDocument/2006/relationships/hyperlink" Target="https://www.ancestry.co.uk/family-tree/person/tree/163868056/person/342175088248/facts" TargetMode="External"/><Relationship Id="rId31" Type="http://schemas.openxmlformats.org/officeDocument/2006/relationships/hyperlink" Target="https://www.ancestry.co.uk/discoveryui-matches/compare/50a7c5ef-9e94-44be-a86a-5736956a97f2/with/018b04af-90f0-4512-9d21-807996febd17" TargetMode="External"/><Relationship Id="rId44" Type="http://schemas.openxmlformats.org/officeDocument/2006/relationships/hyperlink" Target="https://you.23andme.com/profile/63fca7df62b451af/" TargetMode="External"/><Relationship Id="rId52" Type="http://schemas.openxmlformats.org/officeDocument/2006/relationships/hyperlink" Target="https://www.ancestry.co.uk/family-tree/person/tree/163868056/person/342173014485/facts" TargetMode="External"/><Relationship Id="rId60" Type="http://schemas.openxmlformats.org/officeDocument/2006/relationships/hyperlink" Target="https://www.ancestry.co.uk/family-tree/tree/163868056/family/pedigree?cfpid=342542152468" TargetMode="External"/><Relationship Id="rId65" Type="http://schemas.openxmlformats.org/officeDocument/2006/relationships/hyperlink" Target="https://www.ancestry.co.uk/family-tree/person/tree/163868056/person/342173014492/facts" TargetMode="External"/><Relationship Id="rId73" Type="http://schemas.openxmlformats.org/officeDocument/2006/relationships/hyperlink" Target="https://www.ancestry.co.uk/family-tree/person/tree/163868056/person/342173014492/facts" TargetMode="External"/><Relationship Id="rId78" Type="http://schemas.openxmlformats.org/officeDocument/2006/relationships/hyperlink" Target="https://www.ancestry.co.uk/discoveryui-matches/compare/50a7c5ef-9e94-44be-a86a-5736956a97f2/with/a7c989d7-7a0a-4c3a-87e4-8ab43d50d607" TargetMode="External"/><Relationship Id="rId81" Type="http://schemas.openxmlformats.org/officeDocument/2006/relationships/hyperlink" Target="https://dnapainter.com/tools/sharedcmv4/31?fbclid=IwAR3wqfKWVRq1DI_x4i7OjYx5ayGhdwQu5Tj-9K3u_CVvBxgEWwX7fHipJPs" TargetMode="External"/><Relationship Id="rId86" Type="http://schemas.openxmlformats.org/officeDocument/2006/relationships/hyperlink" Target="https://www.ancestry.co.uk/family-tree/person/tree/163868056/person/342173014485/facts" TargetMode="External"/><Relationship Id="rId94" Type="http://schemas.openxmlformats.org/officeDocument/2006/relationships/hyperlink" Target="https://www.ancestry.co.uk/discoveryui-matches/compare/50a7c5ef-9e94-44be-a86a-5736956a97f2/with/e917f709-c7bc-46a1-b3e7-033474cdfa95" TargetMode="External"/><Relationship Id="rId99" Type="http://schemas.openxmlformats.org/officeDocument/2006/relationships/hyperlink" Target="https://dnapainter.com/tools/sharedcmv4/11?fbclid=IwAR3wqfKWVRq1DI_x4i7OjYx5ayGhdwQu5Tj-9K3u_CVvBxgEWwX7fHipJPs" TargetMode="External"/><Relationship Id="rId101" Type="http://schemas.openxmlformats.org/officeDocument/2006/relationships/hyperlink" Target="https://www.ancestry.co.uk/family-tree/person/tree/163868056/person/342132992964/facts" TargetMode="External"/><Relationship Id="rId4" Type="http://schemas.openxmlformats.org/officeDocument/2006/relationships/hyperlink" Target="https://www.ancestry.co.uk/family-tree/person/tree/163868056/person/342132992970/facts" TargetMode="External"/><Relationship Id="rId9" Type="http://schemas.openxmlformats.org/officeDocument/2006/relationships/hyperlink" Target="https://www.ancestry.co.uk/family-tree/person/tree/163868056/person/342173014492/facts" TargetMode="External"/><Relationship Id="rId13" Type="http://schemas.openxmlformats.org/officeDocument/2006/relationships/hyperlink" Target="https://www.ancestry.co.uk/family-tree/person/tree/163868056/person/342173014492/facts" TargetMode="External"/><Relationship Id="rId18" Type="http://schemas.openxmlformats.org/officeDocument/2006/relationships/hyperlink" Target="https://www.ancestry.co.uk/family-tree/person/tree/163868056/person/342175088249/facts" TargetMode="External"/><Relationship Id="rId39" Type="http://schemas.openxmlformats.org/officeDocument/2006/relationships/hyperlink" Target="https://dnapainter.com/tools/sharedcmv4/8?fbclid=IwAR3wqfKWVRq1DI_x4i7OjYx5ayGhdwQu5Tj-9K3u_CVvBxgEWwX7fHipJPs" TargetMode="External"/><Relationship Id="rId109" Type="http://schemas.openxmlformats.org/officeDocument/2006/relationships/hyperlink" Target="https://www.ancestry.co.uk/family-tree/person/tree/163868056/person/342175088249/facts" TargetMode="External"/><Relationship Id="rId34" Type="http://schemas.openxmlformats.org/officeDocument/2006/relationships/hyperlink" Target="https://dnapainter.com/tools/sharedcmv4/8?fbclid=IwAR3wqfKWVRq1DI_x4i7OjYx5ayGhdwQu5Tj-9K3u_CVvBxgEWwX7fHipJPs" TargetMode="External"/><Relationship Id="rId50" Type="http://schemas.openxmlformats.org/officeDocument/2006/relationships/hyperlink" Target="https://www.ancestry.co.uk/discoveryui-matches/compare/50a7c5ef-9e94-44be-a86a-5736956a97f2/with/7c62491d-9a5d-4633-9ac3-ad213902618d" TargetMode="External"/><Relationship Id="rId55" Type="http://schemas.openxmlformats.org/officeDocument/2006/relationships/hyperlink" Target="https://dnapainter.com/tools/sharedcmv4/14?fbclid=IwAR3wqfKWVRq1DI_x4i7OjYx5ayGhdwQu5Tj-9K3u_CVvBxgEWwX7fHipJPs" TargetMode="External"/><Relationship Id="rId76" Type="http://schemas.openxmlformats.org/officeDocument/2006/relationships/hyperlink" Target="https://www.ancestry.co.uk/family-tree/tree/163868056/family/pedigree?cfpid=342590083273" TargetMode="External"/><Relationship Id="rId97" Type="http://schemas.openxmlformats.org/officeDocument/2006/relationships/hyperlink" Target="https://www.ancestry.co.uk/family-tree/person/tree/163868056/person/342175088249/facts" TargetMode="External"/><Relationship Id="rId104" Type="http://schemas.openxmlformats.org/officeDocument/2006/relationships/hyperlink" Target="https://www.ancestry.co.uk/discoveryui-matches/compare/50a7c5ef-9e94-44be-a86a-5736956a97f2/with/b4474542-1f67-4624-94aa-6d2f118f1ef1" TargetMode="External"/><Relationship Id="rId7" Type="http://schemas.openxmlformats.org/officeDocument/2006/relationships/hyperlink" Target="https://you.23andme.com/profile/63fca7df62b451af/" TargetMode="External"/><Relationship Id="rId71" Type="http://schemas.openxmlformats.org/officeDocument/2006/relationships/hyperlink" Target="https://www.ancestry.co.uk/family-tree/person/tree/163868056/person/342132992964/facts" TargetMode="External"/><Relationship Id="rId92" Type="http://schemas.openxmlformats.org/officeDocument/2006/relationships/hyperlink" Target="https://www.ancestry.co.uk/family-tree/tree/163868056/family/pedigree?cfpid=342591405897" TargetMode="External"/><Relationship Id="rId2" Type="http://schemas.openxmlformats.org/officeDocument/2006/relationships/hyperlink" Target="https://www.ancestry.co.uk/family-tree/person/tree/163868056/person/342132992964/facts" TargetMode="External"/><Relationship Id="rId29" Type="http://schemas.openxmlformats.org/officeDocument/2006/relationships/hyperlink" Target="https://www.ancestry.co.uk/discoveryui-matches/compare/50a7c5ef-9e94-44be-a86a-5736956a97f2/with/c453c810-4f61-4584-9ace-ba9074b6f40b" TargetMode="External"/><Relationship Id="rId24" Type="http://schemas.openxmlformats.org/officeDocument/2006/relationships/hyperlink" Target="https://www.ancestry.co.uk/family-tree/person/tree/163868056/person/342132992964/facts" TargetMode="External"/><Relationship Id="rId40" Type="http://schemas.openxmlformats.org/officeDocument/2006/relationships/hyperlink" Target="https://dnapainter.com/tools/sharedcmv4/24?fbclid=IwAR3wqfKWVRq1DI_x4i7OjYx5ayGhdwQu5Tj-9K3u_CVvBxgEWwX7fHipJPs" TargetMode="External"/><Relationship Id="rId45" Type="http://schemas.openxmlformats.org/officeDocument/2006/relationships/hyperlink" Target="https://www.ancestry.co.uk/family-tree/person/tree/163868056/person/342173014492/facts" TargetMode="External"/><Relationship Id="rId66" Type="http://schemas.openxmlformats.org/officeDocument/2006/relationships/hyperlink" Target="https://www.ancestry.co.uk/family-tree/person/tree/163868056/person/342173014485/facts" TargetMode="External"/><Relationship Id="rId87" Type="http://schemas.openxmlformats.org/officeDocument/2006/relationships/hyperlink" Target="https://dnapainter.com/tools/sharedcmv4/17?fbclid=IwAR3wqfKWVRq1DI_x4i7OjYx5ayGhdwQu5Tj-9K3u_CVvBxgEWwX7fHipJPs" TargetMode="External"/><Relationship Id="rId110" Type="http://schemas.openxmlformats.org/officeDocument/2006/relationships/hyperlink" Target="https://www.ancestry.co.uk/discoveryui-matches/compare/50a7c5ef-9e94-44be-a86a-5736956a97f2/with/d3de49f6-ef0e-46a6-9b62-0a3105971268" TargetMode="External"/><Relationship Id="rId115" Type="http://schemas.openxmlformats.org/officeDocument/2006/relationships/hyperlink" Target="https://www.ancestry.co.uk/family-tree/person/tree/163868056/person/342173014492/facts" TargetMode="External"/><Relationship Id="rId61" Type="http://schemas.openxmlformats.org/officeDocument/2006/relationships/hyperlink" Target="https://dnapainter.com/tools/sharedcmv4/8?fbclid=IwAR3wqfKWVRq1DI_x4i7OjYx5ayGhdwQu5Tj-9K3u_CVvBxgEWwX7fHipJPs" TargetMode="External"/><Relationship Id="rId82" Type="http://schemas.openxmlformats.org/officeDocument/2006/relationships/hyperlink" Target="https://www.ancestry.co.uk/family-tree/tree/163868056/family/pedigree?cfpid=342590760165" TargetMode="External"/><Relationship Id="rId19" Type="http://schemas.openxmlformats.org/officeDocument/2006/relationships/hyperlink" Target="https://www.ancestry.co.uk/family-tree/person/tree/163868056/person/342175088249/facts" TargetMode="External"/><Relationship Id="rId14" Type="http://schemas.openxmlformats.org/officeDocument/2006/relationships/hyperlink" Target="https://www.ancestry.co.uk/family-tree/person/tree/163868056/person/342173014485/facts" TargetMode="External"/><Relationship Id="rId30" Type="http://schemas.openxmlformats.org/officeDocument/2006/relationships/hyperlink" Target="https://www.ancestry.co.uk/family-tree/tree/163868056/family?cfpid=342265880158" TargetMode="External"/><Relationship Id="rId35" Type="http://schemas.openxmlformats.org/officeDocument/2006/relationships/hyperlink" Target="https://dnapainter.com/tools/sharedcmv4/8?fbclid=IwAR3wqfKWVRq1DI_x4i7OjYx5ayGhdwQu5Tj-9K3u_CVvBxgEWwX7fHipJPs" TargetMode="External"/><Relationship Id="rId56" Type="http://schemas.openxmlformats.org/officeDocument/2006/relationships/hyperlink" Target="https://www.ancestry.co.uk/discoveryui-matches/compare/8955cf51-8070-4a51-8674-b7f01b347aed/with/c14c5228-f9f0-43c5-9a99-3ecfcb37db89" TargetMode="External"/><Relationship Id="rId77" Type="http://schemas.openxmlformats.org/officeDocument/2006/relationships/hyperlink" Target="https://www.ancestry.co.uk/family-tree/person/tree/163868056/person/342132992964/facts" TargetMode="External"/><Relationship Id="rId100" Type="http://schemas.openxmlformats.org/officeDocument/2006/relationships/hyperlink" Target="https://www.ancestry.co.uk/family-tree/tree/163868056/family/pedigree?cfpid=342611645584" TargetMode="External"/><Relationship Id="rId105" Type="http://schemas.openxmlformats.org/officeDocument/2006/relationships/hyperlink" Target="https://www.ancestry.co.uk/family-tree/tree/163868056/family/pedigree?cfpid=342611645544" TargetMode="External"/><Relationship Id="rId8" Type="http://schemas.openxmlformats.org/officeDocument/2006/relationships/hyperlink" Target="https://www.ancestry.co.uk/family-tree/tree/163868056/family?cfpid=342231315146" TargetMode="External"/><Relationship Id="rId51" Type="http://schemas.openxmlformats.org/officeDocument/2006/relationships/hyperlink" Target="https://www.ancestry.co.uk/family-tree/person/tree/163868056/person/342173014492/facts" TargetMode="External"/><Relationship Id="rId72" Type="http://schemas.openxmlformats.org/officeDocument/2006/relationships/hyperlink" Target="https://www.ancestry.co.uk/discoveryui-matches/compare/50a7c5ef-9e94-44be-a86a-5736956a97f2/with/e13fa8a1-1c9a-4881-9aaa-ac308a9cd641" TargetMode="External"/><Relationship Id="rId93" Type="http://schemas.openxmlformats.org/officeDocument/2006/relationships/hyperlink" Target="https://dnapainter.com/tools/sharedcmv4/12?fbclid=IwAR3wqfKWVRq1DI_x4i7OjYx5ayGhdwQu5Tj-9K3u_CVvBxgEWwX7fHipJPs" TargetMode="External"/><Relationship Id="rId98" Type="http://schemas.openxmlformats.org/officeDocument/2006/relationships/hyperlink" Target="https://www.ancestry.co.uk/discoveryui-matches/compare/50a7c5ef-9e94-44be-a86a-5736956a97f2/with/5e83329e-2576-427e-a2c2-7d40a8746170" TargetMode="External"/><Relationship Id="rId3" Type="http://schemas.openxmlformats.org/officeDocument/2006/relationships/hyperlink" Target="https://www.ancestry.co.uk/family-tree/person/tree/163868056/person/342132992964/facts" TargetMode="External"/><Relationship Id="rId25" Type="http://schemas.openxmlformats.org/officeDocument/2006/relationships/hyperlink" Target="https://www.ancestry.co.uk/family-tree/tree/163868056/family?cfpid=342463572758" TargetMode="External"/><Relationship Id="rId46" Type="http://schemas.openxmlformats.org/officeDocument/2006/relationships/hyperlink" Target="https://www.ancestry.co.uk/family-tree/person/tree/163868056/person/342173014485/facts" TargetMode="External"/><Relationship Id="rId67" Type="http://schemas.openxmlformats.org/officeDocument/2006/relationships/hyperlink" Target="https://you.23andme.com/profile/06fe7b24831eb6ad/" TargetMode="External"/><Relationship Id="rId116" Type="http://schemas.openxmlformats.org/officeDocument/2006/relationships/hyperlink" Target="https://www.ancestry.co.uk/family-tree/person/tree/163868056/person/342173014485/facts" TargetMode="External"/><Relationship Id="rId20" Type="http://schemas.openxmlformats.org/officeDocument/2006/relationships/hyperlink" Target="https://www.ancestry.co.uk/family-tree/person/tree/163868056/person/342175088249/facts" TargetMode="External"/><Relationship Id="rId41" Type="http://schemas.openxmlformats.org/officeDocument/2006/relationships/hyperlink" Target="https://dnapainter.com/tools/sharedcmv4/19?fbclid=IwAR3wqfKWVRq1DI_x4i7OjYx5ayGhdwQu5Tj-9K3u_CVvBxgEWwX7fHipJPs" TargetMode="External"/><Relationship Id="rId62" Type="http://schemas.openxmlformats.org/officeDocument/2006/relationships/hyperlink" Target="https://www.ancestry.co.uk/discoveryui-matches/compare/8955cf51-8070-4a51-8674-b7f01b347aed/with/8ff46f56-603b-4a21-bbe7-925e6e73d6cb" TargetMode="External"/><Relationship Id="rId83" Type="http://schemas.openxmlformats.org/officeDocument/2006/relationships/hyperlink" Target="https://www.ancestry.co.uk/family-tree/person/tree/163868056/person/342132992964/facts" TargetMode="External"/><Relationship Id="rId88" Type="http://schemas.openxmlformats.org/officeDocument/2006/relationships/hyperlink" Target="https://www.ancestry.co.uk/family-tree/tree/163868056/family/pedigree?cfpid=342591405936" TargetMode="External"/><Relationship Id="rId111" Type="http://schemas.openxmlformats.org/officeDocument/2006/relationships/hyperlink" Target="https://dnapainter.com/tools/sharedcmv4/8?fbclid=IwAR3wqfKWVRq1DI_x4i7OjYx5ayGhdwQu5Tj-9K3u_CVvBxgEWwX7fHipJPs" TargetMode="External"/><Relationship Id="rId15" Type="http://schemas.openxmlformats.org/officeDocument/2006/relationships/hyperlink" Target="https://www.ancestry.co.uk/family-tree/person/tree/163868056/person/342173014492/facts" TargetMode="External"/><Relationship Id="rId36" Type="http://schemas.openxmlformats.org/officeDocument/2006/relationships/hyperlink" Target="https://dnapainter.com/tools/sharedcmv4/8?fbclid=IwAR3wqfKWVRq1DI_x4i7OjYx5ayGhdwQu5Tj-9K3u_CVvBxgEWwX7fHipJPs" TargetMode="External"/><Relationship Id="rId57" Type="http://schemas.openxmlformats.org/officeDocument/2006/relationships/hyperlink" Target="https://www.ancestry.co.uk/family-tree/person/tree/163868056/person/342132992970/facts" TargetMode="External"/><Relationship Id="rId106" Type="http://schemas.openxmlformats.org/officeDocument/2006/relationships/hyperlink" Target="https://dnapainter.com/tools/sharedcmv4/9?fbclid=IwAR3wqfKWVRq1DI_x4i7OjYx5ayGhdwQu5Tj-9K3u_CVvBxgEWwX7fHipJPs" TargetMode="External"/></Relationships>
</file>

<file path=xl/worksheets/_rels/sheet5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ncestry.co.uk/family-tree/person/tree/163868056/person/342212800931/facts" TargetMode="External"/><Relationship Id="rId18" Type="http://schemas.openxmlformats.org/officeDocument/2006/relationships/hyperlink" Target="https://www.ancestry.co.uk/family-tree/person/tree/163868056/person/342212805345/facts" TargetMode="External"/><Relationship Id="rId26" Type="http://schemas.openxmlformats.org/officeDocument/2006/relationships/hyperlink" Target="https://www.ancestry.co.uk/discoveryui-matches/compare/50a7c5ef-9e94-44be-a86a-5736956a97f2/with/97dbe026-e19d-4134-a590-feadf53af6bf" TargetMode="External"/><Relationship Id="rId39" Type="http://schemas.openxmlformats.org/officeDocument/2006/relationships/hyperlink" Target="https://dnapainter.com/tools/sharedcmv4/41?fbclid=IwAR3wqfKWVRq1DI_x4i7OjYx5ayGhdwQu5Tj-9K3u_CVvBxgEWwX7fHipJPs" TargetMode="External"/><Relationship Id="rId21" Type="http://schemas.openxmlformats.org/officeDocument/2006/relationships/hyperlink" Target="https://www.ancestry.co.uk/family-tree/person/tree/163868056/person/342288225848/facts" TargetMode="External"/><Relationship Id="rId34" Type="http://schemas.openxmlformats.org/officeDocument/2006/relationships/hyperlink" Target="https://www.ancestry.co.uk/family-tree/tree/163868056/family?cfpid=342373182579" TargetMode="External"/><Relationship Id="rId42" Type="http://schemas.openxmlformats.org/officeDocument/2006/relationships/hyperlink" Target="https://dnapainter.com/tools/sharedcmv4/107.3?fbclid=IwAR3wqfKWVRq1DI_x4i7OjYx5ayGhdwQu5Tj-9K3u_CVvBxgEWwX7fHipJPs" TargetMode="External"/><Relationship Id="rId47" Type="http://schemas.openxmlformats.org/officeDocument/2006/relationships/hyperlink" Target="https://www.ancestry.co.uk/family-tree/person/tree/163868056/person/342132992970/facts" TargetMode="External"/><Relationship Id="rId50" Type="http://schemas.openxmlformats.org/officeDocument/2006/relationships/hyperlink" Target="https://www.ancestry.co.uk/discoveryui-matches/compare/8955cf51-8070-4a51-8674-b7f01b347aed/with/e1a85bd7-ee2d-4c64-a056-9e155be77ccf" TargetMode="External"/><Relationship Id="rId55" Type="http://schemas.openxmlformats.org/officeDocument/2006/relationships/hyperlink" Target="https://www.ancestry.co.uk/family-tree/person/tree/163868056/person/342288225849/facts" TargetMode="External"/><Relationship Id="rId7" Type="http://schemas.openxmlformats.org/officeDocument/2006/relationships/hyperlink" Target="https://www.ancestry.co.uk/family-tree/person/tree/163868056/person/342132992964/facts" TargetMode="External"/><Relationship Id="rId2" Type="http://schemas.openxmlformats.org/officeDocument/2006/relationships/hyperlink" Target="https://www.ancestry.co.uk/family-tree/person/tree/163868056/person/342132992964/facts" TargetMode="External"/><Relationship Id="rId16" Type="http://schemas.openxmlformats.org/officeDocument/2006/relationships/hyperlink" Target="https://www.ancestry.co.uk/family-tree/person/tree/163868056/person/342212800928/facts" TargetMode="External"/><Relationship Id="rId29" Type="http://schemas.openxmlformats.org/officeDocument/2006/relationships/hyperlink" Target="https://www.ancestry.co.uk/family-tree/person/tree/163868056/person/342173284289/facts" TargetMode="External"/><Relationship Id="rId11" Type="http://schemas.openxmlformats.org/officeDocument/2006/relationships/hyperlink" Target="https://www.ancestry.co.uk/family-tree/person/tree/163868056/person/342212800931/facts" TargetMode="External"/><Relationship Id="rId24" Type="http://schemas.openxmlformats.org/officeDocument/2006/relationships/hyperlink" Target="https://www.ancestry.co.uk/discoveryui-matches/compare/50a7c5ef-9e94-44be-a86a-5736956a97f2/with/32a4ef91-87ce-49c0-b705-624887314f1b" TargetMode="External"/><Relationship Id="rId32" Type="http://schemas.openxmlformats.org/officeDocument/2006/relationships/hyperlink" Target="https://www.ancestry.co.uk/family-tree/tree/163868056/family?cfpid=342286427685" TargetMode="External"/><Relationship Id="rId37" Type="http://schemas.openxmlformats.org/officeDocument/2006/relationships/hyperlink" Target="https://dnapainter.com/tools/sharedcmv4/7?fbclid=IwAR3wqfKWVRq1DI_x4i7OjYx5ayGhdwQu5Tj-9K3u_CVvBxgEWwX7fHipJPs" TargetMode="External"/><Relationship Id="rId40" Type="http://schemas.openxmlformats.org/officeDocument/2006/relationships/hyperlink" Target="https://dnapainter.com/tools/sharedcmv4/74?fbclid=IwAR3wqfKWVRq1DI_x4i7OjYx5ayGhdwQu5Tj-9K3u_CVvBxgEWwX7fHipJPs" TargetMode="External"/><Relationship Id="rId45" Type="http://schemas.openxmlformats.org/officeDocument/2006/relationships/hyperlink" Target="https://dnapainter.com/tools/sharedcmv4/70?fbclid=IwAR3wqfKWVRq1DI_x4i7OjYx5ayGhdwQu5Tj-9K3u_CVvBxgEWwX7fHipJPs" TargetMode="External"/><Relationship Id="rId53" Type="http://schemas.openxmlformats.org/officeDocument/2006/relationships/hyperlink" Target="https://www.ancestry.co.uk/family-tree/person/tree/163868056/person/342132992964/facts" TargetMode="External"/><Relationship Id="rId58" Type="http://schemas.openxmlformats.org/officeDocument/2006/relationships/hyperlink" Target="https://dnapainter.com/tools/sharedcmv4/7?fbclid=IwAR3wqfKWVRq1DI_x4i7OjYx5ayGhdwQu5Tj-9K3u_CVvBxgEWwX7fHipJPs" TargetMode="External"/><Relationship Id="rId5" Type="http://schemas.openxmlformats.org/officeDocument/2006/relationships/hyperlink" Target="https://www.ancestry.co.uk/family-tree/person/tree/163868056/person/342132992964/facts" TargetMode="External"/><Relationship Id="rId19" Type="http://schemas.openxmlformats.org/officeDocument/2006/relationships/hyperlink" Target="https://www.ancestry.co.uk/family-tree/person/tree/163868056/person/342286426294/facts" TargetMode="External"/><Relationship Id="rId4" Type="http://schemas.openxmlformats.org/officeDocument/2006/relationships/hyperlink" Target="https://www.ancestry.co.uk/family-tree/person/tree/163868056/person/342132992964/facts" TargetMode="External"/><Relationship Id="rId9" Type="http://schemas.openxmlformats.org/officeDocument/2006/relationships/hyperlink" Target="https://www.myheritage.com/dna/match/D-F9099B9B-87A1-4274-827C-AF35BD245736-D-7722A146-C278-4AF4-9BB5-AAB194710948/691113321?p=1&amp;ps=10&amp;search=sue%20kennedy&amp;sort=total_shared_segments_length_in_cm&amp;memberId=704364871" TargetMode="External"/><Relationship Id="rId14" Type="http://schemas.openxmlformats.org/officeDocument/2006/relationships/hyperlink" Target="https://www.ancestry.co.uk/family-tree/person/tree/163868056/person/342212800928/facts" TargetMode="External"/><Relationship Id="rId22" Type="http://schemas.openxmlformats.org/officeDocument/2006/relationships/hyperlink" Target="https://www.ancestry.co.uk/family-tree/person/tree/163868056/person/342288225849/facts" TargetMode="External"/><Relationship Id="rId27" Type="http://schemas.openxmlformats.org/officeDocument/2006/relationships/hyperlink" Target="https://www.ancestry.co.uk/family-tree/tree/163868056/family?cfpid=342213255846" TargetMode="External"/><Relationship Id="rId30" Type="http://schemas.openxmlformats.org/officeDocument/2006/relationships/hyperlink" Target="https://www.ancestry.co.uk/family-tree/tree/163868056/family?cfpid=342286426707" TargetMode="External"/><Relationship Id="rId35" Type="http://schemas.openxmlformats.org/officeDocument/2006/relationships/hyperlink" Target="https://www.ancestry.co.uk/discoveryui-matches/compare/50a7c5ef-9e94-44be-a86a-5736956a97f2/with/d06cca1e-f247-4887-a962-661a3c7a197d" TargetMode="External"/><Relationship Id="rId43" Type="http://schemas.openxmlformats.org/officeDocument/2006/relationships/hyperlink" Target="https://dnapainter.com/tools/sharedcmv4/121?fbclid=IwAR3wqfKWVRq1DI_x4i7OjYx5ayGhdwQu5Tj-9K3u_CVvBxgEWwX7fHipJPs" TargetMode="External"/><Relationship Id="rId48" Type="http://schemas.openxmlformats.org/officeDocument/2006/relationships/hyperlink" Target="https://www.ancestry.co.uk/family-tree/person/tree/163868056/person/342212805345/facts" TargetMode="External"/><Relationship Id="rId56" Type="http://schemas.openxmlformats.org/officeDocument/2006/relationships/hyperlink" Target="https://www.ancestry.co.uk/family-tree/tree/163868056/family/pedigree?cfpid=342590612383" TargetMode="External"/><Relationship Id="rId8" Type="http://schemas.openxmlformats.org/officeDocument/2006/relationships/hyperlink" Target="https://www.ancestry.co.uk/family-tree/tree/163868056/family?cfpid=342287374798" TargetMode="External"/><Relationship Id="rId51" Type="http://schemas.openxmlformats.org/officeDocument/2006/relationships/hyperlink" Target="https://www.ancestry.co.uk/family-tree/tree/163868056/family/pedigree?cfpid=342560297341" TargetMode="External"/><Relationship Id="rId3" Type="http://schemas.openxmlformats.org/officeDocument/2006/relationships/hyperlink" Target="https://www.ancestry.co.uk/family-tree/person/tree/163868056/person/342132992964/facts" TargetMode="External"/><Relationship Id="rId12" Type="http://schemas.openxmlformats.org/officeDocument/2006/relationships/hyperlink" Target="https://www.ancestry.co.uk/family-tree/person/tree/163868056/person/342212800931/facts" TargetMode="External"/><Relationship Id="rId17" Type="http://schemas.openxmlformats.org/officeDocument/2006/relationships/hyperlink" Target="https://www.ancestry.co.uk/family-tree/person/tree/163868056/person/342212805345/facts" TargetMode="External"/><Relationship Id="rId25" Type="http://schemas.openxmlformats.org/officeDocument/2006/relationships/hyperlink" Target="https://www.ancestry.co.uk/family-tree/tree/163868056/family?cfpid=342213356629" TargetMode="External"/><Relationship Id="rId33" Type="http://schemas.openxmlformats.org/officeDocument/2006/relationships/hyperlink" Target="https://www.ancestry.co.uk/discoveryui-matches/compare/50a7c5ef-9e94-44be-a86a-5736956a97f2/with/213433be-9cae-4d0e-aec8-3e1965410173" TargetMode="External"/><Relationship Id="rId38" Type="http://schemas.openxmlformats.org/officeDocument/2006/relationships/hyperlink" Target="https://dnapainter.com/tools/sharedcmv4/7?fbclid=IwAR3wqfKWVRq1DI_x4i7OjYx5ayGhdwQu5Tj-9K3u_CVvBxgEWwX7fHipJPs" TargetMode="External"/><Relationship Id="rId46" Type="http://schemas.openxmlformats.org/officeDocument/2006/relationships/hyperlink" Target="https://dnapainter.com/tools/sharedcmv4/117?fbclid=IwAR3wqfKWVRq1DI_x4i7OjYx5ayGhdwQu5Tj-9K3u_CVvBxgEWwX7fHipJPs" TargetMode="External"/><Relationship Id="rId20" Type="http://schemas.openxmlformats.org/officeDocument/2006/relationships/hyperlink" Target="https://www.ancestry.co.uk/family-tree/person/tree/163868056/person/342286426294/facts" TargetMode="External"/><Relationship Id="rId41" Type="http://schemas.openxmlformats.org/officeDocument/2006/relationships/hyperlink" Target="https://dnapainter.com/tools/sharedcmv4/67.8?fbclid=IwAR3wqfKWVRq1DI_x4i7OjYx5ayGhdwQu5Tj-9K3u_CVvBxgEWwX7fHipJPs" TargetMode="External"/><Relationship Id="rId54" Type="http://schemas.openxmlformats.org/officeDocument/2006/relationships/hyperlink" Target="https://www.ancestry.co.uk/family-tree/person/tree/163868056/person/342288225848/facts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www.ancestry.co.uk/family-tree/person/tree/163868056/person/342132992964/facts" TargetMode="External"/><Relationship Id="rId15" Type="http://schemas.openxmlformats.org/officeDocument/2006/relationships/hyperlink" Target="https://www.ancestry.co.uk/family-tree/person/tree/163868056/person/342212800928/facts" TargetMode="External"/><Relationship Id="rId23" Type="http://schemas.openxmlformats.org/officeDocument/2006/relationships/hyperlink" Target="https://www.ancestry.co.uk/family-tree/tree/163868056/family?cfpid=342280171695" TargetMode="External"/><Relationship Id="rId28" Type="http://schemas.openxmlformats.org/officeDocument/2006/relationships/hyperlink" Target="https://www.ancestry.co.uk/family-tree/person/tree/163868056/person/342173014407/facts" TargetMode="External"/><Relationship Id="rId36" Type="http://schemas.openxmlformats.org/officeDocument/2006/relationships/hyperlink" Target="https://dnapainter.com/tools/sharedcmv4/6?fbclid=IwAR3wqfKWVRq1DI_x4i7OjYx5ayGhdwQu5Tj-9K3u_CVvBxgEWwX7fHipJPs" TargetMode="External"/><Relationship Id="rId49" Type="http://schemas.openxmlformats.org/officeDocument/2006/relationships/hyperlink" Target="https://www.ancestry.co.uk/family-tree/person/tree/163868056/person/342286426294/facts" TargetMode="External"/><Relationship Id="rId57" Type="http://schemas.openxmlformats.org/officeDocument/2006/relationships/hyperlink" Target="https://www.ancestry.co.uk/discoveryui-matches/compare/50a7c5ef-9e94-44be-a86a-5736956a97f2/with/d06cca1e-f247-4887-a962-661a3c7a197d" TargetMode="External"/><Relationship Id="rId10" Type="http://schemas.openxmlformats.org/officeDocument/2006/relationships/hyperlink" Target="https://www.ancestry.co.uk/family-tree/person/tree/163868056/person/342212800928/facts" TargetMode="External"/><Relationship Id="rId31" Type="http://schemas.openxmlformats.org/officeDocument/2006/relationships/hyperlink" Target="https://www.ancestry.co.uk/discoveryui-matches/compare/50a7c5ef-9e94-44be-a86a-5736956a97f2/with/12739e22-72d4-46ef-be62-3bf8abcc8c80" TargetMode="External"/><Relationship Id="rId44" Type="http://schemas.openxmlformats.org/officeDocument/2006/relationships/hyperlink" Target="https://dnapainter.com/tools/sharedcmv4/128?fbclid=IwAR3wqfKWVRq1DI_x4i7OjYx5ayGhdwQu5Tj-9K3u_CVvBxgEWwX7fHipJPs" TargetMode="External"/><Relationship Id="rId52" Type="http://schemas.openxmlformats.org/officeDocument/2006/relationships/hyperlink" Target="https://dnapainter.com/tools/sharedcmv4/16?fbclid=IwAR3wqfKWVRq1DI_x4i7OjYx5ayGhdwQu5Tj-9K3u_CVvBxgEWwX7fHipJPs" TargetMode="Externa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ncestry.co.uk/discoveryui-matches/compare/50a7c5ef-9e94-44be-a86a-5736956a97f2/with/b71d96f5-bd54-480f-9a56-a1060016aed7" TargetMode="External"/><Relationship Id="rId2" Type="http://schemas.openxmlformats.org/officeDocument/2006/relationships/hyperlink" Target="https://www.ancestry.co.uk/family-tree/tree/163868056/family?cfpid=342315819487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dnapainter.com/tools/sharedcmv4/13?fbclid=IwAR3wqfKWVRq1DI_x4i7OjYx5ayGhdwQu5Tj-9K3u_CVvBxgEWwX7fHipJPs" TargetMode="External"/><Relationship Id="rId5" Type="http://schemas.openxmlformats.org/officeDocument/2006/relationships/hyperlink" Target="https://www.ancestry.co.uk/family-tree/person/tree/163868056/person/342175144301/facts" TargetMode="External"/><Relationship Id="rId4" Type="http://schemas.openxmlformats.org/officeDocument/2006/relationships/hyperlink" Target="https://www.ancestry.co.uk/family-tree/person/tree/163868056/person/342175144286/facts" TargetMode="External"/></Relationships>
</file>

<file path=xl/worksheets/_rels/sheet55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ncestry.co.uk/family-tree/person/tree/163868056/person/342132993690/facts" TargetMode="External"/><Relationship Id="rId21" Type="http://schemas.openxmlformats.org/officeDocument/2006/relationships/hyperlink" Target="https://www.ancestry.co.uk/family-tree/person/tree/163868056/person/342132993689/facts" TargetMode="External"/><Relationship Id="rId42" Type="http://schemas.openxmlformats.org/officeDocument/2006/relationships/hyperlink" Target="https://www.ancestry.co.uk/family-tree/tree/163868056/family?_phsrc=ihI10274&amp;_phstart=default&amp;cfpid=342381177093&amp;fpid=342381434671&amp;usePUBJs=true" TargetMode="External"/><Relationship Id="rId47" Type="http://schemas.openxmlformats.org/officeDocument/2006/relationships/hyperlink" Target="https://www.ancestry.co.uk/family-tree/tree/163868056/family?_phsrc=ihI10274&amp;_phstart=default&amp;cfpid=342278282081&amp;fpid=342381434671&amp;usePUBJs=true" TargetMode="External"/><Relationship Id="rId63" Type="http://schemas.openxmlformats.org/officeDocument/2006/relationships/hyperlink" Target="https://dnapainter.com/tools/sharedcmv4/17?fbclid=IwAR3wqfKWVRq1DI_x4i7OjYx5ayGhdwQu5Tj-9K3u_CVvBxgEWwX7fHipJPs" TargetMode="External"/><Relationship Id="rId68" Type="http://schemas.openxmlformats.org/officeDocument/2006/relationships/hyperlink" Target="https://dnapainter.com/tools/sharedcmv4/20?fbclid=IwAR3wqfKWVRq1DI_x4i7OjYx5ayGhdwQu5Tj-9K3u_CVvBxgEWwX7fHipJPs" TargetMode="External"/><Relationship Id="rId84" Type="http://schemas.openxmlformats.org/officeDocument/2006/relationships/hyperlink" Target="https://www.ancestry.co.uk/family-tree/person/tree/163868056/person/342132992990/facts" TargetMode="External"/><Relationship Id="rId89" Type="http://schemas.openxmlformats.org/officeDocument/2006/relationships/hyperlink" Target="https://www.ancestry.co.uk/family-tree/tree/163868056/family?cfpid=342141862166" TargetMode="External"/><Relationship Id="rId112" Type="http://schemas.openxmlformats.org/officeDocument/2006/relationships/hyperlink" Target="https://www.ancestry.co.uk/family-tree/person/tree/163868056/person/342375083964/facts" TargetMode="External"/><Relationship Id="rId16" Type="http://schemas.openxmlformats.org/officeDocument/2006/relationships/hyperlink" Target="https://www.ancestry.co.uk/family-tree/person/tree/163868056/person/342132992991/facts" TargetMode="External"/><Relationship Id="rId107" Type="http://schemas.openxmlformats.org/officeDocument/2006/relationships/hyperlink" Target="https://dnapainter.com/tools/sharedcmv4/19?fbclid=IwAR3wqfKWVRq1DI_x4i7OjYx5ayGhdwQu5Tj-9K3u_CVvBxgEWwX7fHipJPs" TargetMode="External"/><Relationship Id="rId11" Type="http://schemas.openxmlformats.org/officeDocument/2006/relationships/hyperlink" Target="https://www.ancestry.co.uk/family-tree/person/tree/163868056/person/342132992964/facts" TargetMode="External"/><Relationship Id="rId32" Type="http://schemas.openxmlformats.org/officeDocument/2006/relationships/hyperlink" Target="https://www.ancestry.co.uk/family-tree/person/tree/163868056/person/342381434664/facts" TargetMode="External"/><Relationship Id="rId37" Type="http://schemas.openxmlformats.org/officeDocument/2006/relationships/hyperlink" Target="https://www.ancestry.co.uk/family-tree/tree/163868056/family?_phsrc=ihI10274&amp;_phstart=default&amp;cfpid=342132993681&amp;fpid=342381434671&amp;usePUBJs=true" TargetMode="External"/><Relationship Id="rId53" Type="http://schemas.openxmlformats.org/officeDocument/2006/relationships/hyperlink" Target="https://www.ancestry.co.uk/family-tree/tree/163868056/family?_phsrc=ihI10274&amp;_phstart=default&amp;cfpid=342220940617&amp;fpid=342381434671&amp;usePUBJs=true" TargetMode="External"/><Relationship Id="rId58" Type="http://schemas.openxmlformats.org/officeDocument/2006/relationships/hyperlink" Target="https://www.myheritage.com/dna/match/D-F9099B9B-87A1-4274-827C-AF35BD245736-D-E9E5F304-F882-40FC-A46C-6856815CC13B/691113321?mode=shared" TargetMode="External"/><Relationship Id="rId74" Type="http://schemas.openxmlformats.org/officeDocument/2006/relationships/hyperlink" Target="https://dnapainter.com/tools/sharedcmv4/60.2?fbclid=IwAR3wqfKWVRq1DI_x4i7OjYx5ayGhdwQu5Tj-9K3u_CVvBxgEWwX7fHipJPs" TargetMode="External"/><Relationship Id="rId79" Type="http://schemas.openxmlformats.org/officeDocument/2006/relationships/hyperlink" Target="https://dnapainter.com/tools/sharedcmv4/215?fbclid=IwAR3wqfKWVRq1DI_x4i7OjYx5ayGhdwQu5Tj-9K3u_CVvBxgEWwX7fHipJPs" TargetMode="External"/><Relationship Id="rId102" Type="http://schemas.openxmlformats.org/officeDocument/2006/relationships/hyperlink" Target="https://dnapainter.com/tools/sharedcmv4/32?fbclid=IwAR3wqfKWVRq1DI_x4i7OjYx5ayGhdwQu5Tj-9K3u_CVvBxgEWwX7fHipJPs" TargetMode="External"/><Relationship Id="rId5" Type="http://schemas.openxmlformats.org/officeDocument/2006/relationships/hyperlink" Target="https://www.ancestry.co.uk/family-tree/person/tree/163868056/person/342132992964/facts" TargetMode="External"/><Relationship Id="rId90" Type="http://schemas.openxmlformats.org/officeDocument/2006/relationships/hyperlink" Target="https://www.ancestry.co.uk/family-tree/person/tree/163868056/person/342132992964/facts" TargetMode="External"/><Relationship Id="rId95" Type="http://schemas.openxmlformats.org/officeDocument/2006/relationships/hyperlink" Target="https://www.ancestry.co.uk/family-tree/tree/163868056/family/pedigree?cfpid=342404498818" TargetMode="External"/><Relationship Id="rId22" Type="http://schemas.openxmlformats.org/officeDocument/2006/relationships/hyperlink" Target="https://www.ancestry.co.uk/family-tree/person/tree/163868056/person/342132993689/facts" TargetMode="External"/><Relationship Id="rId27" Type="http://schemas.openxmlformats.org/officeDocument/2006/relationships/hyperlink" Target="https://www.ancestry.co.uk/family-tree/person/tree/163868056/person/342132993690/facts" TargetMode="External"/><Relationship Id="rId43" Type="http://schemas.openxmlformats.org/officeDocument/2006/relationships/hyperlink" Target="https://www.ancestry.co.uk/family-tree/tree/163868056/family?_phsrc=ihI10274&amp;_phstart=default&amp;cfpid=342404491858&amp;fpid=342381434671&amp;usePUBJs=true" TargetMode="External"/><Relationship Id="rId48" Type="http://schemas.openxmlformats.org/officeDocument/2006/relationships/hyperlink" Target="https://www.ancestry.co.uk/discoveryui-matches/compare/50a7c5ef-9e94-44be-a86a-5736956a97f2/with/d37a169b-e1fb-4a6f-a9b9-0dcb8c928530" TargetMode="External"/><Relationship Id="rId64" Type="http://schemas.openxmlformats.org/officeDocument/2006/relationships/hyperlink" Target="https://dnapainter.com/tools/sharedcmv4/17?fbclid=IwAR3wqfKWVRq1DI_x4i7OjYx5ayGhdwQu5Tj-9K3u_CVvBxgEWwX7fHipJPs" TargetMode="External"/><Relationship Id="rId69" Type="http://schemas.openxmlformats.org/officeDocument/2006/relationships/hyperlink" Target="https://dnapainter.com/tools/sharedcmv4/55?fbclid=IwAR3wqfKWVRq1DI_x4i7OjYx5ayGhdwQu5Tj-9K3u_CVvBxgEWwX7fHipJPs" TargetMode="External"/><Relationship Id="rId113" Type="http://schemas.openxmlformats.org/officeDocument/2006/relationships/hyperlink" Target="https://dnapainter.com/tools/sharedcmv4/30?fbclid=IwAR3wqfKWVRq1DI_x4i7OjYx5ayGhdwQu5Tj-9K3u_CVvBxgEWwX7fHipJPs" TargetMode="External"/><Relationship Id="rId80" Type="http://schemas.openxmlformats.org/officeDocument/2006/relationships/hyperlink" Target="https://dnapainter.com/tools/sharedcmv4/305?fbclid=IwAR3wqfKWVRq1DI_x4i7OjYx5ayGhdwQu5Tj-9K3u_CVvBxgEWwX7fHipJPs" TargetMode="External"/><Relationship Id="rId85" Type="http://schemas.openxmlformats.org/officeDocument/2006/relationships/hyperlink" Target="https://www.ancestry.co.uk/family-tree/person/tree/163868056/person/342132992991/facts" TargetMode="External"/><Relationship Id="rId12" Type="http://schemas.openxmlformats.org/officeDocument/2006/relationships/hyperlink" Target="https://www.ancestry.co.uk/family-tree/person/tree/163868056/person/342132992964/facts" TargetMode="External"/><Relationship Id="rId17" Type="http://schemas.openxmlformats.org/officeDocument/2006/relationships/hyperlink" Target="https://www.ancestry.co.uk/family-tree/person/tree/163868056/person/342132993162/facts" TargetMode="External"/><Relationship Id="rId33" Type="http://schemas.openxmlformats.org/officeDocument/2006/relationships/hyperlink" Target="https://www.ancestry.co.uk/family-tree/person/tree/163868056/person/342381434664/facts" TargetMode="External"/><Relationship Id="rId38" Type="http://schemas.openxmlformats.org/officeDocument/2006/relationships/hyperlink" Target="https://www.ancestry.co.uk/discoveryui-matches/compare/50a7c5ef-9e94-44be-a86a-5736956a97f2/with/7f8d61f6-1fa4-47c1-9a03-3889cc97cc0c" TargetMode="External"/><Relationship Id="rId59" Type="http://schemas.openxmlformats.org/officeDocument/2006/relationships/hyperlink" Target="https://you.23andme.com/profile/79dbb0e42c357452/" TargetMode="External"/><Relationship Id="rId103" Type="http://schemas.openxmlformats.org/officeDocument/2006/relationships/hyperlink" Target="https://www.ancestry.co.uk/family-tree/person/tree/163868056/person/342132992964/facts" TargetMode="External"/><Relationship Id="rId108" Type="http://schemas.openxmlformats.org/officeDocument/2006/relationships/hyperlink" Target="https://dnapainter.com/tools/sharedcmv4/19?fbclid=IwAR3wqfKWVRq1DI_x4i7OjYx5ayGhdwQu5Tj-9K3u_CVvBxgEWwX7fHipJPs" TargetMode="External"/><Relationship Id="rId54" Type="http://schemas.openxmlformats.org/officeDocument/2006/relationships/hyperlink" Target="https://www.ancestry.co.uk/discoveryui-matches/compare/50a7c5ef-9e94-44be-a86a-5736956a97f2/with/fb101646-01c9-4292-8dab-88d9f73a25e3" TargetMode="External"/><Relationship Id="rId70" Type="http://schemas.openxmlformats.org/officeDocument/2006/relationships/hyperlink" Target="https://dnapainter.com/tools/sharedcmv4/47.3?fbclid=IwAR3wqfKWVRq1DI_x4i7OjYx5ayGhdwQu5Tj-9K3u_CVvBxgEWwX7fHipJPs" TargetMode="External"/><Relationship Id="rId75" Type="http://schemas.openxmlformats.org/officeDocument/2006/relationships/hyperlink" Target="https://dnapainter.com/tools/sharedcmv4/65?fbclid=IwAR3wqfKWVRq1DI_x4i7OjYx5ayGhdwQu5Tj-9K3u_CVvBxgEWwX7fHipJPs" TargetMode="External"/><Relationship Id="rId91" Type="http://schemas.openxmlformats.org/officeDocument/2006/relationships/hyperlink" Target="https://www.ancestry.co.uk/family-tree/person/tree/163868056/person/342132993689/facts" TargetMode="External"/><Relationship Id="rId96" Type="http://schemas.openxmlformats.org/officeDocument/2006/relationships/hyperlink" Target="https://www.ancestry.co.uk/family-tree/person/tree/163868056/person/342132992964/facts" TargetMode="External"/><Relationship Id="rId1" Type="http://schemas.openxmlformats.org/officeDocument/2006/relationships/hyperlink" Target="https://www.ancestry.co.uk/family-tree/person/tree/163868056/person/342132992964/facts" TargetMode="External"/><Relationship Id="rId6" Type="http://schemas.openxmlformats.org/officeDocument/2006/relationships/hyperlink" Target="https://www.ancestry.co.uk/family-tree/person/tree/163868056/person/342132992964/facts" TargetMode="External"/><Relationship Id="rId15" Type="http://schemas.openxmlformats.org/officeDocument/2006/relationships/hyperlink" Target="https://www.ancestry.co.uk/family-tree/person/tree/163868056/person/342132992991/facts" TargetMode="External"/><Relationship Id="rId23" Type="http://schemas.openxmlformats.org/officeDocument/2006/relationships/hyperlink" Target="https://www.ancestry.co.uk/family-tree/person/tree/163868056/person/342132993689/facts" TargetMode="External"/><Relationship Id="rId28" Type="http://schemas.openxmlformats.org/officeDocument/2006/relationships/hyperlink" Target="https://www.ancestry.co.uk/family-tree/person/tree/163868056/person/342132993690/facts" TargetMode="External"/><Relationship Id="rId36" Type="http://schemas.openxmlformats.org/officeDocument/2006/relationships/hyperlink" Target="https://www.ancestry.co.uk/family-tree/person/tree/163868056/person/342381434671/hints?_phsrc=ihI10274&amp;_phstart=default&amp;usePUBJs=true" TargetMode="External"/><Relationship Id="rId49" Type="http://schemas.openxmlformats.org/officeDocument/2006/relationships/hyperlink" Target="https://www.ancestry.co.uk/family-tree/tree/163868056/family?_phsrc=ihI10274&amp;_phstart=default&amp;cfpid=342443692773&amp;fpid=342381434671&amp;usePUBJs=true" TargetMode="External"/><Relationship Id="rId57" Type="http://schemas.openxmlformats.org/officeDocument/2006/relationships/hyperlink" Target="https://www.myheritage.com/dna/match/D-F9099B9B-87A1-4274-827C-AF35BD245736-D-80BEAE45-D2A9-49CA-A139-58528EDC889C/691113321?mode=shared" TargetMode="External"/><Relationship Id="rId106" Type="http://schemas.openxmlformats.org/officeDocument/2006/relationships/hyperlink" Target="https://www.myheritage.com/dna/match/D-F9099B9B-87A1-4274-827C-AF35BD245736-D-2024E9B0-65E0-434A-80BC-9A40CC97ED5B/691113321?p=1&amp;ps=10&amp;search=lucy&amp;sort=creation_time&amp;filter_by_labels=favorite&amp;memberId=704364871&amp;index=0" TargetMode="External"/><Relationship Id="rId114" Type="http://schemas.openxmlformats.org/officeDocument/2006/relationships/hyperlink" Target="https://www.ancestry.co.uk/family-tree/tree/163868056/family/pedigree?cfpid=342616527897" TargetMode="External"/><Relationship Id="rId10" Type="http://schemas.openxmlformats.org/officeDocument/2006/relationships/hyperlink" Target="https://www.ancestry.co.uk/family-tree/person/tree/163868056/person/342132992964/facts" TargetMode="External"/><Relationship Id="rId31" Type="http://schemas.openxmlformats.org/officeDocument/2006/relationships/hyperlink" Target="https://www.ancestry.co.uk/family-tree/person/tree/163868056/person/342381434664/facts" TargetMode="External"/><Relationship Id="rId44" Type="http://schemas.openxmlformats.org/officeDocument/2006/relationships/hyperlink" Target="https://www.ancestry.co.uk/family-tree/tree/163868056/family?_phsrc=ihI10274&amp;_phstart=default&amp;cfpid=342381433271&amp;fpid=342381434671&amp;usePUBJs=true" TargetMode="External"/><Relationship Id="rId52" Type="http://schemas.openxmlformats.org/officeDocument/2006/relationships/hyperlink" Target="https://www.ancestry.co.uk/discoveryui-matches/compare/50a7c5ef-9e94-44be-a86a-5736956a97f2/with/9d343f5d-f13e-4fef-a3c7-43063e7dd470" TargetMode="External"/><Relationship Id="rId60" Type="http://schemas.openxmlformats.org/officeDocument/2006/relationships/hyperlink" Target="https://you.23andme.com/profile/a968c7b06ae7121b/" TargetMode="External"/><Relationship Id="rId65" Type="http://schemas.openxmlformats.org/officeDocument/2006/relationships/hyperlink" Target="https://dnapainter.com/tools/sharedcmv4/17?fbclid=IwAR3wqfKWVRq1DI_x4i7OjYx5ayGhdwQu5Tj-9K3u_CVvBxgEWwX7fHipJPs" TargetMode="External"/><Relationship Id="rId73" Type="http://schemas.openxmlformats.org/officeDocument/2006/relationships/hyperlink" Target="https://dnapainter.com/tools/sharedcmv4/59.6?fbclid=IwAR3wqfKWVRq1DI_x4i7OjYx5ayGhdwQu5Tj-9K3u_CVvBxgEWwX7fHipJPs" TargetMode="External"/><Relationship Id="rId78" Type="http://schemas.openxmlformats.org/officeDocument/2006/relationships/hyperlink" Target="https://dnapainter.com/tools/sharedcmv4/75?fbclid=IwAR3wqfKWVRq1DI_x4i7OjYx5ayGhdwQu5Tj-9K3u_CVvBxgEWwX7fHipJPs" TargetMode="External"/><Relationship Id="rId81" Type="http://schemas.openxmlformats.org/officeDocument/2006/relationships/hyperlink" Target="https://dnapainter.com/tools/sharedcmv4/292?fbclid=IwAR3wqfKWVRq1DI_x4i7OjYx5ayGhdwQu5Tj-9K3u_CVvBxgEWwX7fHipJPs" TargetMode="External"/><Relationship Id="rId86" Type="http://schemas.openxmlformats.org/officeDocument/2006/relationships/hyperlink" Target="https://www.ancestry.co.uk/discoveryui-matches/compare/50A7C5EF-9E94-44BE-A86A-5736956A97F2/with/28202558-9358-11EE-B8BB-0E3F96DA1E4D" TargetMode="External"/><Relationship Id="rId94" Type="http://schemas.openxmlformats.org/officeDocument/2006/relationships/hyperlink" Target="https://dnapainter.com/tools/sharedcmv4/13?fbclid=IwAR3wqfKWVRq1DI_x4i7OjYx5ayGhdwQu5Tj-9K3u_CVvBxgEWwX7fHipJPs" TargetMode="External"/><Relationship Id="rId99" Type="http://schemas.openxmlformats.org/officeDocument/2006/relationships/hyperlink" Target="https://www.ancestry.co.uk/family-tree/tree/163868056/family/pedigree?cfpid=342404497548" TargetMode="External"/><Relationship Id="rId101" Type="http://schemas.openxmlformats.org/officeDocument/2006/relationships/hyperlink" Target="https://dnapainter.com/tools/sharedcmv4/33?fbclid=IwAR3wqfKWVRq1DI_x4i7OjYx5ayGhdwQu5Tj-9K3u_CVvBxgEWwX7fHipJPs" TargetMode="External"/><Relationship Id="rId4" Type="http://schemas.openxmlformats.org/officeDocument/2006/relationships/hyperlink" Target="https://www.ancestry.co.uk/family-tree/person/tree/163868056/person/342132992964/facts" TargetMode="External"/><Relationship Id="rId9" Type="http://schemas.openxmlformats.org/officeDocument/2006/relationships/hyperlink" Target="https://www.ancestry.co.uk/family-tree/person/tree/163868056/person/342132992964/facts" TargetMode="External"/><Relationship Id="rId13" Type="http://schemas.openxmlformats.org/officeDocument/2006/relationships/hyperlink" Target="https://www.ancestry.co.uk/family-tree/person/tree/163868056/person/342132992990/facts" TargetMode="External"/><Relationship Id="rId18" Type="http://schemas.openxmlformats.org/officeDocument/2006/relationships/hyperlink" Target="https://www.ancestry.co.uk/family-tree/person/tree/163868056/person/342132993162/facts" TargetMode="External"/><Relationship Id="rId39" Type="http://schemas.openxmlformats.org/officeDocument/2006/relationships/hyperlink" Target="https://www.ancestry.co.uk/family-tree/tree/163868056/family?_phsrc=ihI10274&amp;_phstart=default&amp;cfpid=342132993661&amp;fpid=342381434671&amp;usePUBJs=true" TargetMode="External"/><Relationship Id="rId109" Type="http://schemas.openxmlformats.org/officeDocument/2006/relationships/hyperlink" Target="https://www.ancestry.co.uk/family-tree/tree/163868056/family?cfpid=342432480096" TargetMode="External"/><Relationship Id="rId34" Type="http://schemas.openxmlformats.org/officeDocument/2006/relationships/hyperlink" Target="https://www.ancestry.co.uk/family-tree/person/tree/163868056/person/342381434671/hints?_phsrc=ihI10274&amp;_phstart=default&amp;usePUBJs=true" TargetMode="External"/><Relationship Id="rId50" Type="http://schemas.openxmlformats.org/officeDocument/2006/relationships/hyperlink" Target="https://www.ancestry.co.uk/discoveryui-matches/compare/50a7c5ef-9e94-44be-a86a-5736956a97f2/with/827c238b-f9ec-43b9-a082-d5ea63fe47c3" TargetMode="External"/><Relationship Id="rId55" Type="http://schemas.openxmlformats.org/officeDocument/2006/relationships/hyperlink" Target="https://www.myheritage.com/dna/match/D-F9099B9B-87A1-4274-827C-AF35BD245736-D-2307E4B9-2842-4C5D-A0E0-2BD5FA71FA8D/691113321?p=1&amp;ps=10&amp;search=geary&amp;sort=total_shared_segments_length_in_cm&amp;memberId=704364871" TargetMode="External"/><Relationship Id="rId76" Type="http://schemas.openxmlformats.org/officeDocument/2006/relationships/hyperlink" Target="https://dnapainter.com/tools/sharedcmv4/71?fbclid=IwAR3wqfKWVRq1DI_x4i7OjYx5ayGhdwQu5Tj-9K3u_CVvBxgEWwX7fHipJPs" TargetMode="External"/><Relationship Id="rId97" Type="http://schemas.openxmlformats.org/officeDocument/2006/relationships/hyperlink" Target="https://www.ancestry.co.uk/family-tree/person/tree/163868056/person/342132993689/facts" TargetMode="External"/><Relationship Id="rId104" Type="http://schemas.openxmlformats.org/officeDocument/2006/relationships/hyperlink" Target="https://www.ancestry.co.uk/family-tree/person/tree/163868056/person/342375083962/facts" TargetMode="External"/><Relationship Id="rId7" Type="http://schemas.openxmlformats.org/officeDocument/2006/relationships/hyperlink" Target="https://www.ancestry.co.uk/family-tree/person/tree/163868056/person/342132992964/facts" TargetMode="External"/><Relationship Id="rId71" Type="http://schemas.openxmlformats.org/officeDocument/2006/relationships/hyperlink" Target="https://dnapainter.com/tools/sharedcmv4/52.2?fbclid=IwAR3wqfKWVRq1DI_x4i7OjYx5ayGhdwQu5Tj-9K3u_CVvBxgEWwX7fHipJPs" TargetMode="External"/><Relationship Id="rId92" Type="http://schemas.openxmlformats.org/officeDocument/2006/relationships/hyperlink" Target="https://www.ancestry.co.uk/family-tree/person/tree/163868056/person/342132993690/facts" TargetMode="External"/><Relationship Id="rId2" Type="http://schemas.openxmlformats.org/officeDocument/2006/relationships/hyperlink" Target="https://www.ancestry.co.uk/family-tree/person/tree/163868056/person/342132992964/facts" TargetMode="External"/><Relationship Id="rId29" Type="http://schemas.openxmlformats.org/officeDocument/2006/relationships/hyperlink" Target="https://www.ancestry.co.uk/family-tree/person/tree/163868056/person/342132993690/facts" TargetMode="External"/><Relationship Id="rId24" Type="http://schemas.openxmlformats.org/officeDocument/2006/relationships/hyperlink" Target="https://www.ancestry.co.uk/family-tree/person/tree/163868056/person/342132993689/facts" TargetMode="External"/><Relationship Id="rId40" Type="http://schemas.openxmlformats.org/officeDocument/2006/relationships/hyperlink" Target="https://www.ancestry.co.uk/discoveryui-matches/compare/50a7c5ef-9e94-44be-a86a-5736956a97f2/with/60189f45-277a-4b02-89e9-53dfca0dea93" TargetMode="External"/><Relationship Id="rId45" Type="http://schemas.openxmlformats.org/officeDocument/2006/relationships/hyperlink" Target="https://www.ancestry.co.uk/family-tree/tree/163868056/family?_phsrc=ihI10274&amp;_phstart=default&amp;cfpid=342381434228&amp;fpid=342381434671&amp;usePUBJs=true" TargetMode="External"/><Relationship Id="rId66" Type="http://schemas.openxmlformats.org/officeDocument/2006/relationships/hyperlink" Target="https://dnapainter.com/tools/sharedcmv4/19?fbclid=IwAR3wqfKWVRq1DI_x4i7OjYx5ayGhdwQu5Tj-9K3u_CVvBxgEWwX7fHipJPs" TargetMode="External"/><Relationship Id="rId87" Type="http://schemas.openxmlformats.org/officeDocument/2006/relationships/hyperlink" Target="https://dnapainter.com/tools/sharedcmv4/154?fbclid=IwAR3wqfKWVRq1DI_x4i7OjYx5ayGhdwQu5Tj-9K3u_CVvBxgEWwX7fHipJPs" TargetMode="External"/><Relationship Id="rId110" Type="http://schemas.openxmlformats.org/officeDocument/2006/relationships/hyperlink" Target="https://www.ancestry.co.uk/family-tree/person/tree/163868056/person/342132992964/facts" TargetMode="External"/><Relationship Id="rId115" Type="http://schemas.openxmlformats.org/officeDocument/2006/relationships/printerSettings" Target="../printerSettings/printerSettings12.bin"/><Relationship Id="rId61" Type="http://schemas.openxmlformats.org/officeDocument/2006/relationships/hyperlink" Target="https://dnapainter.com/tools/sharedcmv4/7?fbclid=IwAR3wqfKWVRq1DI_x4i7OjYx5ayGhdwQu5Tj-9K3u_CVvBxgEWwX7fHipJPs" TargetMode="External"/><Relationship Id="rId82" Type="http://schemas.openxmlformats.org/officeDocument/2006/relationships/hyperlink" Target="https://dnapainter.com/tools/sharedcmv4/372?fbclid=IwAR3wqfKWVRq1DI_x4i7OjYx5ayGhdwQu5Tj-9K3u_CVvBxgEWwX7fHipJPs" TargetMode="External"/><Relationship Id="rId19" Type="http://schemas.openxmlformats.org/officeDocument/2006/relationships/hyperlink" Target="https://www.ancestry.co.uk/family-tree/person/tree/163868056/person/342132993163/facts" TargetMode="External"/><Relationship Id="rId14" Type="http://schemas.openxmlformats.org/officeDocument/2006/relationships/hyperlink" Target="https://www.ancestry.co.uk/family-tree/person/tree/163868056/person/342132992990/facts" TargetMode="External"/><Relationship Id="rId30" Type="http://schemas.openxmlformats.org/officeDocument/2006/relationships/hyperlink" Target="https://www.ancestry.co.uk/family-tree/person/tree/163868056/person/342132993690/facts" TargetMode="External"/><Relationship Id="rId35" Type="http://schemas.openxmlformats.org/officeDocument/2006/relationships/hyperlink" Target="https://www.ancestry.co.uk/family-tree/person/tree/163868056/person/342381434671/hints?_phsrc=ihI10274&amp;_phstart=default&amp;usePUBJs=true" TargetMode="External"/><Relationship Id="rId56" Type="http://schemas.openxmlformats.org/officeDocument/2006/relationships/hyperlink" Target="https://www.myheritage.com/dna/match/D-F9099B9B-87A1-4274-827C-AF35BD245736-D-09BB2D15-AE73-4D4B-9B36-4D780AD6B2A9/691113321?mode=shared" TargetMode="External"/><Relationship Id="rId77" Type="http://schemas.openxmlformats.org/officeDocument/2006/relationships/hyperlink" Target="https://dnapainter.com/tools/sharedcmv4/43?fbclid=IwAR3wqfKWVRq1DI_x4i7OjYx5ayGhdwQu5Tj-9K3u_CVvBxgEWwX7fHipJPs" TargetMode="External"/><Relationship Id="rId100" Type="http://schemas.openxmlformats.org/officeDocument/2006/relationships/hyperlink" Target="https://www.ancestry.co.uk/discoveryui-matches/compare/8955cf51-8070-4a51-8674-b7f01b347aed/with/8d3ec5a7-077a-4e9e-a1f7-827d5782df5d" TargetMode="External"/><Relationship Id="rId105" Type="http://schemas.openxmlformats.org/officeDocument/2006/relationships/hyperlink" Target="https://www.ancestry.co.uk/family-tree/person/tree/163868056/person/342375083964/facts" TargetMode="External"/><Relationship Id="rId8" Type="http://schemas.openxmlformats.org/officeDocument/2006/relationships/hyperlink" Target="https://www.ancestry.co.uk/family-tree/person/tree/163868056/person/342132992964/facts" TargetMode="External"/><Relationship Id="rId51" Type="http://schemas.openxmlformats.org/officeDocument/2006/relationships/hyperlink" Target="https://www.ancestry.co.uk/family-tree/tree/163868056/family?_phsrc=ihI10274&amp;_phstart=default&amp;cfpid=342278282129&amp;fpid=342381434671&amp;usePUBJs=true" TargetMode="External"/><Relationship Id="rId72" Type="http://schemas.openxmlformats.org/officeDocument/2006/relationships/hyperlink" Target="https://dnapainter.com/tools/sharedcmv4/49.8?fbclid=IwAR3wqfKWVRq1DI_x4i7OjYx5ayGhdwQu5Tj-9K3u_CVvBxgEWwX7fHipJPs" TargetMode="External"/><Relationship Id="rId93" Type="http://schemas.openxmlformats.org/officeDocument/2006/relationships/hyperlink" Target="https://www.ancestry.co.uk/discoveryui-matches/compare/50a7c5ef-9e94-44be-a86a-5736956a97f2/with/2524b139-ebc5-4617-a843-867be93eebd2" TargetMode="External"/><Relationship Id="rId98" Type="http://schemas.openxmlformats.org/officeDocument/2006/relationships/hyperlink" Target="https://www.ancestry.co.uk/family-tree/person/tree/163868056/person/342132993690/facts" TargetMode="External"/><Relationship Id="rId3" Type="http://schemas.openxmlformats.org/officeDocument/2006/relationships/hyperlink" Target="https://www.ancestry.co.uk/family-tree/person/tree/163868056/person/342132992964/facts" TargetMode="External"/><Relationship Id="rId25" Type="http://schemas.openxmlformats.org/officeDocument/2006/relationships/hyperlink" Target="https://www.ancestry.co.uk/family-tree/person/tree/163868056/person/342132993689/facts" TargetMode="External"/><Relationship Id="rId46" Type="http://schemas.openxmlformats.org/officeDocument/2006/relationships/hyperlink" Target="https://www.ancestry.co.uk/family-tree/tree/163868056/family?_phsrc=ihI10274&amp;_phstart=default&amp;cfpid=342381434130&amp;fpid=342381434671&amp;usePUBJs=true" TargetMode="External"/><Relationship Id="rId67" Type="http://schemas.openxmlformats.org/officeDocument/2006/relationships/hyperlink" Target="https://dnapainter.com/tools/sharedcmv4/19?fbclid=IwAR3wqfKWVRq1DI_x4i7OjYx5ayGhdwQu5Tj-9K3u_CVvBxgEWwX7fHipJPs" TargetMode="External"/><Relationship Id="rId20" Type="http://schemas.openxmlformats.org/officeDocument/2006/relationships/hyperlink" Target="https://www.ancestry.co.uk/family-tree/person/tree/163868056/person/342132993163/facts" TargetMode="External"/><Relationship Id="rId41" Type="http://schemas.openxmlformats.org/officeDocument/2006/relationships/hyperlink" Target="https://www.ancestry.co.uk/family-tree/tree/163868056/family?_phsrc=ihI10274&amp;_phstart=default&amp;cfpid=342381177160&amp;fpid=342381434671&amp;usePUBJs=true" TargetMode="External"/><Relationship Id="rId62" Type="http://schemas.openxmlformats.org/officeDocument/2006/relationships/hyperlink" Target="https://dnapainter.com/tools/sharedcmv4/17?fbclid=IwAR3wqfKWVRq1DI_x4i7OjYx5ayGhdwQu5Tj-9K3u_CVvBxgEWwX7fHipJPs" TargetMode="External"/><Relationship Id="rId83" Type="http://schemas.openxmlformats.org/officeDocument/2006/relationships/hyperlink" Target="https://www.ancestry.co.uk/family-tree/person/tree/163868056/person/342132992964/facts" TargetMode="External"/><Relationship Id="rId88" Type="http://schemas.openxmlformats.org/officeDocument/2006/relationships/hyperlink" Target="https://dnapainter.com/tools/sharedcmv4/168" TargetMode="External"/><Relationship Id="rId111" Type="http://schemas.openxmlformats.org/officeDocument/2006/relationships/hyperlink" Target="https://www.ancestry.co.uk/family-tree/person/tree/163868056/person/342375083962/facts" TargetMode="External"/></Relationships>
</file>

<file path=xl/worksheets/_rels/sheet5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ncestry.co.uk/family-tree/person/tree/163868056/person/342261984363/facts" TargetMode="External"/><Relationship Id="rId299" Type="http://schemas.openxmlformats.org/officeDocument/2006/relationships/hyperlink" Target="https://dnapainter.com/tools/sharedcmv4/9?fbclid=IwAR3wqfKWVRq1DI_x4i7OjYx5ayGhdwQu5Tj-9K3u_CVvBxgEWwX7fHipJPs" TargetMode="External"/><Relationship Id="rId21" Type="http://schemas.openxmlformats.org/officeDocument/2006/relationships/hyperlink" Target="https://www.ancestry.co.uk/family-tree/person/tree/163868056/person/342132992964/facts" TargetMode="External"/><Relationship Id="rId63" Type="http://schemas.openxmlformats.org/officeDocument/2006/relationships/hyperlink" Target="https://www.ancestry.co.uk/family-tree/person/tree/163868056/person/342132992970/facts" TargetMode="External"/><Relationship Id="rId159" Type="http://schemas.openxmlformats.org/officeDocument/2006/relationships/hyperlink" Target="https://www.ancestry.co.uk/discoveryui-matches/compare/50A7C5EF-9E94-44BE-A86A-5736956A97F2/with/3C9F1BC1-2C94-4022-B09A-661D0A372726" TargetMode="External"/><Relationship Id="rId324" Type="http://schemas.openxmlformats.org/officeDocument/2006/relationships/hyperlink" Target="https://dnapainter.com/tools/sharedcmv4/13?fbclid=IwAR3wqfKWVRq1DI_x4i7OjYx5ayGhdwQu5Tj-9K3u_CVvBxgEWwX7fHipJPs" TargetMode="External"/><Relationship Id="rId366" Type="http://schemas.openxmlformats.org/officeDocument/2006/relationships/hyperlink" Target="https://dnapainter.com/tools/sharedcmv4/22?fbclid=IwAR3wqfKWVRq1DI_x4i7OjYx5ayGhdwQu5Tj-9K3u_CVvBxgEWwX7fHipJPs" TargetMode="External"/><Relationship Id="rId170" Type="http://schemas.openxmlformats.org/officeDocument/2006/relationships/hyperlink" Target="https://www.ancestry.co.uk/discoveryui-matches/compare/50A7C5EF-9E94-44BE-A86A-5736956A97F2/with/C70DE951-024B-4855-9AB3-1F5D930AD05D" TargetMode="External"/><Relationship Id="rId226" Type="http://schemas.openxmlformats.org/officeDocument/2006/relationships/hyperlink" Target="https://www.ancestry.co.uk/family-tree/tree/163868056/family?cfpid=342268905334" TargetMode="External"/><Relationship Id="rId433" Type="http://schemas.openxmlformats.org/officeDocument/2006/relationships/hyperlink" Target="https://www.ancestry.co.uk/family-tree/person/tree/163868056/person/342132992964/facts" TargetMode="External"/><Relationship Id="rId268" Type="http://schemas.openxmlformats.org/officeDocument/2006/relationships/hyperlink" Target="https://www.ancestry.co.uk/discoveryui-matches/compare/50a7c5ef-9e94-44be-a86a-5736956a97f2/with/49731f9c-af4d-4cf1-9ec6-ea9f40dd52ab" TargetMode="External"/><Relationship Id="rId475" Type="http://schemas.openxmlformats.org/officeDocument/2006/relationships/hyperlink" Target="https://www.ancestry.co.uk/family-tree/person/tree/163868056/person/342132992964/facts" TargetMode="External"/><Relationship Id="rId32" Type="http://schemas.openxmlformats.org/officeDocument/2006/relationships/hyperlink" Target="https://www.ancestry.co.uk/family-tree/person/tree/163868056/person/342132992964/facts" TargetMode="External"/><Relationship Id="rId74" Type="http://schemas.openxmlformats.org/officeDocument/2006/relationships/hyperlink" Target="https://www.ancestry.co.uk/family-tree/person/tree/163868056/person/342261984355/facts" TargetMode="External"/><Relationship Id="rId128" Type="http://schemas.openxmlformats.org/officeDocument/2006/relationships/hyperlink" Target="https://www.ancestry.co.uk/family-tree/person/tree/163868056/person/342262490013/facts" TargetMode="External"/><Relationship Id="rId335" Type="http://schemas.openxmlformats.org/officeDocument/2006/relationships/hyperlink" Target="https://dnapainter.com/tools/sharedcmv4/14?fbclid=IwAR3wqfKWVRq1DI_x4i7OjYx5ayGhdwQu5Tj-9K3u_CVvBxgEWwX7fHipJPs" TargetMode="External"/><Relationship Id="rId377" Type="http://schemas.openxmlformats.org/officeDocument/2006/relationships/hyperlink" Target="https://dnapainter.com/tools/sharedcmv4/27?fbclid=IwAR3wqfKWVRq1DI_x4i7OjYx5ayGhdwQu5Tj-9K3u_CVvBxgEWwX7fHipJPs" TargetMode="External"/><Relationship Id="rId5" Type="http://schemas.openxmlformats.org/officeDocument/2006/relationships/hyperlink" Target="https://www.ancestry.co.uk/family-tree/person/tree/163868056/person/342132992964/facts" TargetMode="External"/><Relationship Id="rId181" Type="http://schemas.openxmlformats.org/officeDocument/2006/relationships/hyperlink" Target="https://d.docs.live.net/D32613E9A4B09111/Documents/V" TargetMode="External"/><Relationship Id="rId237" Type="http://schemas.openxmlformats.org/officeDocument/2006/relationships/hyperlink" Target="https://www.ancestry.co.uk/family-tree/tree/163868056/family?cfpid=342262013398" TargetMode="External"/><Relationship Id="rId402" Type="http://schemas.openxmlformats.org/officeDocument/2006/relationships/hyperlink" Target="https://www.ancestry.co.uk/family-tree/person/tree/163868056/person/342261984355/facts" TargetMode="External"/><Relationship Id="rId279" Type="http://schemas.openxmlformats.org/officeDocument/2006/relationships/hyperlink" Target="https://dnapainter.com/tools/sharedcmv4/7?fbclid=IwAR3wqfKWVRq1DI_x4i7OjYx5ayGhdwQu5Tj-9K3u_CVvBxgEWwX7fHipJPs" TargetMode="External"/><Relationship Id="rId444" Type="http://schemas.openxmlformats.org/officeDocument/2006/relationships/hyperlink" Target="https://www.ancestry.co.uk/family-tree/tree/163868056/family/pedigree?cfpid=342601366080" TargetMode="External"/><Relationship Id="rId486" Type="http://schemas.openxmlformats.org/officeDocument/2006/relationships/hyperlink" Target="https://www.ancestry.co.uk/discoveryui-matches/compare/8955cf51-8070-4a51-8674-b7f01b347aed/with/14c6382a-710c-41e1-891d-7895b5c0b2a5" TargetMode="External"/><Relationship Id="rId43" Type="http://schemas.openxmlformats.org/officeDocument/2006/relationships/hyperlink" Target="https://www.ancestry.co.uk/family-tree/person/tree/163868056/person/342132992964/facts" TargetMode="External"/><Relationship Id="rId139" Type="http://schemas.openxmlformats.org/officeDocument/2006/relationships/hyperlink" Target="https://www.ancestry.co.uk/discoveryui-matches/compare/50A7C5EF-9E94-44BE-A86A-5736956A97F2/with/BAA61912-7FD4-4F0B-A006-4975963A18B0" TargetMode="External"/><Relationship Id="rId290" Type="http://schemas.openxmlformats.org/officeDocument/2006/relationships/hyperlink" Target="https://dnapainter.com/tools/sharedcmv4/8?fbclid=IwAR3wqfKWVRq1DI_x4i7OjYx5ayGhdwQu5Tj-9K3u_CVvBxgEWwX7fHipJPs" TargetMode="External"/><Relationship Id="rId304" Type="http://schemas.openxmlformats.org/officeDocument/2006/relationships/hyperlink" Target="https://dnapainter.com/tools/sharedcmv4/10?fbclid=IwAR3wqfKWVRq1DI_x4i7OjYx5ayGhdwQu5Tj-9K3u_CVvBxgEWwX7fHipJPs" TargetMode="External"/><Relationship Id="rId346" Type="http://schemas.openxmlformats.org/officeDocument/2006/relationships/hyperlink" Target="https://dnapainter.com/tools/sharedcmv4/15?fbclid=IwAR3wqfKWVRq1DI_x4i7OjYx5ayGhdwQu5Tj-9K3u_CVvBxgEWwX7fHipJPs" TargetMode="External"/><Relationship Id="rId388" Type="http://schemas.openxmlformats.org/officeDocument/2006/relationships/hyperlink" Target="https://www.ancestry.co.uk/family-tree/tree/163868056/family/pedigree?cfpid=342602105251" TargetMode="External"/><Relationship Id="rId85" Type="http://schemas.openxmlformats.org/officeDocument/2006/relationships/hyperlink" Target="https://www.ancestry.co.uk/family-tree/person/tree/163868056/person/342261984355/facts" TargetMode="External"/><Relationship Id="rId150" Type="http://schemas.openxmlformats.org/officeDocument/2006/relationships/hyperlink" Target="https://www.ancestry.co.uk/discoveryui-matches/compare/50A7C5EF-9E94-44BE-A86A-5736956A97F2/with/F2B1B361-2281-421F-AE6D-0A90898F788E" TargetMode="External"/><Relationship Id="rId192" Type="http://schemas.openxmlformats.org/officeDocument/2006/relationships/hyperlink" Target="https://www.ancestry.co.uk/discoveryui-matches/compare/50A7C5EF-9E94-44BE-A86A-5736956A97F2/with/51907D61-6129-4843-B7C2-DC3D22B77314" TargetMode="External"/><Relationship Id="rId206" Type="http://schemas.openxmlformats.org/officeDocument/2006/relationships/hyperlink" Target="https://www.ancestry.co.uk/family-tree/tree/163868056/family/pedigree?cfpid=342270217003" TargetMode="External"/><Relationship Id="rId413" Type="http://schemas.openxmlformats.org/officeDocument/2006/relationships/hyperlink" Target="https://dnapainter.com/tools/sharedcmv4/21?fbclid=IwAR3wqfKWVRq1DI_x4i7OjYx5ayGhdwQu5Tj-9K3u_CVvBxgEWwX7fHipJPs" TargetMode="External"/><Relationship Id="rId248" Type="http://schemas.openxmlformats.org/officeDocument/2006/relationships/hyperlink" Target="https://www.ancestry.co.uk/family-tree/tree/163868056/family?cfpid=342262019371" TargetMode="External"/><Relationship Id="rId455" Type="http://schemas.openxmlformats.org/officeDocument/2006/relationships/hyperlink" Target="https://www.ancestry.co.uk/family-tree/person/tree/163868056/person/342132992964/facts" TargetMode="External"/><Relationship Id="rId12" Type="http://schemas.openxmlformats.org/officeDocument/2006/relationships/hyperlink" Target="https://www.ancestry.co.uk/family-tree/person/tree/163868056/person/342132992964/facts" TargetMode="External"/><Relationship Id="rId108" Type="http://schemas.openxmlformats.org/officeDocument/2006/relationships/hyperlink" Target="https://www.ancestry.co.uk/family-tree/person/tree/163868056/person/342261984363/facts" TargetMode="External"/><Relationship Id="rId315" Type="http://schemas.openxmlformats.org/officeDocument/2006/relationships/hyperlink" Target="https://dnapainter.com/tools/sharedcmv4/11?fbclid=IwAR3wqfKWVRq1DI_x4i7OjYx5ayGhdwQu5Tj-9K3u_CVvBxgEWwX7fHipJPs" TargetMode="External"/><Relationship Id="rId357" Type="http://schemas.openxmlformats.org/officeDocument/2006/relationships/hyperlink" Target="https://dnapainter.com/tools/sharedcmv4/19?fbclid=IwAR3wqfKWVRq1DI_x4i7OjYx5ayGhdwQu5Tj-9K3u_CVvBxgEWwX7fHipJPs" TargetMode="External"/><Relationship Id="rId54" Type="http://schemas.openxmlformats.org/officeDocument/2006/relationships/hyperlink" Target="https://www.ancestry.co.uk/family-tree/person/tree/163868056/person/342132992964/facts" TargetMode="External"/><Relationship Id="rId96" Type="http://schemas.openxmlformats.org/officeDocument/2006/relationships/hyperlink" Target="https://www.ancestry.co.uk/family-tree/person/tree/163868056/person/342261984355/facts" TargetMode="External"/><Relationship Id="rId161" Type="http://schemas.openxmlformats.org/officeDocument/2006/relationships/hyperlink" Target="https://www.ancestry.co.uk/discoveryui-matches/compare/50A7C5EF-9E94-44BE-A86A-5736956A97F2/with/A0CF6659-F322-47B4-9DD8-FF59A8F63A56" TargetMode="External"/><Relationship Id="rId217" Type="http://schemas.openxmlformats.org/officeDocument/2006/relationships/hyperlink" Target="https://www.ancestry.co.uk/family-tree/tree/163868056/family?cfpid=342261992954" TargetMode="External"/><Relationship Id="rId399" Type="http://schemas.openxmlformats.org/officeDocument/2006/relationships/hyperlink" Target="https://dnapainter.com/tools/sharedcmv4/25?fbclid=IwAR3wqfKWVRq1DI_x4i7OjYx5ayGhdwQu5Tj-9K3u_CVvBxgEWwX7fHipJPs" TargetMode="External"/><Relationship Id="rId259" Type="http://schemas.openxmlformats.org/officeDocument/2006/relationships/hyperlink" Target="https://www.ancestry.co.uk/family-tree/tree/163868056/family?cfpid=342263858089" TargetMode="External"/><Relationship Id="rId424" Type="http://schemas.openxmlformats.org/officeDocument/2006/relationships/hyperlink" Target="https://www.ancestry.co.uk/family-tree/person/tree/163868056/person/342261984355/facts" TargetMode="External"/><Relationship Id="rId466" Type="http://schemas.openxmlformats.org/officeDocument/2006/relationships/hyperlink" Target="https://dnapainter.com/tools/sharedcmv4/10?fbclid=IwAR3wqfKWVRq1DI_x4i7OjYx5ayGhdwQu5Tj-9K3u_CVvBxgEWwX7fHipJPs" TargetMode="External"/><Relationship Id="rId23" Type="http://schemas.openxmlformats.org/officeDocument/2006/relationships/hyperlink" Target="https://www.ancestry.co.uk/family-tree/person/tree/163868056/person/342132992964/facts" TargetMode="External"/><Relationship Id="rId119" Type="http://schemas.openxmlformats.org/officeDocument/2006/relationships/hyperlink" Target="https://www.ancestry.co.uk/family-tree/person/tree/163868056/person/342261984363/facts" TargetMode="External"/><Relationship Id="rId270" Type="http://schemas.openxmlformats.org/officeDocument/2006/relationships/hyperlink" Target="https://www.ancestry.co.uk/family-tree/person/tree/163868056/person/342132992964/facts" TargetMode="External"/><Relationship Id="rId326" Type="http://schemas.openxmlformats.org/officeDocument/2006/relationships/hyperlink" Target="https://dnapainter.com/tools/sharedcmv4/13?fbclid=IwAR3wqfKWVRq1DI_x4i7OjYx5ayGhdwQu5Tj-9K3u_CVvBxgEWwX7fHipJPs" TargetMode="External"/><Relationship Id="rId65" Type="http://schemas.openxmlformats.org/officeDocument/2006/relationships/hyperlink" Target="https://www.ancestry.co.uk/family-tree/person/tree/163868056/person/342132992970/facts" TargetMode="External"/><Relationship Id="rId130" Type="http://schemas.openxmlformats.org/officeDocument/2006/relationships/hyperlink" Target="https://www.ancestry.co.uk/family-tree/person/tree/163868056/person/342262490013/facts" TargetMode="External"/><Relationship Id="rId368" Type="http://schemas.openxmlformats.org/officeDocument/2006/relationships/hyperlink" Target="https://dnapainter.com/tools/sharedcmv4/22?fbclid=IwAR3wqfKWVRq1DI_x4i7OjYx5ayGhdwQu5Tj-9K3u_CVvBxgEWwX7fHipJPs" TargetMode="External"/><Relationship Id="rId172" Type="http://schemas.openxmlformats.org/officeDocument/2006/relationships/hyperlink" Target="https://www.ancestry.co.uk/discoveryui-matches/compare/50A7C5EF-9E94-44BE-A86A-5736956A97F2/with/6D7EB79E-F2B2-4D88-89EA-27C04F239248" TargetMode="External"/><Relationship Id="rId228" Type="http://schemas.openxmlformats.org/officeDocument/2006/relationships/hyperlink" Target="https://www.ancestry.co.uk/family-tree/tree/163868056/family?cfpid=342263622289" TargetMode="External"/><Relationship Id="rId435" Type="http://schemas.openxmlformats.org/officeDocument/2006/relationships/hyperlink" Target="https://www.ancestry.co.uk/family-tree/person/tree/163868056/person/342261984363/facts" TargetMode="External"/><Relationship Id="rId477" Type="http://schemas.openxmlformats.org/officeDocument/2006/relationships/hyperlink" Target="https://dnapainter.com/tools/sharedcmv4/6?fbclid=IwAR3wqfKWVRq1DI_x4i7OjYx5ayGhdwQu5Tj-9K3u_CVvBxgEWwX7fHipJPs" TargetMode="External"/><Relationship Id="rId281" Type="http://schemas.openxmlformats.org/officeDocument/2006/relationships/hyperlink" Target="https://dnapainter.com/tools/sharedcmv4/7?fbclid=IwAR3wqfKWVRq1DI_x4i7OjYx5ayGhdwQu5Tj-9K3u_CVvBxgEWwX7fHipJPs" TargetMode="External"/><Relationship Id="rId337" Type="http://schemas.openxmlformats.org/officeDocument/2006/relationships/hyperlink" Target="https://dnapainter.com/tools/sharedcmv4/14?fbclid=IwAR3wqfKWVRq1DI_x4i7OjYx5ayGhdwQu5Tj-9K3u_CVvBxgEWwX7fHipJPs" TargetMode="External"/><Relationship Id="rId34" Type="http://schemas.openxmlformats.org/officeDocument/2006/relationships/hyperlink" Target="https://www.ancestry.co.uk/family-tree/person/tree/163868056/person/342132992964/facts" TargetMode="External"/><Relationship Id="rId76" Type="http://schemas.openxmlformats.org/officeDocument/2006/relationships/hyperlink" Target="https://www.ancestry.co.uk/family-tree/person/tree/163868056/person/342261984355/facts" TargetMode="External"/><Relationship Id="rId141" Type="http://schemas.openxmlformats.org/officeDocument/2006/relationships/hyperlink" Target="https://www.ancestry.co.uk/discoveryui-matches/compare/50A7C5EF-9E94-44BE-A86A-5736956A97F2/with/18EB586E-B772-4B66-9CED-493DF28F7BAA" TargetMode="External"/><Relationship Id="rId379" Type="http://schemas.openxmlformats.org/officeDocument/2006/relationships/hyperlink" Target="https://www.ancestry.co.uk/family-tree/person/tree/163868056/person/342132992964/facts" TargetMode="External"/><Relationship Id="rId7" Type="http://schemas.openxmlformats.org/officeDocument/2006/relationships/hyperlink" Target="https://www.ancestry.co.uk/family-tree/person/tree/163868056/person/342132992964/facts" TargetMode="External"/><Relationship Id="rId183" Type="http://schemas.openxmlformats.org/officeDocument/2006/relationships/hyperlink" Target="https://www.ancestry.co.uk/discoveryui-matches/compare/8955CF51-8070-4A51-8674-B7F01B347AED/with/69C33B95-46BD-4D8E-BDAE-529A551851B2" TargetMode="External"/><Relationship Id="rId239" Type="http://schemas.openxmlformats.org/officeDocument/2006/relationships/hyperlink" Target="https://www.ancestry.co.uk/family-tree/tree/163868056/family?cfpid=342288556751" TargetMode="External"/><Relationship Id="rId390" Type="http://schemas.openxmlformats.org/officeDocument/2006/relationships/hyperlink" Target="https://www.ancestry.co.uk/family-tree/person/tree/163868056/person/342261984355/facts" TargetMode="External"/><Relationship Id="rId404" Type="http://schemas.openxmlformats.org/officeDocument/2006/relationships/hyperlink" Target="https://www.ancestry.co.uk/discoveryui-matches/compare/50A7C5EF-9E94-44BE-A86A-5736956A97F2/with/815ECD3B-A060-4C4C-8B0E-92BD259C628E" TargetMode="External"/><Relationship Id="rId446" Type="http://schemas.openxmlformats.org/officeDocument/2006/relationships/hyperlink" Target="https://www.ancestry.co.uk/family-tree/person/tree/163868056/person/342261984355/facts" TargetMode="External"/><Relationship Id="rId250" Type="http://schemas.openxmlformats.org/officeDocument/2006/relationships/hyperlink" Target="https://www.ancestry.co.uk/family-tree/tree/163868056/family?cfpid=342265136057" TargetMode="External"/><Relationship Id="rId292" Type="http://schemas.openxmlformats.org/officeDocument/2006/relationships/hyperlink" Target="https://dnapainter.com/tools/sharedcmv4/8?fbclid=IwAR3wqfKWVRq1DI_x4i7OjYx5ayGhdwQu5Tj-9K3u_CVvBxgEWwX7fHipJPs" TargetMode="External"/><Relationship Id="rId306" Type="http://schemas.openxmlformats.org/officeDocument/2006/relationships/hyperlink" Target="https://dnapainter.com/tools/sharedcmv4/10?fbclid=IwAR3wqfKWVRq1DI_x4i7OjYx5ayGhdwQu5Tj-9K3u_CVvBxgEWwX7fHipJPs" TargetMode="External"/><Relationship Id="rId488" Type="http://schemas.openxmlformats.org/officeDocument/2006/relationships/hyperlink" Target="https://dnapainter.com/tools/sharedcmv4/9?fbclid=IwAR3wqfKWVRq1DI_x4i7OjYx5ayGhdwQu5Tj-9K3u_CVvBxgEWwX7fHipJPs" TargetMode="External"/><Relationship Id="rId45" Type="http://schemas.openxmlformats.org/officeDocument/2006/relationships/hyperlink" Target="https://www.ancestry.co.uk/family-tree/person/tree/163868056/person/342132992964/facts" TargetMode="External"/><Relationship Id="rId87" Type="http://schemas.openxmlformats.org/officeDocument/2006/relationships/hyperlink" Target="https://www.ancestry.co.uk/family-tree/person/tree/163868056/person/342261984355/facts" TargetMode="External"/><Relationship Id="rId110" Type="http://schemas.openxmlformats.org/officeDocument/2006/relationships/hyperlink" Target="https://www.ancestry.co.uk/family-tree/person/tree/163868056/person/342261984363/facts" TargetMode="External"/><Relationship Id="rId348" Type="http://schemas.openxmlformats.org/officeDocument/2006/relationships/hyperlink" Target="https://dnapainter.com/tools/sharedcmv4/18?fbclid=IwAR3wqfKWVRq1DI_x4i7OjYx5ayGhdwQu5Tj-9K3u_CVvBxgEWwX7fHipJPs" TargetMode="External"/><Relationship Id="rId152" Type="http://schemas.openxmlformats.org/officeDocument/2006/relationships/hyperlink" Target="https://www.ancestry.co.uk/discoveryui-matches/compare/50A7C5EF-9E94-44BE-A86A-5736956A97F2/with/F9C63AB0-D998-4DD7-BBCF-E8D5A58D3590" TargetMode="External"/><Relationship Id="rId194" Type="http://schemas.openxmlformats.org/officeDocument/2006/relationships/hyperlink" Target="https://www.ancestry.co.uk/discoveryui-matches/compare/50A7C5EF-9E94-44BE-A86A-5736956A97F2/with/F05B2CC9-F7BF-491F-BD41-B8F6D8CCA228" TargetMode="External"/><Relationship Id="rId208" Type="http://schemas.openxmlformats.org/officeDocument/2006/relationships/hyperlink" Target="https://www.ancestry.co.uk/family-tree/tree/163868056/family?cfpid=342288565692" TargetMode="External"/><Relationship Id="rId415" Type="http://schemas.openxmlformats.org/officeDocument/2006/relationships/hyperlink" Target="https://www.ancestry.co.uk/family-tree/person/tree/163868056/person/342132992970/facts" TargetMode="External"/><Relationship Id="rId457" Type="http://schemas.openxmlformats.org/officeDocument/2006/relationships/hyperlink" Target="https://dnapainter.com/tools/sharedcmv4/11?fbclid=IwAR3wqfKWVRq1DI_x4i7OjYx5ayGhdwQu5Tj-9K3u_CVvBxgEWwX7fHipJPs" TargetMode="External"/><Relationship Id="rId261" Type="http://schemas.openxmlformats.org/officeDocument/2006/relationships/hyperlink" Target="https://www.ancestry.co.uk/family-tree/tree/163868056/family?cfpid=342288557465" TargetMode="External"/><Relationship Id="rId14" Type="http://schemas.openxmlformats.org/officeDocument/2006/relationships/hyperlink" Target="https://www.ancestry.co.uk/family-tree/person/tree/163868056/person/342132992964/facts" TargetMode="External"/><Relationship Id="rId56" Type="http://schemas.openxmlformats.org/officeDocument/2006/relationships/hyperlink" Target="https://www.ancestry.co.uk/family-tree/person/tree/163868056/person/342132992964/facts" TargetMode="External"/><Relationship Id="rId317" Type="http://schemas.openxmlformats.org/officeDocument/2006/relationships/hyperlink" Target="https://dnapainter.com/tools/sharedcmv4/11?fbclid=IwAR3wqfKWVRq1DI_x4i7OjYx5ayGhdwQu5Tj-9K3u_CVvBxgEWwX7fHipJPs" TargetMode="External"/><Relationship Id="rId359" Type="http://schemas.openxmlformats.org/officeDocument/2006/relationships/hyperlink" Target="https://dnapainter.com/tools/sharedcmv4/20?fbclid=IwAR3wqfKWVRq1DI_x4i7OjYx5ayGhdwQu5Tj-9K3u_CVvBxgEWwX7fHipJPs" TargetMode="External"/><Relationship Id="rId98" Type="http://schemas.openxmlformats.org/officeDocument/2006/relationships/hyperlink" Target="https://www.ancestry.co.uk/family-tree/person/tree/163868056/person/342261984363/facts" TargetMode="External"/><Relationship Id="rId121" Type="http://schemas.openxmlformats.org/officeDocument/2006/relationships/hyperlink" Target="https://www.ancestry.co.uk/family-tree/person/tree/163868056/person/342261984363/facts" TargetMode="External"/><Relationship Id="rId163" Type="http://schemas.openxmlformats.org/officeDocument/2006/relationships/hyperlink" Target="https://www.ancestry.co.uk/discoveryui-matches/compare/50A7C5EF-9E94-44BE-A86A-5736956A97F2/with/427BF1F9-14F0-432D-88F5-A400BC594E66" TargetMode="External"/><Relationship Id="rId219" Type="http://schemas.openxmlformats.org/officeDocument/2006/relationships/hyperlink" Target="https://www.ancestry.co.uk/family-tree/tree/163868056/family?cfpid=342288559298" TargetMode="External"/><Relationship Id="rId370" Type="http://schemas.openxmlformats.org/officeDocument/2006/relationships/hyperlink" Target="https://dnapainter.com/tools/sharedcmv4/23?fbclid=IwAR3wqfKWVRq1DI_x4i7OjYx5ayGhdwQu5Tj-9K3u_CVvBxgEWwX7fHipJPs" TargetMode="External"/><Relationship Id="rId426" Type="http://schemas.openxmlformats.org/officeDocument/2006/relationships/hyperlink" Target="https://www.ancestry.co.uk/family-tree/tree/163868056/family/pedigree?cfpid=342601375678" TargetMode="External"/><Relationship Id="rId230" Type="http://schemas.openxmlformats.org/officeDocument/2006/relationships/hyperlink" Target="https://www.ancestry.co.uk/family-tree/tree/163868056/family?cfpid=342263626014" TargetMode="External"/><Relationship Id="rId468" Type="http://schemas.openxmlformats.org/officeDocument/2006/relationships/hyperlink" Target="https://www.ancestry.co.uk/discoveryui-matches/compare/50a7c5ef-9e94-44be-a86a-5736956a97f2/with/f005ffa7-1bd9-47e7-b9d8-5e84ca13eb25" TargetMode="External"/><Relationship Id="rId25" Type="http://schemas.openxmlformats.org/officeDocument/2006/relationships/hyperlink" Target="https://www.ancestry.co.uk/family-tree/person/tree/163868056/person/342132992964/facts" TargetMode="External"/><Relationship Id="rId67" Type="http://schemas.openxmlformats.org/officeDocument/2006/relationships/hyperlink" Target="https://www.ancestry.co.uk/family-tree/person/tree/163868056/person/342132992970/facts" TargetMode="External"/><Relationship Id="rId272" Type="http://schemas.openxmlformats.org/officeDocument/2006/relationships/hyperlink" Target="https://www.ancestry.co.uk/family-tree/tree/163868056/family/pedigree?cfpid=342383945766" TargetMode="External"/><Relationship Id="rId328" Type="http://schemas.openxmlformats.org/officeDocument/2006/relationships/hyperlink" Target="https://dnapainter.com/tools/sharedcmv4/13?fbclid=IwAR3wqfKWVRq1DI_x4i7OjYx5ayGhdwQu5Tj-9K3u_CVvBxgEWwX7fHipJPs" TargetMode="External"/><Relationship Id="rId132" Type="http://schemas.openxmlformats.org/officeDocument/2006/relationships/hyperlink" Target="https://www.ancestry.co.uk/family-tree/person/tree/163868056/person/342262490010/facts" TargetMode="External"/><Relationship Id="rId174" Type="http://schemas.openxmlformats.org/officeDocument/2006/relationships/hyperlink" Target="https://www.ancestry.co.uk/discoveryui-matches/compare/50A7C5EF-9E94-44BE-A86A-5736956A97F2/with/AB6D9B25-603B-4AF7-B902-F72E7A171AC9" TargetMode="External"/><Relationship Id="rId381" Type="http://schemas.openxmlformats.org/officeDocument/2006/relationships/hyperlink" Target="https://www.ancestry.co.uk/family-tree/person/tree/163868056/person/342261984363/facts" TargetMode="External"/><Relationship Id="rId241" Type="http://schemas.openxmlformats.org/officeDocument/2006/relationships/hyperlink" Target="https://www.ancestry.co.uk/family-tree/tree/163868056/family?cfpid=342262001340" TargetMode="External"/><Relationship Id="rId437" Type="http://schemas.openxmlformats.org/officeDocument/2006/relationships/hyperlink" Target="https://dnapainter.com/tools/sharedcmv4/16?fbclid=IwAR3wqfKWVRq1DI_x4i7OjYx5ayGhdwQu5Tj-9K3u_CVvBxgEWwX7fHipJPs" TargetMode="External"/><Relationship Id="rId479" Type="http://schemas.openxmlformats.org/officeDocument/2006/relationships/hyperlink" Target="https://www.ancestry.co.uk/family-tree/person/tree/163868056/person/342132992970/facts" TargetMode="External"/><Relationship Id="rId36" Type="http://schemas.openxmlformats.org/officeDocument/2006/relationships/hyperlink" Target="https://www.ancestry.co.uk/family-tree/person/tree/163868056/person/342132992964/facts" TargetMode="External"/><Relationship Id="rId283" Type="http://schemas.openxmlformats.org/officeDocument/2006/relationships/hyperlink" Target="https://dnapainter.com/tools/sharedcmv4/7?fbclid=IwAR3wqfKWVRq1DI_x4i7OjYx5ayGhdwQu5Tj-9K3u_CVvBxgEWwX7fHipJPs" TargetMode="External"/><Relationship Id="rId339" Type="http://schemas.openxmlformats.org/officeDocument/2006/relationships/hyperlink" Target="https://dnapainter.com/tools/sharedcmv4/14?fbclid=IwAR3wqfKWVRq1DI_x4i7OjYx5ayGhdwQu5Tj-9K3u_CVvBxgEWwX7fHipJPs" TargetMode="External"/><Relationship Id="rId78" Type="http://schemas.openxmlformats.org/officeDocument/2006/relationships/hyperlink" Target="https://www.ancestry.co.uk/family-tree/person/tree/163868056/person/342261984355/facts" TargetMode="External"/><Relationship Id="rId101" Type="http://schemas.openxmlformats.org/officeDocument/2006/relationships/hyperlink" Target="https://www.ancestry.co.uk/family-tree/person/tree/163868056/person/342261984363/facts" TargetMode="External"/><Relationship Id="rId143" Type="http://schemas.openxmlformats.org/officeDocument/2006/relationships/hyperlink" Target="https://www.ancestry.co.uk/discoveryui-matches/compare/50A7C5EF-9E94-44BE-A86A-5736956A97F2/with/40886DD5-0E82-4395-9CF8-20E0765CB16E" TargetMode="External"/><Relationship Id="rId185" Type="http://schemas.openxmlformats.org/officeDocument/2006/relationships/hyperlink" Target="https://www.ancestry.co.uk/discoveryui-matches/compare/8955CF51-8070-4A51-8674-B7F01B347AED/with/51E9783D-39D8-4E13-B6F8-806FCF4F31E5" TargetMode="External"/><Relationship Id="rId350" Type="http://schemas.openxmlformats.org/officeDocument/2006/relationships/hyperlink" Target="https://dnapainter.com/tools/sharedcmv4/18?fbclid=IwAR3wqfKWVRq1DI_x4i7OjYx5ayGhdwQu5Tj-9K3u_CVvBxgEWwX7fHipJPs" TargetMode="External"/><Relationship Id="rId406" Type="http://schemas.openxmlformats.org/officeDocument/2006/relationships/hyperlink" Target="https://dnapainter.com/tools/sharedcmv4/24?fbclid=IwAR3wqfKWVRq1DI_x4i7OjYx5ayGhdwQu5Tj-9K3u_CVvBxgEWwX7fHipJPs" TargetMode="External"/><Relationship Id="rId9" Type="http://schemas.openxmlformats.org/officeDocument/2006/relationships/hyperlink" Target="https://www.ancestry.co.uk/family-tree/person/tree/163868056/person/342132992964/facts" TargetMode="External"/><Relationship Id="rId210" Type="http://schemas.openxmlformats.org/officeDocument/2006/relationships/hyperlink" Target="https://www.ancestry.co.uk/family-tree/tree/163868056/family?cfpid=342271531367" TargetMode="External"/><Relationship Id="rId392" Type="http://schemas.openxmlformats.org/officeDocument/2006/relationships/hyperlink" Target="https://www.ancestry.co.uk/discoveryui-matches/compare/50a7c5ef-9e94-44be-a86a-5736956a97f2/with/2408bcdd-e26a-4847-80d8-fabd0c7e77d0" TargetMode="External"/><Relationship Id="rId448" Type="http://schemas.openxmlformats.org/officeDocument/2006/relationships/hyperlink" Target="https://www.ancestry.co.uk/discoveryui-matches/compare/50a7c5ef-9e94-44be-a86a-5736956a97f2/with/142789f1-53b0-4c1f-bd14-daf8a0d2079d" TargetMode="External"/><Relationship Id="rId252" Type="http://schemas.openxmlformats.org/officeDocument/2006/relationships/hyperlink" Target="https://www.ancestry.co.uk/family-tree/tree/163868056/family?cfpid=342263758900" TargetMode="External"/><Relationship Id="rId294" Type="http://schemas.openxmlformats.org/officeDocument/2006/relationships/hyperlink" Target="https://dnapainter.com/tools/sharedcmv4/9?fbclid=IwAR3wqfKWVRq1DI_x4i7OjYx5ayGhdwQu5Tj-9K3u_CVvBxgEWwX7fHipJPs" TargetMode="External"/><Relationship Id="rId308" Type="http://schemas.openxmlformats.org/officeDocument/2006/relationships/hyperlink" Target="https://dnapainter.com/tools/sharedcmv4/10?fbclid=IwAR3wqfKWVRq1DI_x4i7OjYx5ayGhdwQu5Tj-9K3u_CVvBxgEWwX7fHipJPs" TargetMode="External"/><Relationship Id="rId47" Type="http://schemas.openxmlformats.org/officeDocument/2006/relationships/hyperlink" Target="https://www.ancestry.co.uk/family-tree/person/tree/163868056/person/342132992964/facts" TargetMode="External"/><Relationship Id="rId89" Type="http://schemas.openxmlformats.org/officeDocument/2006/relationships/hyperlink" Target="https://www.ancestry.co.uk/family-tree/person/tree/163868056/person/342261984355/facts" TargetMode="External"/><Relationship Id="rId112" Type="http://schemas.openxmlformats.org/officeDocument/2006/relationships/hyperlink" Target="https://www.ancestry.co.uk/family-tree/person/tree/163868056/person/342261984363/facts" TargetMode="External"/><Relationship Id="rId154" Type="http://schemas.openxmlformats.org/officeDocument/2006/relationships/hyperlink" Target="https://www.ancestry.co.uk/discoveryui-matches/compare/50A7C5EF-9E94-44BE-A86A-5736956A97F2/with/E32064D8-3290-482B-AB2D-FDAAADD897D8" TargetMode="External"/><Relationship Id="rId361" Type="http://schemas.openxmlformats.org/officeDocument/2006/relationships/hyperlink" Target="https://dnapainter.com/tools/sharedcmv4/21?fbclid=IwAR3wqfKWVRq1DI_x4i7OjYx5ayGhdwQu5Tj-9K3u_CVvBxgEWwX7fHipJPs" TargetMode="External"/><Relationship Id="rId196" Type="http://schemas.openxmlformats.org/officeDocument/2006/relationships/hyperlink" Target="https://www.ancestry.co.uk/discoveryui-matches/compare/50A7C5EF-9E94-44BE-A86A-5736956A97F2/with/C5C5D18B-466D-462C-9B41-91F988EEE993" TargetMode="External"/><Relationship Id="rId417" Type="http://schemas.openxmlformats.org/officeDocument/2006/relationships/hyperlink" Target="https://www.ancestry.co.uk/family-tree/person/tree/163868056/person/342261984363/facts" TargetMode="External"/><Relationship Id="rId459" Type="http://schemas.openxmlformats.org/officeDocument/2006/relationships/hyperlink" Target="https://www.ancestry.co.uk/family-tree/person/tree/163868056/person/342132992964/facts" TargetMode="External"/><Relationship Id="rId16" Type="http://schemas.openxmlformats.org/officeDocument/2006/relationships/hyperlink" Target="https://www.ancestry.co.uk/family-tree/person/tree/163868056/person/342132992964/facts" TargetMode="External"/><Relationship Id="rId221" Type="http://schemas.openxmlformats.org/officeDocument/2006/relationships/hyperlink" Target="https://www.ancestry.co.uk/family-tree/tree/163868056/family?cfpid=342261993456" TargetMode="External"/><Relationship Id="rId263" Type="http://schemas.openxmlformats.org/officeDocument/2006/relationships/hyperlink" Target="https://www.ancestry.co.uk/family-tree/tree/163868056/family?cfpid=342265474512" TargetMode="External"/><Relationship Id="rId319" Type="http://schemas.openxmlformats.org/officeDocument/2006/relationships/hyperlink" Target="https://dnapainter.com/tools/sharedcmv4/11?fbclid=IwAR3wqfKWVRq1DI_x4i7OjYx5ayGhdwQu5Tj-9K3u_CVvBxgEWwX7fHipJPs" TargetMode="External"/><Relationship Id="rId470" Type="http://schemas.openxmlformats.org/officeDocument/2006/relationships/hyperlink" Target="https://dnapainter.com/tools/sharedcmv4/10?fbclid=IwAR3wqfKWVRq1DI_x4i7OjYx5ayGhdwQu5Tj-9K3u_CVvBxgEWwX7fHipJPs" TargetMode="External"/><Relationship Id="rId58" Type="http://schemas.openxmlformats.org/officeDocument/2006/relationships/hyperlink" Target="https://www.ancestry.co.uk/family-tree/person/tree/163868056/person/342132992964/facts" TargetMode="External"/><Relationship Id="rId123" Type="http://schemas.openxmlformats.org/officeDocument/2006/relationships/hyperlink" Target="https://www.ancestry.co.uk/family-tree/person/tree/163868056/person/342261984363/facts" TargetMode="External"/><Relationship Id="rId330" Type="http://schemas.openxmlformats.org/officeDocument/2006/relationships/hyperlink" Target="https://dnapainter.com/tools/sharedcmv4/13?fbclid=IwAR3wqfKWVRq1DI_x4i7OjYx5ayGhdwQu5Tj-9K3u_CVvBxgEWwX7fHipJPs" TargetMode="External"/><Relationship Id="rId165" Type="http://schemas.openxmlformats.org/officeDocument/2006/relationships/hyperlink" Target="https://www.ancestry.co.uk/discoveryui-matches/compare/50A7C5EF-9E94-44BE-A86A-5736956A97F2/with/14E969AF-5B68-476A-B847-868857E65F0F" TargetMode="External"/><Relationship Id="rId372" Type="http://schemas.openxmlformats.org/officeDocument/2006/relationships/hyperlink" Target="https://dnapainter.com/tools/sharedcmv4/24?fbclid=IwAR3wqfKWVRq1DI_x4i7OjYx5ayGhdwQu5Tj-9K3u_CVvBxgEWwX7fHipJPs" TargetMode="External"/><Relationship Id="rId428" Type="http://schemas.openxmlformats.org/officeDocument/2006/relationships/hyperlink" Target="https://www.ancestry.co.uk/family-tree/person/tree/163868056/person/342261984355/facts" TargetMode="External"/><Relationship Id="rId232" Type="http://schemas.openxmlformats.org/officeDocument/2006/relationships/hyperlink" Target="https://www.ancestry.co.uk/family-tree/tree/163868056/family?cfpid=342262012155" TargetMode="External"/><Relationship Id="rId274" Type="http://schemas.openxmlformats.org/officeDocument/2006/relationships/hyperlink" Target="https://dnapainter.com/tools/sharedcmv4/6?fbclid=IwAR3wqfKWVRq1DI_x4i7OjYx5ayGhdwQu5Tj-9K3u_CVvBxgEWwX7fHipJPs" TargetMode="External"/><Relationship Id="rId481" Type="http://schemas.openxmlformats.org/officeDocument/2006/relationships/hyperlink" Target="https://dnapainter.com/tools/sharedcmv4/13?fbclid=IwAR3wqfKWVRq1DI_x4i7OjYx5ayGhdwQu5Tj-9K3u_CVvBxgEWwX7fHipJPs" TargetMode="External"/><Relationship Id="rId27" Type="http://schemas.openxmlformats.org/officeDocument/2006/relationships/hyperlink" Target="https://www.ancestry.co.uk/family-tree/person/tree/163868056/person/342132992964/facts" TargetMode="External"/><Relationship Id="rId69" Type="http://schemas.openxmlformats.org/officeDocument/2006/relationships/hyperlink" Target="https://www.ancestry.co.uk/family-tree/person/tree/163868056/person/342132992970/facts" TargetMode="External"/><Relationship Id="rId134" Type="http://schemas.openxmlformats.org/officeDocument/2006/relationships/hyperlink" Target="https://www.ancestry.co.uk/family-tree/person/tree/163868056/person/342262490010/facts" TargetMode="External"/><Relationship Id="rId80" Type="http://schemas.openxmlformats.org/officeDocument/2006/relationships/hyperlink" Target="https://www.ancestry.co.uk/family-tree/person/tree/163868056/person/342261984355/facts" TargetMode="External"/><Relationship Id="rId176" Type="http://schemas.openxmlformats.org/officeDocument/2006/relationships/hyperlink" Target="https://www.ancestry.co.uk/discoveryui-matches/compare/50A7C5EF-9E94-44BE-A86A-5736956A97F2/with/D53FE614-64D1-4818-B8DA-826464DEC7DC" TargetMode="External"/><Relationship Id="rId341" Type="http://schemas.openxmlformats.org/officeDocument/2006/relationships/hyperlink" Target="https://dnapainter.com/tools/sharedcmv4/14.2?fbclid=IwAR3wqfKWVRq1DI_x4i7OjYx5ayGhdwQu5Tj-9K3u_CVvBxgEWwX7fHipJPs" TargetMode="External"/><Relationship Id="rId383" Type="http://schemas.openxmlformats.org/officeDocument/2006/relationships/hyperlink" Target="https://www.ancestry.co.uk/family-tree/tree/163868056/family/pedigree?cfpid=342476549492" TargetMode="External"/><Relationship Id="rId439" Type="http://schemas.openxmlformats.org/officeDocument/2006/relationships/hyperlink" Target="https://www.ancestry.co.uk/family-tree/person/tree/163868056/person/342132992964/facts" TargetMode="External"/><Relationship Id="rId201" Type="http://schemas.openxmlformats.org/officeDocument/2006/relationships/hyperlink" Target="https://www.ancestry.co.uk/family-tree/tree/163868056/family?cfpid=342261845002" TargetMode="External"/><Relationship Id="rId243" Type="http://schemas.openxmlformats.org/officeDocument/2006/relationships/hyperlink" Target="https://www.ancestry.co.uk/family-tree/tree/163868056/family?cfpid=342264017127" TargetMode="External"/><Relationship Id="rId285" Type="http://schemas.openxmlformats.org/officeDocument/2006/relationships/hyperlink" Target="https://dnapainter.com/tools/sharedcmv4/7?fbclid=IwAR3wqfKWVRq1DI_x4i7OjYx5ayGhdwQu5Tj-9K3u_CVvBxgEWwX7fHipJPs" TargetMode="External"/><Relationship Id="rId450" Type="http://schemas.openxmlformats.org/officeDocument/2006/relationships/hyperlink" Target="https://dnapainter.com/tools/sharedcmv4/15?fbclid=IwAR3wqfKWVRq1DI_x4i7OjYx5ayGhdwQu5Tj-9K3u_CVvBxgEWwX7fHipJPs" TargetMode="External"/><Relationship Id="rId38" Type="http://schemas.openxmlformats.org/officeDocument/2006/relationships/hyperlink" Target="https://www.ancestry.co.uk/family-tree/person/tree/163868056/person/342132992964/facts" TargetMode="External"/><Relationship Id="rId103" Type="http://schemas.openxmlformats.org/officeDocument/2006/relationships/hyperlink" Target="https://www.ancestry.co.uk/family-tree/person/tree/163868056/person/342261984363/facts" TargetMode="External"/><Relationship Id="rId310" Type="http://schemas.openxmlformats.org/officeDocument/2006/relationships/hyperlink" Target="https://dnapainter.com/tools/sharedcmv4/11?fbclid=IwAR3wqfKWVRq1DI_x4i7OjYx5ayGhdwQu5Tj-9K3u_CVvBxgEWwX7fHipJPs" TargetMode="External"/><Relationship Id="rId91" Type="http://schemas.openxmlformats.org/officeDocument/2006/relationships/hyperlink" Target="https://www.ancestry.co.uk/family-tree/person/tree/163868056/person/342261984355/facts" TargetMode="External"/><Relationship Id="rId145" Type="http://schemas.openxmlformats.org/officeDocument/2006/relationships/hyperlink" Target="https://www.ancestry.co.uk/discoveryui-matches/compare/50A7C5EF-9E94-44BE-A86A-5736956A97F2/with/207C6D30-734E-4E69-B153-E0BA68B07CE5" TargetMode="External"/><Relationship Id="rId187" Type="http://schemas.openxmlformats.org/officeDocument/2006/relationships/hyperlink" Target="https://www.ancestry.co.uk/discoveryui-matches/compare/8955CF51-8070-4A51-8674-B7F01B347AED/with/1948423C-9190-4C13-83AE-0C5FF7DED67F" TargetMode="External"/><Relationship Id="rId352" Type="http://schemas.openxmlformats.org/officeDocument/2006/relationships/hyperlink" Target="https://dnapainter.com/tools/sharedcmv4/19?fbclid=IwAR3wqfKWVRq1DI_x4i7OjYx5ayGhdwQu5Tj-9K3u_CVvBxgEWwX7fHipJPs" TargetMode="External"/><Relationship Id="rId394" Type="http://schemas.openxmlformats.org/officeDocument/2006/relationships/hyperlink" Target="https://www.ancestry.co.uk/family-tree/tree/163868056/family/pedigree?cfpid=342601362645" TargetMode="External"/><Relationship Id="rId408" Type="http://schemas.openxmlformats.org/officeDocument/2006/relationships/hyperlink" Target="https://dnapainter.com/tools/sharedcmv4/24?fbclid=IwAR3wqfKWVRq1DI_x4i7OjYx5ayGhdwQu5Tj-9K3u_CVvBxgEWwX7fHipJPs" TargetMode="External"/><Relationship Id="rId212" Type="http://schemas.openxmlformats.org/officeDocument/2006/relationships/hyperlink" Target="https://www.ancestry.co.uk/family-tree/tree/163868056/family?cfpid=342261992483" TargetMode="External"/><Relationship Id="rId254" Type="http://schemas.openxmlformats.org/officeDocument/2006/relationships/hyperlink" Target="https://www.ancestry.co.uk/family-tree/tree/163868056/family?cfpid=342263759969" TargetMode="External"/><Relationship Id="rId49" Type="http://schemas.openxmlformats.org/officeDocument/2006/relationships/hyperlink" Target="https://www.ancestry.co.uk/family-tree/person/tree/163868056/person/342132992964/facts" TargetMode="External"/><Relationship Id="rId114" Type="http://schemas.openxmlformats.org/officeDocument/2006/relationships/hyperlink" Target="https://www.ancestry.co.uk/family-tree/person/tree/163868056/person/342261984363/facts" TargetMode="External"/><Relationship Id="rId296" Type="http://schemas.openxmlformats.org/officeDocument/2006/relationships/hyperlink" Target="https://dnapainter.com/tools/sharedcmv4/9?fbclid=IwAR3wqfKWVRq1DI_x4i7OjYx5ayGhdwQu5Tj-9K3u_CVvBxgEWwX7fHipJPs" TargetMode="External"/><Relationship Id="rId461" Type="http://schemas.openxmlformats.org/officeDocument/2006/relationships/hyperlink" Target="https://dnapainter.com/tools/sharedcmv4/10?fbclid=IwAR3wqfKWVRq1DI_x4i7OjYx5ayGhdwQu5Tj-9K3u_CVvBxgEWwX7fHipJPs" TargetMode="External"/><Relationship Id="rId60" Type="http://schemas.openxmlformats.org/officeDocument/2006/relationships/hyperlink" Target="https://www.ancestry.co.uk/family-tree/person/tree/163868056/person/342132992964/facts" TargetMode="External"/><Relationship Id="rId156" Type="http://schemas.openxmlformats.org/officeDocument/2006/relationships/hyperlink" Target="https://www.ancestry.co.uk/discoveryui-matches/compare/50A7C5EF-9E94-44BE-A86A-5736956A97F2/with/90CFA860-7F55-4991-9EAC-D37BF43994F3" TargetMode="External"/><Relationship Id="rId198" Type="http://schemas.openxmlformats.org/officeDocument/2006/relationships/hyperlink" Target="https://www.ancestry.co.uk/discoveryui-matches/compare/50A7C5EF-9E94-44BE-A86A-5736956A97F2/with/C93B7A93-D903-46B8-AFCD-7CF4FE09903B" TargetMode="External"/><Relationship Id="rId321" Type="http://schemas.openxmlformats.org/officeDocument/2006/relationships/hyperlink" Target="https://dnapainter.com/tools/sharedcmv4/12?fbclid=IwAR3wqfKWVRq1DI_x4i7OjYx5ayGhdwQu5Tj-9K3u_CVvBxgEWwX7fHipJPs" TargetMode="External"/><Relationship Id="rId363" Type="http://schemas.openxmlformats.org/officeDocument/2006/relationships/hyperlink" Target="https://dnapainter.com/tools/sharedcmv4/21?fbclid=IwAR3wqfKWVRq1DI_x4i7OjYx5ayGhdwQu5Tj-9K3u_CVvBxgEWwX7fHipJPs" TargetMode="External"/><Relationship Id="rId419" Type="http://schemas.openxmlformats.org/officeDocument/2006/relationships/hyperlink" Target="https://dnapainter.com/tools/sharedcmv4/20?fbclid=IwAR3wqfKWVRq1DI_x4i7OjYx5ayGhdwQu5Tj-9K3u_CVvBxgEWwX7fHipJPs" TargetMode="External"/><Relationship Id="rId223" Type="http://schemas.openxmlformats.org/officeDocument/2006/relationships/hyperlink" Target="https://www.ancestry.co.uk/family-tree/tree/163868056/family?cfpid=342262054064" TargetMode="External"/><Relationship Id="rId430" Type="http://schemas.openxmlformats.org/officeDocument/2006/relationships/hyperlink" Target="https://www.ancestry.co.uk/discoveryui-matches/compare/50a7c5ef-9e94-44be-a86a-5736956a97f2/with/d77a6355-9295-4458-a16f-aad952aa0795" TargetMode="External"/><Relationship Id="rId18" Type="http://schemas.openxmlformats.org/officeDocument/2006/relationships/hyperlink" Target="https://www.ancestry.co.uk/family-tree/person/tree/163868056/person/342132992964/facts" TargetMode="External"/><Relationship Id="rId265" Type="http://schemas.openxmlformats.org/officeDocument/2006/relationships/hyperlink" Target="https://www.ancestry.co.uk/family-tree/tree/163868056/family?cfpid=342265206416" TargetMode="External"/><Relationship Id="rId472" Type="http://schemas.openxmlformats.org/officeDocument/2006/relationships/hyperlink" Target="https://www.ancestry.co.uk/discoveryui-matches/compare/50a7c5ef-9e94-44be-a86a-5736956a97f2/with/ffe6a51f-4a74-4060-af55-5f67c66d2347" TargetMode="External"/><Relationship Id="rId125" Type="http://schemas.openxmlformats.org/officeDocument/2006/relationships/hyperlink" Target="https://www.ancestry.co.uk/family-tree/person/tree/163868056/person/342261984363/facts" TargetMode="External"/><Relationship Id="rId167" Type="http://schemas.openxmlformats.org/officeDocument/2006/relationships/hyperlink" Target="https://www.ancestry.co.uk/discoveryui-matches/compare/50A7C5EF-9E94-44BE-A86A-5736956A97F2/with/69ADB507-78D3-4031-B791-EEA1B1EE77A4" TargetMode="External"/><Relationship Id="rId332" Type="http://schemas.openxmlformats.org/officeDocument/2006/relationships/hyperlink" Target="https://dnapainter.com/tools/sharedcmv4/13?fbclid=IwAR3wqfKWVRq1DI_x4i7OjYx5ayGhdwQu5Tj-9K3u_CVvBxgEWwX7fHipJPs" TargetMode="External"/><Relationship Id="rId374" Type="http://schemas.openxmlformats.org/officeDocument/2006/relationships/hyperlink" Target="https://dnapainter.com/tools/sharedcmv4/24?fbclid=IwAR3wqfKWVRq1DI_x4i7OjYx5ayGhdwQu5Tj-9K3u_CVvBxgEWwX7fHipJPs" TargetMode="External"/><Relationship Id="rId71" Type="http://schemas.openxmlformats.org/officeDocument/2006/relationships/hyperlink" Target="https://www.ancestry.co.uk/family-tree/person/tree/163868056/person/342261984355/facts" TargetMode="External"/><Relationship Id="rId234" Type="http://schemas.openxmlformats.org/officeDocument/2006/relationships/hyperlink" Target="https://www.ancestry.co.uk/family-tree/tree/163868056/family?cfpid=342288564855" TargetMode="External"/><Relationship Id="rId2" Type="http://schemas.openxmlformats.org/officeDocument/2006/relationships/hyperlink" Target="https://www.ancestry.co.uk/family-tree/person/tree/163868056/person/342132992964/facts" TargetMode="External"/><Relationship Id="rId29" Type="http://schemas.openxmlformats.org/officeDocument/2006/relationships/hyperlink" Target="https://www.ancestry.co.uk/family-tree/person/tree/163868056/person/342132992964/facts" TargetMode="External"/><Relationship Id="rId276" Type="http://schemas.openxmlformats.org/officeDocument/2006/relationships/hyperlink" Target="https://dnapainter.com/tools/sharedcmv4/6?fbclid=IwAR3wqfKWVRq1DI_x4i7OjYx5ayGhdwQu5Tj-9K3u_CVvBxgEWwX7fHipJPs" TargetMode="External"/><Relationship Id="rId441" Type="http://schemas.openxmlformats.org/officeDocument/2006/relationships/hyperlink" Target="https://www.ancestry.co.uk/family-tree/person/tree/163868056/person/342261984363/facts" TargetMode="External"/><Relationship Id="rId483" Type="http://schemas.openxmlformats.org/officeDocument/2006/relationships/hyperlink" Target="https://www.ancestry.co.uk/family-tree/person/tree/163868056/person/342262490013/facts" TargetMode="External"/><Relationship Id="rId40" Type="http://schemas.openxmlformats.org/officeDocument/2006/relationships/hyperlink" Target="https://www.ancestry.co.uk/family-tree/person/tree/163868056/person/342132992964/facts" TargetMode="External"/><Relationship Id="rId136" Type="http://schemas.openxmlformats.org/officeDocument/2006/relationships/hyperlink" Target="https://www.ancestry.co.uk/family-tree/tree/163868056/family/pedigree?cfpid=342261987283" TargetMode="External"/><Relationship Id="rId178" Type="http://schemas.openxmlformats.org/officeDocument/2006/relationships/hyperlink" Target="https://www.ancestry.co.uk/discoveryui-matches/compare/50A7C5EF-9E94-44BE-A86A-5736956A97F2/with/68E88764-7ECC-4374-B944-358B30C9B31F" TargetMode="External"/><Relationship Id="rId301" Type="http://schemas.openxmlformats.org/officeDocument/2006/relationships/hyperlink" Target="https://dnapainter.com/tools/sharedcmv4/9?fbclid=IwAR3wqfKWVRq1DI_x4i7OjYx5ayGhdwQu5Tj-9K3u_CVvBxgEWwX7fHipJPs" TargetMode="External"/><Relationship Id="rId343" Type="http://schemas.openxmlformats.org/officeDocument/2006/relationships/hyperlink" Target="https://dnapainter.com/tools/sharedcmv4/15?fbclid=IwAR3wqfKWVRq1DI_x4i7OjYx5ayGhdwQu5Tj-9K3u_CVvBxgEWwX7fHipJPs" TargetMode="External"/><Relationship Id="rId82" Type="http://schemas.openxmlformats.org/officeDocument/2006/relationships/hyperlink" Target="https://www.ancestry.co.uk/family-tree/person/tree/163868056/person/342261984355/facts" TargetMode="External"/><Relationship Id="rId203" Type="http://schemas.openxmlformats.org/officeDocument/2006/relationships/hyperlink" Target="https://www.ancestry.co.uk/family-tree/tree/163868056/family?cfpid=342269983036" TargetMode="External"/><Relationship Id="rId385" Type="http://schemas.openxmlformats.org/officeDocument/2006/relationships/hyperlink" Target="https://www.ancestry.co.uk/family-tree/person/tree/163868056/person/342132992964/facts" TargetMode="External"/><Relationship Id="rId245" Type="http://schemas.openxmlformats.org/officeDocument/2006/relationships/hyperlink" Target="https://www.ancestry.co.uk/family-tree/tree/163868056/family?cfpid=342288564992" TargetMode="External"/><Relationship Id="rId287" Type="http://schemas.openxmlformats.org/officeDocument/2006/relationships/hyperlink" Target="https://dnapainter.com/tools/sharedcmv4/8?fbclid=IwAR3wqfKWVRq1DI_x4i7OjYx5ayGhdwQu5Tj-9K3u_CVvBxgEWwX7fHipJPs" TargetMode="External"/><Relationship Id="rId410" Type="http://schemas.openxmlformats.org/officeDocument/2006/relationships/hyperlink" Target="https://www.ancestry.co.uk/family-tree/person/tree/163868056/person/342261984355/facts" TargetMode="External"/><Relationship Id="rId452" Type="http://schemas.openxmlformats.org/officeDocument/2006/relationships/hyperlink" Target="https://www.ancestry.co.uk/discoveryui-matches/compare/50a7c5ef-9e94-44be-a86a-5736956a97f2/with/ad1d2184-51ca-40db-b5d0-d251352e85b9" TargetMode="External"/><Relationship Id="rId105" Type="http://schemas.openxmlformats.org/officeDocument/2006/relationships/hyperlink" Target="https://www.ancestry.co.uk/family-tree/person/tree/163868056/person/342261984363/facts" TargetMode="External"/><Relationship Id="rId147" Type="http://schemas.openxmlformats.org/officeDocument/2006/relationships/hyperlink" Target="https://www.ancestry.co.uk/discoveryui-matches/compare/50A7C5EF-9E94-44BE-A86A-5736956A97F2/with/0F062E66-6FA1-4926-A2F4-2FA340B56865" TargetMode="External"/><Relationship Id="rId312" Type="http://schemas.openxmlformats.org/officeDocument/2006/relationships/hyperlink" Target="https://dnapainter.com/tools/sharedcmv4/11?fbclid=IwAR3wqfKWVRq1DI_x4i7OjYx5ayGhdwQu5Tj-9K3u_CVvBxgEWwX7fHipJPs" TargetMode="External"/><Relationship Id="rId354" Type="http://schemas.openxmlformats.org/officeDocument/2006/relationships/hyperlink" Target="https://dnapainter.com/tools/sharedcmv4/19?fbclid=IwAR3wqfKWVRq1DI_x4i7OjYx5ayGhdwQu5Tj-9K3u_CVvBxgEWwX7fHipJPs" TargetMode="External"/><Relationship Id="rId51" Type="http://schemas.openxmlformats.org/officeDocument/2006/relationships/hyperlink" Target="https://www.ancestry.co.uk/family-tree/person/tree/163868056/person/342132992964/facts" TargetMode="External"/><Relationship Id="rId93" Type="http://schemas.openxmlformats.org/officeDocument/2006/relationships/hyperlink" Target="https://www.ancestry.co.uk/family-tree/person/tree/163868056/person/342261984355/facts" TargetMode="External"/><Relationship Id="rId189" Type="http://schemas.openxmlformats.org/officeDocument/2006/relationships/hyperlink" Target="https://you.23andme.com/profile/3abbdb084319ec95/" TargetMode="External"/><Relationship Id="rId396" Type="http://schemas.openxmlformats.org/officeDocument/2006/relationships/hyperlink" Target="https://www.ancestry.co.uk/family-tree/person/tree/163868056/person/342261984355/facts" TargetMode="External"/><Relationship Id="rId214" Type="http://schemas.openxmlformats.org/officeDocument/2006/relationships/hyperlink" Target="https://www.ancestry.co.uk/family-tree/tree/163868056/family?cfpid=342262010735" TargetMode="External"/><Relationship Id="rId256" Type="http://schemas.openxmlformats.org/officeDocument/2006/relationships/hyperlink" Target="https://www.ancestry.co.uk/family-tree/tree/163868056/family?cfpid=342263770024" TargetMode="External"/><Relationship Id="rId298" Type="http://schemas.openxmlformats.org/officeDocument/2006/relationships/hyperlink" Target="https://dnapainter.com/tools/sharedcmv4/9?fbclid=IwAR3wqfKWVRq1DI_x4i7OjYx5ayGhdwQu5Tj-9K3u_CVvBxgEWwX7fHipJPs" TargetMode="External"/><Relationship Id="rId421" Type="http://schemas.openxmlformats.org/officeDocument/2006/relationships/hyperlink" Target="https://www.ancestry.co.uk/family-tree/person/tree/163868056/person/342132992964/facts" TargetMode="External"/><Relationship Id="rId463" Type="http://schemas.openxmlformats.org/officeDocument/2006/relationships/hyperlink" Target="https://www.ancestry.co.uk/family-tree/person/tree/163868056/person/342132992964/facts" TargetMode="External"/><Relationship Id="rId116" Type="http://schemas.openxmlformats.org/officeDocument/2006/relationships/hyperlink" Target="https://www.ancestry.co.uk/family-tree/person/tree/163868056/person/342261984363/facts" TargetMode="External"/><Relationship Id="rId137" Type="http://schemas.openxmlformats.org/officeDocument/2006/relationships/hyperlink" Target="https://www.ancestry.co.uk/discoveryui-matches/compare/50A7C5EF-9E94-44BE-A86A-5736956A97F2/with/D068D463-EF5D-4365-847E-2CDF99433319" TargetMode="External"/><Relationship Id="rId158" Type="http://schemas.openxmlformats.org/officeDocument/2006/relationships/hyperlink" Target="https://www.ancestry.co.uk/discoveryui-matches/compare/50a7c5ef-9e94-44be-a86a-5736956a97f2/with/6c2b26b0-a640-401f-bcfa-40da4416a413" TargetMode="External"/><Relationship Id="rId302" Type="http://schemas.openxmlformats.org/officeDocument/2006/relationships/hyperlink" Target="https://dnapainter.com/tools/sharedcmv4/10?fbclid=IwAR3wqfKWVRq1DI_x4i7OjYx5ayGhdwQu5Tj-9K3u_CVvBxgEWwX7fHipJPs" TargetMode="External"/><Relationship Id="rId323" Type="http://schemas.openxmlformats.org/officeDocument/2006/relationships/hyperlink" Target="https://dnapainter.com/tools/sharedcmv4/12?fbclid=IwAR3wqfKWVRq1DI_x4i7OjYx5ayGhdwQu5Tj-9K3u_CVvBxgEWwX7fHipJPs" TargetMode="External"/><Relationship Id="rId344" Type="http://schemas.openxmlformats.org/officeDocument/2006/relationships/hyperlink" Target="https://dnapainter.com/tools/sharedcmv4/15?fbclid=IwAR3wqfKWVRq1DI_x4i7OjYx5ayGhdwQu5Tj-9K3u_CVvBxgEWwX7fHipJPs" TargetMode="External"/><Relationship Id="rId20" Type="http://schemas.openxmlformats.org/officeDocument/2006/relationships/hyperlink" Target="https://www.ancestry.co.uk/family-tree/person/tree/163868056/person/342132992964/facts" TargetMode="External"/><Relationship Id="rId41" Type="http://schemas.openxmlformats.org/officeDocument/2006/relationships/hyperlink" Target="https://www.ancestry.co.uk/family-tree/person/tree/163868056/person/342132992964/facts" TargetMode="External"/><Relationship Id="rId62" Type="http://schemas.openxmlformats.org/officeDocument/2006/relationships/hyperlink" Target="https://www.ancestry.co.uk/family-tree/person/tree/163868056/person/342132992964/facts" TargetMode="External"/><Relationship Id="rId83" Type="http://schemas.openxmlformats.org/officeDocument/2006/relationships/hyperlink" Target="https://www.ancestry.co.uk/family-tree/person/tree/163868056/person/342261984355/facts" TargetMode="External"/><Relationship Id="rId179" Type="http://schemas.openxmlformats.org/officeDocument/2006/relationships/hyperlink" Target="https://www.ancestry.co.uk/discoveryui-matches/compare/50A7C5EF-9E94-44BE-A86A-5736956A97F2/with/D6E5C43E-21DB-4B1C-A408-8EC8A6231C37" TargetMode="External"/><Relationship Id="rId365" Type="http://schemas.openxmlformats.org/officeDocument/2006/relationships/hyperlink" Target="https://dnapainter.com/tools/sharedcmv4/21?fbclid=IwAR3wqfKWVRq1DI_x4i7OjYx5ayGhdwQu5Tj-9K3u_CVvBxgEWwX7fHipJPs" TargetMode="External"/><Relationship Id="rId386" Type="http://schemas.openxmlformats.org/officeDocument/2006/relationships/hyperlink" Target="https://www.ancestry.co.uk/discoveryui-matches/compare/50A7C5EF-9E94-44BE-A86A-5736956A97F2/with/3C9F1BC1-2C94-4022-B09A-661D0A372726" TargetMode="External"/><Relationship Id="rId190" Type="http://schemas.openxmlformats.org/officeDocument/2006/relationships/hyperlink" Target="https://www.myheritage.com/dna/match/D-F9099B9B-87A1-4274-827C-AF35BD245736-D-BAFE4BB4-912C-43D7-879A-E894EAECCA11/691113321?p=1&amp;ps=10&amp;search=nicole%20wilkins&amp;sort=total_shared_segments_length_in_cm&amp;memberId=704364871" TargetMode="External"/><Relationship Id="rId204" Type="http://schemas.openxmlformats.org/officeDocument/2006/relationships/hyperlink" Target="https://www.ancestry.co.uk/family-tree/tree/163868056/family?cfpid=342288559960" TargetMode="External"/><Relationship Id="rId225" Type="http://schemas.openxmlformats.org/officeDocument/2006/relationships/hyperlink" Target="https://www.ancestry.co.uk/family-tree/tree/163868056/family?cfpid=342263995439" TargetMode="External"/><Relationship Id="rId246" Type="http://schemas.openxmlformats.org/officeDocument/2006/relationships/hyperlink" Target="https://www.ancestry.co.uk/family-tree/tree/163868056/family?cfpid=342262002706" TargetMode="External"/><Relationship Id="rId267" Type="http://schemas.openxmlformats.org/officeDocument/2006/relationships/hyperlink" Target="https://www.ancestry.co.uk/family-tree/person/tree/163868056/person/342132992964/facts" TargetMode="External"/><Relationship Id="rId288" Type="http://schemas.openxmlformats.org/officeDocument/2006/relationships/hyperlink" Target="https://dnapainter.com/tools/sharedcmv4/8?fbclid=IwAR3wqfKWVRq1DI_x4i7OjYx5ayGhdwQu5Tj-9K3u_CVvBxgEWwX7fHipJPs" TargetMode="External"/><Relationship Id="rId411" Type="http://schemas.openxmlformats.org/officeDocument/2006/relationships/hyperlink" Target="https://www.ancestry.co.uk/family-tree/person/tree/163868056/person/342261984363/facts" TargetMode="External"/><Relationship Id="rId432" Type="http://schemas.openxmlformats.org/officeDocument/2006/relationships/hyperlink" Target="https://dnapainter.com/tools/sharedcmv4/17?fbclid=IwAR3wqfKWVRq1DI_x4i7OjYx5ayGhdwQu5Tj-9K3u_CVvBxgEWwX7fHipJPs" TargetMode="External"/><Relationship Id="rId453" Type="http://schemas.openxmlformats.org/officeDocument/2006/relationships/hyperlink" Target="https://dnapainter.com/tools/sharedcmv4/12?fbclid=IwAR3wqfKWVRq1DI_x4i7OjYx5ayGhdwQu5Tj-9K3u_CVvBxgEWwX7fHipJPs" TargetMode="External"/><Relationship Id="rId474" Type="http://schemas.openxmlformats.org/officeDocument/2006/relationships/hyperlink" Target="https://www.ancestry.co.uk/family-tree/tree/163868056/family/pedigree?cfpid=342601355668" TargetMode="External"/><Relationship Id="rId106" Type="http://schemas.openxmlformats.org/officeDocument/2006/relationships/hyperlink" Target="https://www.ancestry.co.uk/family-tree/person/tree/163868056/person/342261984363/facts" TargetMode="External"/><Relationship Id="rId127" Type="http://schemas.openxmlformats.org/officeDocument/2006/relationships/hyperlink" Target="https://www.ancestry.co.uk/family-tree/person/tree/163868056/person/342262490013/facts" TargetMode="External"/><Relationship Id="rId313" Type="http://schemas.openxmlformats.org/officeDocument/2006/relationships/hyperlink" Target="https://dnapainter.com/tools/sharedcmv4/11?fbclid=IwAR3wqfKWVRq1DI_x4i7OjYx5ayGhdwQu5Tj-9K3u_CVvBxgEWwX7fHipJPs" TargetMode="External"/><Relationship Id="rId10" Type="http://schemas.openxmlformats.org/officeDocument/2006/relationships/hyperlink" Target="https://www.ancestry.co.uk/family-tree/person/tree/163868056/person/342132992964/facts" TargetMode="External"/><Relationship Id="rId31" Type="http://schemas.openxmlformats.org/officeDocument/2006/relationships/hyperlink" Target="https://www.ancestry.co.uk/family-tree/person/tree/163868056/person/342132992964/facts" TargetMode="External"/><Relationship Id="rId52" Type="http://schemas.openxmlformats.org/officeDocument/2006/relationships/hyperlink" Target="https://www.ancestry.co.uk/family-tree/person/tree/163868056/person/342132992964/facts" TargetMode="External"/><Relationship Id="rId73" Type="http://schemas.openxmlformats.org/officeDocument/2006/relationships/hyperlink" Target="https://www.ancestry.co.uk/family-tree/person/tree/163868056/person/342261984355/facts" TargetMode="External"/><Relationship Id="rId94" Type="http://schemas.openxmlformats.org/officeDocument/2006/relationships/hyperlink" Target="https://www.ancestry.co.uk/family-tree/person/tree/163868056/person/342261984355/facts" TargetMode="External"/><Relationship Id="rId148" Type="http://schemas.openxmlformats.org/officeDocument/2006/relationships/hyperlink" Target="https://www.ancestry.co.uk/discoveryui-matches/compare/50A7C5EF-9E94-44BE-A86A-5736956A97F2/with/FCC731C0-96A8-4FF2-AFA7-D4D91BFBF25B" TargetMode="External"/><Relationship Id="rId169" Type="http://schemas.openxmlformats.org/officeDocument/2006/relationships/hyperlink" Target="https://www.ancestry.co.uk/discoveryui-matches/compare/50A7C5EF-9E94-44BE-A86A-5736956A97F2/with/95570E8C-6FBA-4DAE-8B89-4099646CFAD2" TargetMode="External"/><Relationship Id="rId334" Type="http://schemas.openxmlformats.org/officeDocument/2006/relationships/hyperlink" Target="https://dnapainter.com/tools/sharedcmv4/14?fbclid=IwAR3wqfKWVRq1DI_x4i7OjYx5ayGhdwQu5Tj-9K3u_CVvBxgEWwX7fHipJPs" TargetMode="External"/><Relationship Id="rId355" Type="http://schemas.openxmlformats.org/officeDocument/2006/relationships/hyperlink" Target="https://dnapainter.com/tools/sharedcmv4/19?fbclid=IwAR3wqfKWVRq1DI_x4i7OjYx5ayGhdwQu5Tj-9K3u_CVvBxgEWwX7fHipJPs" TargetMode="External"/><Relationship Id="rId376" Type="http://schemas.openxmlformats.org/officeDocument/2006/relationships/hyperlink" Target="https://dnapainter.com/tools/sharedcmv4/25?fbclid=IwAR3wqfKWVRq1DI_x4i7OjYx5ayGhdwQu5Tj-9K3u_CVvBxgEWwX7fHipJPs" TargetMode="External"/><Relationship Id="rId397" Type="http://schemas.openxmlformats.org/officeDocument/2006/relationships/hyperlink" Target="https://www.ancestry.co.uk/family-tree/person/tree/163868056/person/342261984363/facts" TargetMode="External"/><Relationship Id="rId4" Type="http://schemas.openxmlformats.org/officeDocument/2006/relationships/hyperlink" Target="https://www.ancestry.co.uk/family-tree/person/tree/163868056/person/342132992964/facts" TargetMode="External"/><Relationship Id="rId180" Type="http://schemas.openxmlformats.org/officeDocument/2006/relationships/hyperlink" Target="https://www.ancestry.co.uk/discoveryui-matches/compare/50A7C5EF-9E94-44BE-A86A-5736956A97F2/with/93357448-564F-4877-83AD-8CD05317E65E" TargetMode="External"/><Relationship Id="rId215" Type="http://schemas.openxmlformats.org/officeDocument/2006/relationships/hyperlink" Target="https://www.ancestry.co.uk/family-tree/tree/163868056/family?cfpid=342261994509" TargetMode="External"/><Relationship Id="rId236" Type="http://schemas.openxmlformats.org/officeDocument/2006/relationships/hyperlink" Target="https://www.ancestry.co.uk/family-tree/tree/163868056/family?cfpid=342269985094" TargetMode="External"/><Relationship Id="rId257" Type="http://schemas.openxmlformats.org/officeDocument/2006/relationships/hyperlink" Target="https://www.ancestry.co.uk/family-tree/tree/163868056/family?cfpid=342263775111" TargetMode="External"/><Relationship Id="rId278" Type="http://schemas.openxmlformats.org/officeDocument/2006/relationships/hyperlink" Target="https://dnapainter.com/tools/sharedcmv4/7?fbclid=IwAR3wqfKWVRq1DI_x4i7OjYx5ayGhdwQu5Tj-9K3u_CVvBxgEWwX7fHipJPs" TargetMode="External"/><Relationship Id="rId401" Type="http://schemas.openxmlformats.org/officeDocument/2006/relationships/hyperlink" Target="https://www.ancestry.co.uk/family-tree/person/tree/163868056/person/342132992964/facts" TargetMode="External"/><Relationship Id="rId422" Type="http://schemas.openxmlformats.org/officeDocument/2006/relationships/hyperlink" Target="https://www.ancestry.co.uk/discoveryui-matches/compare/50a7c5ef-9e94-44be-a86a-5736956a97f2/with/b0c30aa9-40f2-4217-86a8-24a81d40b06b" TargetMode="External"/><Relationship Id="rId443" Type="http://schemas.openxmlformats.org/officeDocument/2006/relationships/hyperlink" Target="https://dnapainter.com/tools/sharedcmv4/16?fbclid=IwAR3wqfKWVRq1DI_x4i7OjYx5ayGhdwQu5Tj-9K3u_CVvBxgEWwX7fHipJPs" TargetMode="External"/><Relationship Id="rId464" Type="http://schemas.openxmlformats.org/officeDocument/2006/relationships/hyperlink" Target="https://www.ancestry.co.uk/discoveryui-matches/compare/50a7c5ef-9e94-44be-a86a-5736956a97f2/with/18712c46-b988-4a54-9f3b-ec381bf7084e" TargetMode="External"/><Relationship Id="rId303" Type="http://schemas.openxmlformats.org/officeDocument/2006/relationships/hyperlink" Target="https://dnapainter.com/tools/sharedcmv4/10?fbclid=IwAR3wqfKWVRq1DI_x4i7OjYx5ayGhdwQu5Tj-9K3u_CVvBxgEWwX7fHipJPs" TargetMode="External"/><Relationship Id="rId485" Type="http://schemas.openxmlformats.org/officeDocument/2006/relationships/hyperlink" Target="https://www.ancestry.co.uk/family-tree/person/tree/163868056/person/342132992964/facts" TargetMode="External"/><Relationship Id="rId42" Type="http://schemas.openxmlformats.org/officeDocument/2006/relationships/hyperlink" Target="https://www.ancestry.co.uk/family-tree/person/tree/163868056/person/342132992964/facts" TargetMode="External"/><Relationship Id="rId84" Type="http://schemas.openxmlformats.org/officeDocument/2006/relationships/hyperlink" Target="https://www.ancestry.co.uk/family-tree/person/tree/163868056/person/342261984355/facts" TargetMode="External"/><Relationship Id="rId138" Type="http://schemas.openxmlformats.org/officeDocument/2006/relationships/hyperlink" Target="https://www.ancestry.co.uk/discoveryui-matches/compare/50a7c5ef-9e94-44be-a86a-5736956a97f2/with/548627e6-3029-4c1c-8531-11a22cd51737" TargetMode="External"/><Relationship Id="rId345" Type="http://schemas.openxmlformats.org/officeDocument/2006/relationships/hyperlink" Target="https://dnapainter.com/tools/sharedcmv4/15?fbclid=IwAR3wqfKWVRq1DI_x4i7OjYx5ayGhdwQu5Tj-9K3u_CVvBxgEWwX7fHipJPs" TargetMode="External"/><Relationship Id="rId387" Type="http://schemas.openxmlformats.org/officeDocument/2006/relationships/hyperlink" Target="https://dnapainter.com/tools/sharedcmv4/11?fbclid=IwAR3wqfKWVRq1DI_x4i7OjYx5ayGhdwQu5Tj-9K3u_CVvBxgEWwX7fHipJPs" TargetMode="External"/><Relationship Id="rId191" Type="http://schemas.openxmlformats.org/officeDocument/2006/relationships/hyperlink" Target="https://www.myheritage.com/dna/match/D-F9099B9B-87A1-4274-827C-AF35BD245736-D-4BD8F740-B494-4083-9646-92509479FE28/691113321?mode=shared" TargetMode="External"/><Relationship Id="rId205" Type="http://schemas.openxmlformats.org/officeDocument/2006/relationships/hyperlink" Target="https://www.ancestry.co.uk/family-tree/tree/163868056/family?cfpid=342262192537" TargetMode="External"/><Relationship Id="rId247" Type="http://schemas.openxmlformats.org/officeDocument/2006/relationships/hyperlink" Target="https://www.ancestry.co.uk/family-tree/tree/163868056/family?cfpid=342263629644" TargetMode="External"/><Relationship Id="rId412" Type="http://schemas.openxmlformats.org/officeDocument/2006/relationships/hyperlink" Target="https://www.ancestry.co.uk/discoveryui-matches/compare/50A7C5EF-9E94-44BE-A86A-5736956A97F2/with/78877C8C-4389-40BF-862B-A67EB9699709" TargetMode="External"/><Relationship Id="rId107" Type="http://schemas.openxmlformats.org/officeDocument/2006/relationships/hyperlink" Target="https://www.ancestry.co.uk/family-tree/person/tree/163868056/person/342261984363/facts" TargetMode="External"/><Relationship Id="rId289" Type="http://schemas.openxmlformats.org/officeDocument/2006/relationships/hyperlink" Target="https://dnapainter.com/tools/sharedcmv4/8?fbclid=IwAR3wqfKWVRq1DI_x4i7OjYx5ayGhdwQu5Tj-9K3u_CVvBxgEWwX7fHipJPs" TargetMode="External"/><Relationship Id="rId454" Type="http://schemas.openxmlformats.org/officeDocument/2006/relationships/hyperlink" Target="https://www.ancestry.co.uk/family-tree/tree/163868056/family/pedigree?cfpid=342602105636" TargetMode="External"/><Relationship Id="rId11" Type="http://schemas.openxmlformats.org/officeDocument/2006/relationships/hyperlink" Target="https://www.ancestry.co.uk/family-tree/person/tree/163868056/person/342132992964/facts" TargetMode="External"/><Relationship Id="rId53" Type="http://schemas.openxmlformats.org/officeDocument/2006/relationships/hyperlink" Target="https://www.ancestry.co.uk/family-tree/person/tree/163868056/person/342132992964/facts" TargetMode="External"/><Relationship Id="rId149" Type="http://schemas.openxmlformats.org/officeDocument/2006/relationships/hyperlink" Target="https://www.ancestry.co.uk/discoveryui-matches/compare/50A7C5EF-9E94-44BE-A86A-5736956A97F2/with/9321DC26-5641-4F2B-9A66-2E900FEA987D" TargetMode="External"/><Relationship Id="rId314" Type="http://schemas.openxmlformats.org/officeDocument/2006/relationships/hyperlink" Target="https://dnapainter.com/tools/sharedcmv4/11?fbclid=IwAR3wqfKWVRq1DI_x4i7OjYx5ayGhdwQu5Tj-9K3u_CVvBxgEWwX7fHipJPs" TargetMode="External"/><Relationship Id="rId356" Type="http://schemas.openxmlformats.org/officeDocument/2006/relationships/hyperlink" Target="https://dnapainter.com/tools/sharedcmv4/19?fbclid=IwAR3wqfKWVRq1DI_x4i7OjYx5ayGhdwQu5Tj-9K3u_CVvBxgEWwX7fHipJPs" TargetMode="External"/><Relationship Id="rId398" Type="http://schemas.openxmlformats.org/officeDocument/2006/relationships/hyperlink" Target="https://www.ancestry.co.uk/discoveryui-matches/compare/50a7c5ef-9e94-44be-a86a-5736956a97f2/with/df1b705e-c407-4a23-8d25-e8d9646e7d93" TargetMode="External"/><Relationship Id="rId95" Type="http://schemas.openxmlformats.org/officeDocument/2006/relationships/hyperlink" Target="https://www.ancestry.co.uk/family-tree/person/tree/163868056/person/342261984355/facts" TargetMode="External"/><Relationship Id="rId160" Type="http://schemas.openxmlformats.org/officeDocument/2006/relationships/hyperlink" Target="https://www.ancestry.co.uk/discoveryui-matches/compare/50a7c5ef-9e94-44be-a86a-5736956a97f2/with/696148c9-87b0-4b20-b7ec-c4645458ff07" TargetMode="External"/><Relationship Id="rId216" Type="http://schemas.openxmlformats.org/officeDocument/2006/relationships/hyperlink" Target="https://www.ancestry.co.uk/family-tree/tree/163868056/family?cfpid=342266893239" TargetMode="External"/><Relationship Id="rId423" Type="http://schemas.openxmlformats.org/officeDocument/2006/relationships/hyperlink" Target="https://dnapainter.com/tools/sharedcmv4/19?fbclid=IwAR3wqfKWVRq1DI_x4i7OjYx5ayGhdwQu5Tj-9K3u_CVvBxgEWwX7fHipJPs" TargetMode="External"/><Relationship Id="rId258" Type="http://schemas.openxmlformats.org/officeDocument/2006/relationships/hyperlink" Target="https://www.ancestry.co.uk/family-tree/tree/163868056/family?cfpid=342263830957" TargetMode="External"/><Relationship Id="rId465" Type="http://schemas.openxmlformats.org/officeDocument/2006/relationships/hyperlink" Target="https://www.ancestry.co.uk/family-tree/tree/163868056/family/pedigree?cfpid=342602110638" TargetMode="External"/><Relationship Id="rId22" Type="http://schemas.openxmlformats.org/officeDocument/2006/relationships/hyperlink" Target="https://www.ancestry.co.uk/family-tree/person/tree/163868056/person/342132992964/facts" TargetMode="External"/><Relationship Id="rId64" Type="http://schemas.openxmlformats.org/officeDocument/2006/relationships/hyperlink" Target="https://www.ancestry.co.uk/family-tree/person/tree/163868056/person/342132992970/facts" TargetMode="External"/><Relationship Id="rId118" Type="http://schemas.openxmlformats.org/officeDocument/2006/relationships/hyperlink" Target="https://www.ancestry.co.uk/family-tree/person/tree/163868056/person/342261984363/facts" TargetMode="External"/><Relationship Id="rId325" Type="http://schemas.openxmlformats.org/officeDocument/2006/relationships/hyperlink" Target="https://dnapainter.com/tools/sharedcmv4/13?fbclid=IwAR3wqfKWVRq1DI_x4i7OjYx5ayGhdwQu5Tj-9K3u_CVvBxgEWwX7fHipJPs" TargetMode="External"/><Relationship Id="rId367" Type="http://schemas.openxmlformats.org/officeDocument/2006/relationships/hyperlink" Target="https://dnapainter.com/tools/sharedcmv4/22?fbclid=IwAR3wqfKWVRq1DI_x4i7OjYx5ayGhdwQu5Tj-9K3u_CVvBxgEWwX7fHipJPs" TargetMode="External"/><Relationship Id="rId171" Type="http://schemas.openxmlformats.org/officeDocument/2006/relationships/hyperlink" Target="https://www.ancestry.co.uk/discoveryui-matches/compare/50A7C5EF-9E94-44BE-A86A-5736956A97F2/with/79B9DE3D-F99E-4057-B5A5-C3805D78F658" TargetMode="External"/><Relationship Id="rId227" Type="http://schemas.openxmlformats.org/officeDocument/2006/relationships/hyperlink" Target="https://www.ancestry.co.uk/family-tree/tree/163868056/family?cfpid=342262011613" TargetMode="External"/><Relationship Id="rId269" Type="http://schemas.openxmlformats.org/officeDocument/2006/relationships/hyperlink" Target="https://www.ancestry.co.uk/family-tree/tree/163868056/family/pedigree?cfpid=342383941715" TargetMode="External"/><Relationship Id="rId434" Type="http://schemas.openxmlformats.org/officeDocument/2006/relationships/hyperlink" Target="https://www.ancestry.co.uk/family-tree/person/tree/163868056/person/342261984355/facts" TargetMode="External"/><Relationship Id="rId476" Type="http://schemas.openxmlformats.org/officeDocument/2006/relationships/hyperlink" Target="https://www.ancestry.co.uk/discoveryui-matches/compare/50a7c5ef-9e94-44be-a86a-5736956a97f2/with/40c84ad8-f934-4e74-b5ee-cc094c91e83a" TargetMode="External"/><Relationship Id="rId33" Type="http://schemas.openxmlformats.org/officeDocument/2006/relationships/hyperlink" Target="https://www.ancestry.co.uk/family-tree/person/tree/163868056/person/342132992964/facts" TargetMode="External"/><Relationship Id="rId129" Type="http://schemas.openxmlformats.org/officeDocument/2006/relationships/hyperlink" Target="https://www.ancestry.co.uk/family-tree/person/tree/163868056/person/342262490013/facts" TargetMode="External"/><Relationship Id="rId280" Type="http://schemas.openxmlformats.org/officeDocument/2006/relationships/hyperlink" Target="https://dnapainter.com/tools/sharedcmv4/7?fbclid=IwAR3wqfKWVRq1DI_x4i7OjYx5ayGhdwQu5Tj-9K3u_CVvBxgEWwX7fHipJPs" TargetMode="External"/><Relationship Id="rId336" Type="http://schemas.openxmlformats.org/officeDocument/2006/relationships/hyperlink" Target="https://dnapainter.com/tools/sharedcmv4/14?fbclid=IwAR3wqfKWVRq1DI_x4i7OjYx5ayGhdwQu5Tj-9K3u_CVvBxgEWwX7fHipJPs" TargetMode="External"/><Relationship Id="rId75" Type="http://schemas.openxmlformats.org/officeDocument/2006/relationships/hyperlink" Target="https://www.ancestry.co.uk/family-tree/person/tree/163868056/person/342261984355/facts" TargetMode="External"/><Relationship Id="rId140" Type="http://schemas.openxmlformats.org/officeDocument/2006/relationships/hyperlink" Target="https://www.ancestry.co.uk/discoveryui-matches/compare/50A7C5EF-9E94-44BE-A86A-5736956A97F2/with/89F2C2A1-1F89-4CB4-B29E-1E3EA554FBDF" TargetMode="External"/><Relationship Id="rId182" Type="http://schemas.openxmlformats.org/officeDocument/2006/relationships/hyperlink" Target="https://www.ancestry.co.uk/discoveryui-matches/compare/50A7C5EF-9E94-44BE-A86A-5736956A97F2/with/5599028C-F054-4269-935C-1F32B78175FF" TargetMode="External"/><Relationship Id="rId378" Type="http://schemas.openxmlformats.org/officeDocument/2006/relationships/hyperlink" Target="https://dnapainter.com/tools/sharedcmv4/27?fbclid=IwAR3wqfKWVRq1DI_x4i7OjYx5ayGhdwQu5Tj-9K3u_CVvBxgEWwX7fHipJPs" TargetMode="External"/><Relationship Id="rId403" Type="http://schemas.openxmlformats.org/officeDocument/2006/relationships/hyperlink" Target="https://www.ancestry.co.uk/family-tree/person/tree/163868056/person/342261984363/facts" TargetMode="External"/><Relationship Id="rId6" Type="http://schemas.openxmlformats.org/officeDocument/2006/relationships/hyperlink" Target="https://www.ancestry.co.uk/family-tree/person/tree/163868056/person/342132992964/facts" TargetMode="External"/><Relationship Id="rId238" Type="http://schemas.openxmlformats.org/officeDocument/2006/relationships/hyperlink" Target="https://www.ancestry.co.uk/family-tree/tree/163868056/family?cfpid=342261997272" TargetMode="External"/><Relationship Id="rId445" Type="http://schemas.openxmlformats.org/officeDocument/2006/relationships/hyperlink" Target="https://www.ancestry.co.uk/family-tree/person/tree/163868056/person/342132992964/facts" TargetMode="External"/><Relationship Id="rId487" Type="http://schemas.openxmlformats.org/officeDocument/2006/relationships/hyperlink" Target="https://www.ancestry.co.uk/family-tree/tree/163868056/family/pedigree?cfpid=342602234934" TargetMode="External"/><Relationship Id="rId291" Type="http://schemas.openxmlformats.org/officeDocument/2006/relationships/hyperlink" Target="https://dnapainter.com/tools/sharedcmv4/8?fbclid=IwAR3wqfKWVRq1DI_x4i7OjYx5ayGhdwQu5Tj-9K3u_CVvBxgEWwX7fHipJPs" TargetMode="External"/><Relationship Id="rId305" Type="http://schemas.openxmlformats.org/officeDocument/2006/relationships/hyperlink" Target="https://dnapainter.com/tools/sharedcmv4/10?fbclid=IwAR3wqfKWVRq1DI_x4i7OjYx5ayGhdwQu5Tj-9K3u_CVvBxgEWwX7fHipJPs" TargetMode="External"/><Relationship Id="rId347" Type="http://schemas.openxmlformats.org/officeDocument/2006/relationships/hyperlink" Target="https://dnapainter.com/tools/sharedcmv4/15?fbclid=IwAR3wqfKWVRq1DI_x4i7OjYx5ayGhdwQu5Tj-9K3u_CVvBxgEWwX7fHipJPs" TargetMode="External"/><Relationship Id="rId44" Type="http://schemas.openxmlformats.org/officeDocument/2006/relationships/hyperlink" Target="https://www.ancestry.co.uk/family-tree/person/tree/163868056/person/342132992964/facts" TargetMode="External"/><Relationship Id="rId86" Type="http://schemas.openxmlformats.org/officeDocument/2006/relationships/hyperlink" Target="https://www.ancestry.co.uk/family-tree/person/tree/163868056/person/342261984355/facts" TargetMode="External"/><Relationship Id="rId151" Type="http://schemas.openxmlformats.org/officeDocument/2006/relationships/hyperlink" Target="https://www.ancestry.co.uk/discoveryui-matches/compare/50A7C5EF-9E94-44BE-A86A-5736956A97F2/with/B219217D-117F-4233-99D6-BBCB9F82DF2F" TargetMode="External"/><Relationship Id="rId389" Type="http://schemas.openxmlformats.org/officeDocument/2006/relationships/hyperlink" Target="https://www.ancestry.co.uk/family-tree/person/tree/163868056/person/342132992964/facts" TargetMode="External"/><Relationship Id="rId193" Type="http://schemas.openxmlformats.org/officeDocument/2006/relationships/hyperlink" Target="https://www.ancestry.co.uk/discoveryui-matches/compare/50A7C5EF-9E94-44BE-A86A-5736956A97F2/with/E8B0DC46-789C-4F6A-A0CD-EE5866E34F43" TargetMode="External"/><Relationship Id="rId207" Type="http://schemas.openxmlformats.org/officeDocument/2006/relationships/hyperlink" Target="https://www.ancestry.co.uk/family-tree/tree/163868056/family?cfpid=342268898679" TargetMode="External"/><Relationship Id="rId249" Type="http://schemas.openxmlformats.org/officeDocument/2006/relationships/hyperlink" Target="https://www.ancestry.co.uk/family-tree/tree/163868056/family?cfpid=342476553664" TargetMode="External"/><Relationship Id="rId414" Type="http://schemas.openxmlformats.org/officeDocument/2006/relationships/hyperlink" Target="https://www.ancestry.co.uk/family-tree/tree/163868056/family/pedigree?cfpid=342601361253" TargetMode="External"/><Relationship Id="rId456" Type="http://schemas.openxmlformats.org/officeDocument/2006/relationships/hyperlink" Target="https://www.ancestry.co.uk/discoveryui-matches/compare/50a7c5ef-9e94-44be-a86a-5736956a97f2/with/f8684d94-58b2-4b75-92ae-8e8ee0888a29" TargetMode="External"/><Relationship Id="rId13" Type="http://schemas.openxmlformats.org/officeDocument/2006/relationships/hyperlink" Target="https://www.ancestry.co.uk/family-tree/person/tree/163868056/person/342132992964/facts" TargetMode="External"/><Relationship Id="rId109" Type="http://schemas.openxmlformats.org/officeDocument/2006/relationships/hyperlink" Target="https://www.ancestry.co.uk/family-tree/person/tree/163868056/person/342261984363/facts" TargetMode="External"/><Relationship Id="rId260" Type="http://schemas.openxmlformats.org/officeDocument/2006/relationships/hyperlink" Target="https://www.ancestry.co.uk/family-tree/tree/163868056/family?cfpid=342265140239" TargetMode="External"/><Relationship Id="rId316" Type="http://schemas.openxmlformats.org/officeDocument/2006/relationships/hyperlink" Target="https://dnapainter.com/tools/sharedcmv4/11?fbclid=IwAR3wqfKWVRq1DI_x4i7OjYx5ayGhdwQu5Tj-9K3u_CVvBxgEWwX7fHipJPs" TargetMode="External"/><Relationship Id="rId55" Type="http://schemas.openxmlformats.org/officeDocument/2006/relationships/hyperlink" Target="https://www.ancestry.co.uk/family-tree/person/tree/163868056/person/342132992964/facts" TargetMode="External"/><Relationship Id="rId97" Type="http://schemas.openxmlformats.org/officeDocument/2006/relationships/hyperlink" Target="https://www.ancestry.co.uk/family-tree/person/tree/163868056/person/342261984355/facts" TargetMode="External"/><Relationship Id="rId120" Type="http://schemas.openxmlformats.org/officeDocument/2006/relationships/hyperlink" Target="https://www.ancestry.co.uk/family-tree/person/tree/163868056/person/342261984363/facts" TargetMode="External"/><Relationship Id="rId358" Type="http://schemas.openxmlformats.org/officeDocument/2006/relationships/hyperlink" Target="https://dnapainter.com/tools/sharedcmv4/19?fbclid=IwAR3wqfKWVRq1DI_x4i7OjYx5ayGhdwQu5Tj-9K3u_CVvBxgEWwX7fHipJPs" TargetMode="External"/><Relationship Id="rId162" Type="http://schemas.openxmlformats.org/officeDocument/2006/relationships/hyperlink" Target="https://www.ancestry.co.uk/discoveryui-matches/compare/50A7C5EF-9E94-44BE-A86A-5736956A97F2/with/13082B5D-7D86-4C5C-ACD4-DE214B048E2B" TargetMode="External"/><Relationship Id="rId218" Type="http://schemas.openxmlformats.org/officeDocument/2006/relationships/hyperlink" Target="https://www.ancestry.co.uk/family-tree/tree/163868056/family?cfpid=342265807731" TargetMode="External"/><Relationship Id="rId425" Type="http://schemas.openxmlformats.org/officeDocument/2006/relationships/hyperlink" Target="https://www.ancestry.co.uk/family-tree/person/tree/163868056/person/342261984363/facts" TargetMode="External"/><Relationship Id="rId467" Type="http://schemas.openxmlformats.org/officeDocument/2006/relationships/hyperlink" Target="https://www.ancestry.co.uk/family-tree/person/tree/163868056/person/342132992964/facts" TargetMode="External"/><Relationship Id="rId271" Type="http://schemas.openxmlformats.org/officeDocument/2006/relationships/hyperlink" Target="https://www.ancestry.co.uk/discoveryui-matches/compare/50a7c5ef-9e94-44be-a86a-5736956a97f2/with/fc6585a1-d83e-4d6f-839d-a436ba95158e" TargetMode="External"/><Relationship Id="rId24" Type="http://schemas.openxmlformats.org/officeDocument/2006/relationships/hyperlink" Target="https://www.ancestry.co.uk/family-tree/person/tree/163868056/person/342132992964/facts" TargetMode="External"/><Relationship Id="rId66" Type="http://schemas.openxmlformats.org/officeDocument/2006/relationships/hyperlink" Target="https://www.ancestry.co.uk/family-tree/person/tree/163868056/person/342132992970/facts" TargetMode="External"/><Relationship Id="rId131" Type="http://schemas.openxmlformats.org/officeDocument/2006/relationships/hyperlink" Target="https://www.ancestry.co.uk/family-tree/person/tree/163868056/person/342262490010/facts" TargetMode="External"/><Relationship Id="rId327" Type="http://schemas.openxmlformats.org/officeDocument/2006/relationships/hyperlink" Target="https://dnapainter.com/tools/sharedcmv4/13?fbclid=IwAR3wqfKWVRq1DI_x4i7OjYx5ayGhdwQu5Tj-9K3u_CVvBxgEWwX7fHipJPs" TargetMode="External"/><Relationship Id="rId369" Type="http://schemas.openxmlformats.org/officeDocument/2006/relationships/hyperlink" Target="https://dnapainter.com/tools/sharedcmv4/22?fbclid=IwAR3wqfKWVRq1DI_x4i7OjYx5ayGhdwQu5Tj-9K3u_CVvBxgEWwX7fHipJPs" TargetMode="External"/><Relationship Id="rId173" Type="http://schemas.openxmlformats.org/officeDocument/2006/relationships/hyperlink" Target="https://www.ancestry.co.uk/discoveryui-matches/compare/50A7C5EF-9E94-44BE-A86A-5736956A97F2/with/B4E858E8-4B9D-4DF5-891C-ACDDC592B4CF" TargetMode="External"/><Relationship Id="rId229" Type="http://schemas.openxmlformats.org/officeDocument/2006/relationships/hyperlink" Target="https://www.ancestry.co.uk/family-tree/tree/163868056/family?cfpid=342261988508" TargetMode="External"/><Relationship Id="rId380" Type="http://schemas.openxmlformats.org/officeDocument/2006/relationships/hyperlink" Target="https://www.ancestry.co.uk/family-tree/person/tree/163868056/person/342261984355/facts" TargetMode="External"/><Relationship Id="rId436" Type="http://schemas.openxmlformats.org/officeDocument/2006/relationships/hyperlink" Target="https://www.ancestry.co.uk/discoveryui-matches/compare/50a7c5ef-9e94-44be-a86a-5736956a97f2/with/06470f42-d0f8-40d2-853b-b8ee59b5439e" TargetMode="External"/><Relationship Id="rId240" Type="http://schemas.openxmlformats.org/officeDocument/2006/relationships/hyperlink" Target="https://www.ancestry.co.uk/family-tree/tree/163868056/family?cfpid=342262012780" TargetMode="External"/><Relationship Id="rId478" Type="http://schemas.openxmlformats.org/officeDocument/2006/relationships/hyperlink" Target="https://www.ancestry.co.uk/family-tree/tree/163868056/family/pedigree?cfpid=342602112297" TargetMode="External"/><Relationship Id="rId35" Type="http://schemas.openxmlformats.org/officeDocument/2006/relationships/hyperlink" Target="https://www.ancestry.co.uk/family-tree/person/tree/163868056/person/342132992964/facts" TargetMode="External"/><Relationship Id="rId77" Type="http://schemas.openxmlformats.org/officeDocument/2006/relationships/hyperlink" Target="https://www.ancestry.co.uk/family-tree/person/tree/163868056/person/342261984355/facts" TargetMode="External"/><Relationship Id="rId100" Type="http://schemas.openxmlformats.org/officeDocument/2006/relationships/hyperlink" Target="https://www.ancestry.co.uk/family-tree/person/tree/163868056/person/342261984363/facts" TargetMode="External"/><Relationship Id="rId282" Type="http://schemas.openxmlformats.org/officeDocument/2006/relationships/hyperlink" Target="https://dnapainter.com/tools/sharedcmv4/7?fbclid=IwAR3wqfKWVRq1DI_x4i7OjYx5ayGhdwQu5Tj-9K3u_CVvBxgEWwX7fHipJPs" TargetMode="External"/><Relationship Id="rId338" Type="http://schemas.openxmlformats.org/officeDocument/2006/relationships/hyperlink" Target="https://dnapainter.com/tools/sharedcmv4/14?fbclid=IwAR3wqfKWVRq1DI_x4i7OjYx5ayGhdwQu5Tj-9K3u_CVvBxgEWwX7fHipJPs" TargetMode="External"/><Relationship Id="rId8" Type="http://schemas.openxmlformats.org/officeDocument/2006/relationships/hyperlink" Target="https://www.ancestry.co.uk/family-tree/person/tree/163868056/person/342132992964/facts" TargetMode="External"/><Relationship Id="rId142" Type="http://schemas.openxmlformats.org/officeDocument/2006/relationships/hyperlink" Target="https://www.ancestry.co.uk/discoveryui-matches/compare/50A7C5EF-9E94-44BE-A86A-5736956A97F2/with/78877C8C-4389-40BF-862B-A67EB9699709" TargetMode="External"/><Relationship Id="rId184" Type="http://schemas.openxmlformats.org/officeDocument/2006/relationships/hyperlink" Target="https://www.ancestry.co.uk/discoveryui-matches/compare/8955CF51-8070-4A51-8674-B7F01B347AED/with/17282E8F-F8DE-4A40-B64A-FFA8B1C8D275" TargetMode="External"/><Relationship Id="rId391" Type="http://schemas.openxmlformats.org/officeDocument/2006/relationships/hyperlink" Target="https://www.ancestry.co.uk/family-tree/person/tree/163868056/person/342261984363/facts" TargetMode="External"/><Relationship Id="rId405" Type="http://schemas.openxmlformats.org/officeDocument/2006/relationships/hyperlink" Target="https://www.ancestry.co.uk/family-tree/tree/163868056/family/pedigree?cfpid=342261844956" TargetMode="External"/><Relationship Id="rId447" Type="http://schemas.openxmlformats.org/officeDocument/2006/relationships/hyperlink" Target="https://www.ancestry.co.uk/family-tree/person/tree/163868056/person/342261984363/facts" TargetMode="External"/><Relationship Id="rId251" Type="http://schemas.openxmlformats.org/officeDocument/2006/relationships/hyperlink" Target="https://www.ancestry.co.uk/family-tree/tree/163868056/family?cfpid=342262021065" TargetMode="External"/><Relationship Id="rId46" Type="http://schemas.openxmlformats.org/officeDocument/2006/relationships/hyperlink" Target="https://www.ancestry.co.uk/family-tree/person/tree/163868056/person/342132992964/facts" TargetMode="External"/><Relationship Id="rId293" Type="http://schemas.openxmlformats.org/officeDocument/2006/relationships/hyperlink" Target="https://dnapainter.com/tools/sharedcmv4/9?fbclid=IwAR3wqfKWVRq1DI_x4i7OjYx5ayGhdwQu5Tj-9K3u_CVvBxgEWwX7fHipJPs" TargetMode="External"/><Relationship Id="rId307" Type="http://schemas.openxmlformats.org/officeDocument/2006/relationships/hyperlink" Target="https://dnapainter.com/tools/sharedcmv4/10?fbclid=IwAR3wqfKWVRq1DI_x4i7OjYx5ayGhdwQu5Tj-9K3u_CVvBxgEWwX7fHipJPs" TargetMode="External"/><Relationship Id="rId349" Type="http://schemas.openxmlformats.org/officeDocument/2006/relationships/hyperlink" Target="https://dnapainter.com/tools/sharedcmv4/18?fbclid=IwAR3wqfKWVRq1DI_x4i7OjYx5ayGhdwQu5Tj-9K3u_CVvBxgEWwX7fHipJPs" TargetMode="External"/><Relationship Id="rId88" Type="http://schemas.openxmlformats.org/officeDocument/2006/relationships/hyperlink" Target="https://www.ancestry.co.uk/family-tree/person/tree/163868056/person/342261984355/facts" TargetMode="External"/><Relationship Id="rId111" Type="http://schemas.openxmlformats.org/officeDocument/2006/relationships/hyperlink" Target="https://www.ancestry.co.uk/family-tree/person/tree/163868056/person/342261984363/facts" TargetMode="External"/><Relationship Id="rId153" Type="http://schemas.openxmlformats.org/officeDocument/2006/relationships/hyperlink" Target="https://www.ancestry.co.uk/discoveryui-matches/compare/50A7C5EF-9E94-44BE-A86A-5736956A97F2/with/4F1D135B-B54F-4D7B-A688-318A33F60527" TargetMode="External"/><Relationship Id="rId195" Type="http://schemas.openxmlformats.org/officeDocument/2006/relationships/hyperlink" Target="https://www.ancestry.co.uk/discoveryui-matches/compare/50A7C5EF-9E94-44BE-A86A-5736956A97F2/with/BDDFF578-0D00-4C40-A51C-8434ADB72172" TargetMode="External"/><Relationship Id="rId209" Type="http://schemas.openxmlformats.org/officeDocument/2006/relationships/hyperlink" Target="https://www.ancestry.co.uk/family-tree/tree/163868056/family?cfpid=342288565821" TargetMode="External"/><Relationship Id="rId360" Type="http://schemas.openxmlformats.org/officeDocument/2006/relationships/hyperlink" Target="https://dnapainter.com/tools/sharedcmv4/20?fbclid=IwAR3wqfKWVRq1DI_x4i7OjYx5ayGhdwQu5Tj-9K3u_CVvBxgEWwX7fHipJPs" TargetMode="External"/><Relationship Id="rId416" Type="http://schemas.openxmlformats.org/officeDocument/2006/relationships/hyperlink" Target="https://www.ancestry.co.uk/family-tree/person/tree/163868056/person/342261984355/facts" TargetMode="External"/><Relationship Id="rId220" Type="http://schemas.openxmlformats.org/officeDocument/2006/relationships/hyperlink" Target="https://www.ancestry.co.uk/family-tree/tree/163868056/family?cfpid=342261994913" TargetMode="External"/><Relationship Id="rId458" Type="http://schemas.openxmlformats.org/officeDocument/2006/relationships/hyperlink" Target="https://www.ancestry.co.uk/family-tree/tree/163868056/family/pedigree?cfpid=342602106125" TargetMode="External"/><Relationship Id="rId15" Type="http://schemas.openxmlformats.org/officeDocument/2006/relationships/hyperlink" Target="https://www.ancestry.co.uk/family-tree/person/tree/163868056/person/342132992964/facts" TargetMode="External"/><Relationship Id="rId57" Type="http://schemas.openxmlformats.org/officeDocument/2006/relationships/hyperlink" Target="https://www.ancestry.co.uk/family-tree/person/tree/163868056/person/342132992964/facts" TargetMode="External"/><Relationship Id="rId262" Type="http://schemas.openxmlformats.org/officeDocument/2006/relationships/hyperlink" Target="https://www.ancestry.co.uk/family-tree/tree/163868056/family?cfpid=342288558936" TargetMode="External"/><Relationship Id="rId318" Type="http://schemas.openxmlformats.org/officeDocument/2006/relationships/hyperlink" Target="https://dnapainter.com/tools/sharedcmv4/11?fbclid=IwAR3wqfKWVRq1DI_x4i7OjYx5ayGhdwQu5Tj-9K3u_CVvBxgEWwX7fHipJPs" TargetMode="External"/><Relationship Id="rId99" Type="http://schemas.openxmlformats.org/officeDocument/2006/relationships/hyperlink" Target="https://www.ancestry.co.uk/family-tree/person/tree/163868056/person/342261984363/facts" TargetMode="External"/><Relationship Id="rId122" Type="http://schemas.openxmlformats.org/officeDocument/2006/relationships/hyperlink" Target="https://www.ancestry.co.uk/family-tree/person/tree/163868056/person/342261984363/facts" TargetMode="External"/><Relationship Id="rId164" Type="http://schemas.openxmlformats.org/officeDocument/2006/relationships/hyperlink" Target="https://www.ancestry.co.uk/discoveryui-matches/compare/50A7C5EF-9E94-44BE-A86A-5736956A97F2/with/6020A51B-A53C-496D-BE91-A4492A4D2FD4" TargetMode="External"/><Relationship Id="rId371" Type="http://schemas.openxmlformats.org/officeDocument/2006/relationships/hyperlink" Target="https://dnapainter.com/tools/sharedcmv4/23?fbclid=IwAR3wqfKWVRq1DI_x4i7OjYx5ayGhdwQu5Tj-9K3u_CVvBxgEWwX7fHipJPs" TargetMode="External"/><Relationship Id="rId427" Type="http://schemas.openxmlformats.org/officeDocument/2006/relationships/hyperlink" Target="https://www.ancestry.co.uk/family-tree/person/tree/163868056/person/342132992964/facts" TargetMode="External"/><Relationship Id="rId469" Type="http://schemas.openxmlformats.org/officeDocument/2006/relationships/hyperlink" Target="https://www.ancestry.co.uk/family-tree/tree/163868056/family/pedigree?cfpid=342602109481" TargetMode="External"/><Relationship Id="rId26" Type="http://schemas.openxmlformats.org/officeDocument/2006/relationships/hyperlink" Target="https://www.ancestry.co.uk/family-tree/person/tree/163868056/person/342132992964/facts" TargetMode="External"/><Relationship Id="rId231" Type="http://schemas.openxmlformats.org/officeDocument/2006/relationships/hyperlink" Target="https://www.ancestry.co.uk/family-tree/tree/163868056/family?cfpid=342288559167" TargetMode="External"/><Relationship Id="rId273" Type="http://schemas.openxmlformats.org/officeDocument/2006/relationships/hyperlink" Target="https://dnapainter.com/tools/sharedcmv4/6?fbclid=IwAR3wqfKWVRq1DI_x4i7OjYx5ayGhdwQu5Tj-9K3u_CVvBxgEWwX7fHipJPs" TargetMode="External"/><Relationship Id="rId329" Type="http://schemas.openxmlformats.org/officeDocument/2006/relationships/hyperlink" Target="https://dnapainter.com/tools/sharedcmv4/13?fbclid=IwAR3wqfKWVRq1DI_x4i7OjYx5ayGhdwQu5Tj-9K3u_CVvBxgEWwX7fHipJPs" TargetMode="External"/><Relationship Id="rId480" Type="http://schemas.openxmlformats.org/officeDocument/2006/relationships/hyperlink" Target="https://www.ancestry.co.uk/discoveryui-matches/compare/8955cf51-8070-4a51-8674-b7f01b347aed/with/6793773e-4ce6-435e-81ab-08ed16b5cd44" TargetMode="External"/><Relationship Id="rId68" Type="http://schemas.openxmlformats.org/officeDocument/2006/relationships/hyperlink" Target="https://www.ancestry.co.uk/family-tree/person/tree/163868056/person/342132992970/facts" TargetMode="External"/><Relationship Id="rId133" Type="http://schemas.openxmlformats.org/officeDocument/2006/relationships/hyperlink" Target="https://www.ancestry.co.uk/family-tree/person/tree/163868056/person/342262490010/facts" TargetMode="External"/><Relationship Id="rId175" Type="http://schemas.openxmlformats.org/officeDocument/2006/relationships/hyperlink" Target="https://www.ancestry.co.uk/discoveryui-matches/compare/50A7C5EF-9E94-44BE-A86A-5736956A97F2/with/B327917E-17F6-4623-B3DF-F660642C37D5" TargetMode="External"/><Relationship Id="rId340" Type="http://schemas.openxmlformats.org/officeDocument/2006/relationships/hyperlink" Target="https://dnapainter.com/tools/sharedcmv4/14?fbclid=IwAR3wqfKWVRq1DI_x4i7OjYx5ayGhdwQu5Tj-9K3u_CVvBxgEWwX7fHipJPs" TargetMode="External"/><Relationship Id="rId200" Type="http://schemas.openxmlformats.org/officeDocument/2006/relationships/hyperlink" Target="https://www.ancestry.co.uk/family-tree/tree/163868056/family/pedigree?cfpid=342262003270" TargetMode="External"/><Relationship Id="rId382" Type="http://schemas.openxmlformats.org/officeDocument/2006/relationships/hyperlink" Target="https://you.23andme.com/profile/3abbdb084319ec95/" TargetMode="External"/><Relationship Id="rId438" Type="http://schemas.openxmlformats.org/officeDocument/2006/relationships/hyperlink" Target="https://www.ancestry.co.uk/family-tree/tree/163868056/family/pedigree?cfpid=342601284090" TargetMode="External"/><Relationship Id="rId242" Type="http://schemas.openxmlformats.org/officeDocument/2006/relationships/hyperlink" Target="https://www.ancestry.co.uk/family-tree/tree/163868056/family?cfpid=342264010223" TargetMode="External"/><Relationship Id="rId284" Type="http://schemas.openxmlformats.org/officeDocument/2006/relationships/hyperlink" Target="https://dnapainter.com/tools/sharedcmv4/7?fbclid=IwAR3wqfKWVRq1DI_x4i7OjYx5ayGhdwQu5Tj-9K3u_CVvBxgEWwX7fHipJPs" TargetMode="External"/><Relationship Id="rId37" Type="http://schemas.openxmlformats.org/officeDocument/2006/relationships/hyperlink" Target="https://www.ancestry.co.uk/family-tree/person/tree/163868056/person/342132992964/facts" TargetMode="External"/><Relationship Id="rId79" Type="http://schemas.openxmlformats.org/officeDocument/2006/relationships/hyperlink" Target="https://www.ancestry.co.uk/family-tree/person/tree/163868056/person/342261984355/facts" TargetMode="External"/><Relationship Id="rId102" Type="http://schemas.openxmlformats.org/officeDocument/2006/relationships/hyperlink" Target="https://www.ancestry.co.uk/family-tree/person/tree/163868056/person/342261984363/facts" TargetMode="External"/><Relationship Id="rId144" Type="http://schemas.openxmlformats.org/officeDocument/2006/relationships/hyperlink" Target="https://www.ancestry.co.uk/discoveryui-matches/compare/50A7C5EF-9E94-44BE-A86A-5736956A97F2/with/83A7DEB5-CC8D-4912-B0C7-AA5C18E3D11D" TargetMode="External"/><Relationship Id="rId90" Type="http://schemas.openxmlformats.org/officeDocument/2006/relationships/hyperlink" Target="https://www.ancestry.co.uk/family-tree/person/tree/163868056/person/342261984355/facts" TargetMode="External"/><Relationship Id="rId186" Type="http://schemas.openxmlformats.org/officeDocument/2006/relationships/hyperlink" Target="https://www.ancestry.co.uk/discoveryui-matches/compare/8955cf51-8070-4a51-8674-b7f01b347aed/with/808b86ab-6996-4aee-837d-03c684c344fb" TargetMode="External"/><Relationship Id="rId351" Type="http://schemas.openxmlformats.org/officeDocument/2006/relationships/hyperlink" Target="https://dnapainter.com/tools/sharedcmv4/19?fbclid=IwAR3wqfKWVRq1DI_x4i7OjYx5ayGhdwQu5Tj-9K3u_CVvBxgEWwX7fHipJPs" TargetMode="External"/><Relationship Id="rId393" Type="http://schemas.openxmlformats.org/officeDocument/2006/relationships/hyperlink" Target="https://dnapainter.com/tools/sharedcmv4/26?fbclid=IwAR3wqfKWVRq1DI_x4i7OjYx5ayGhdwQu5Tj-9K3u_CVvBxgEWwX7fHipJPs" TargetMode="External"/><Relationship Id="rId407" Type="http://schemas.openxmlformats.org/officeDocument/2006/relationships/hyperlink" Target="https://www.ancestry.co.uk/family-tree/tree/163868056/family/pedigree?cfpid=342601354937" TargetMode="External"/><Relationship Id="rId449" Type="http://schemas.openxmlformats.org/officeDocument/2006/relationships/hyperlink" Target="https://www.ancestry.co.uk/family-tree/tree/163868056/family/pedigree?cfpid=342601362702" TargetMode="External"/><Relationship Id="rId211" Type="http://schemas.openxmlformats.org/officeDocument/2006/relationships/hyperlink" Target="https://www.ancestry.co.uk/family-tree/tree/163868056/family?cfpid=342261989708" TargetMode="External"/><Relationship Id="rId253" Type="http://schemas.openxmlformats.org/officeDocument/2006/relationships/hyperlink" Target="https://www.ancestry.co.uk/family-tree/tree/163868056/family?cfpid=342288557865" TargetMode="External"/><Relationship Id="rId295" Type="http://schemas.openxmlformats.org/officeDocument/2006/relationships/hyperlink" Target="https://dnapainter.com/tools/sharedcmv4/9?fbclid=IwAR3wqfKWVRq1DI_x4i7OjYx5ayGhdwQu5Tj-9K3u_CVvBxgEWwX7fHipJPs" TargetMode="External"/><Relationship Id="rId309" Type="http://schemas.openxmlformats.org/officeDocument/2006/relationships/hyperlink" Target="https://dnapainter.com/tools/sharedcmv4/10?fbclid=IwAR3wqfKWVRq1DI_x4i7OjYx5ayGhdwQu5Tj-9K3u_CVvBxgEWwX7fHipJPs" TargetMode="External"/><Relationship Id="rId460" Type="http://schemas.openxmlformats.org/officeDocument/2006/relationships/hyperlink" Target="https://www.ancestry.co.uk/discoveryui-matches/compare/50a7c5ef-9e94-44be-a86a-5736956a97f2/with/befc1ec6-02f9-437c-b6fa-212c88672f35" TargetMode="External"/><Relationship Id="rId48" Type="http://schemas.openxmlformats.org/officeDocument/2006/relationships/hyperlink" Target="https://www.ancestry.co.uk/family-tree/person/tree/163868056/person/342132992964/facts" TargetMode="External"/><Relationship Id="rId113" Type="http://schemas.openxmlformats.org/officeDocument/2006/relationships/hyperlink" Target="https://www.ancestry.co.uk/family-tree/person/tree/163868056/person/342261984363/facts" TargetMode="External"/><Relationship Id="rId320" Type="http://schemas.openxmlformats.org/officeDocument/2006/relationships/hyperlink" Target="https://dnapainter.com/tools/sharedcmv4/11?fbclid=IwAR3wqfKWVRq1DI_x4i7OjYx5ayGhdwQu5Tj-9K3u_CVvBxgEWwX7fHipJPs" TargetMode="External"/><Relationship Id="rId155" Type="http://schemas.openxmlformats.org/officeDocument/2006/relationships/hyperlink" Target="https://www.ancestry.co.uk/discoveryui-matches/compare/50A7C5EF-9E94-44BE-A86A-5736956A97F2/with/0CD51AED-71C6-4DA9-BF19-FF4BA99198BE" TargetMode="External"/><Relationship Id="rId197" Type="http://schemas.openxmlformats.org/officeDocument/2006/relationships/hyperlink" Target="https://www.ancestry.co.uk/discoveryui-matches/compare/50A7C5EF-9E94-44BE-A86A-5736956A97F2/with/D8FC19BF-3A2B-4217-AF37-B470FDFD811B" TargetMode="External"/><Relationship Id="rId362" Type="http://schemas.openxmlformats.org/officeDocument/2006/relationships/hyperlink" Target="https://dnapainter.com/tools/sharedcmv4/21?fbclid=IwAR3wqfKWVRq1DI_x4i7OjYx5ayGhdwQu5Tj-9K3u_CVvBxgEWwX7fHipJPs" TargetMode="External"/><Relationship Id="rId418" Type="http://schemas.openxmlformats.org/officeDocument/2006/relationships/hyperlink" Target="https://www.ancestry.co.uk/discoveryui-matches/compare/50a7c5ef-9e94-44be-a86a-5736956a97f2/with/bf7516df-2a75-4e58-b1fb-9ca75052738e" TargetMode="External"/><Relationship Id="rId222" Type="http://schemas.openxmlformats.org/officeDocument/2006/relationships/hyperlink" Target="https://www.ancestry.co.uk/family-tree/tree/163868056/family?cfpid=342262054309" TargetMode="External"/><Relationship Id="rId264" Type="http://schemas.openxmlformats.org/officeDocument/2006/relationships/hyperlink" Target="https://www.ancestry.co.uk/family-tree/tree/163868056/family?cfpid=342265177184" TargetMode="External"/><Relationship Id="rId471" Type="http://schemas.openxmlformats.org/officeDocument/2006/relationships/hyperlink" Target="https://www.ancestry.co.uk/family-tree/person/tree/163868056/person/342132992964/facts" TargetMode="External"/><Relationship Id="rId17" Type="http://schemas.openxmlformats.org/officeDocument/2006/relationships/hyperlink" Target="https://www.ancestry.co.uk/family-tree/person/tree/163868056/person/342132992964/facts" TargetMode="External"/><Relationship Id="rId59" Type="http://schemas.openxmlformats.org/officeDocument/2006/relationships/hyperlink" Target="https://www.ancestry.co.uk/family-tree/person/tree/163868056/person/342132992964/facts" TargetMode="External"/><Relationship Id="rId124" Type="http://schemas.openxmlformats.org/officeDocument/2006/relationships/hyperlink" Target="https://www.ancestry.co.uk/family-tree/person/tree/163868056/person/342261984363/facts" TargetMode="External"/><Relationship Id="rId70" Type="http://schemas.openxmlformats.org/officeDocument/2006/relationships/hyperlink" Target="https://www.ancestry.co.uk/family-tree/person/tree/163868056/person/342261984355/facts" TargetMode="External"/><Relationship Id="rId166" Type="http://schemas.openxmlformats.org/officeDocument/2006/relationships/hyperlink" Target="https://www.ancestry.co.uk/discoveryui-matches/compare/50A7C5EF-9E94-44BE-A86A-5736956A97F2/with/05D00FCF-0076-42AE-9D2A-EFD754713202" TargetMode="External"/><Relationship Id="rId331" Type="http://schemas.openxmlformats.org/officeDocument/2006/relationships/hyperlink" Target="https://dnapainter.com/tools/sharedcmv4/13?fbclid=IwAR3wqfKWVRq1DI_x4i7OjYx5ayGhdwQu5Tj-9K3u_CVvBxgEWwX7fHipJPs" TargetMode="External"/><Relationship Id="rId373" Type="http://schemas.openxmlformats.org/officeDocument/2006/relationships/hyperlink" Target="https://dnapainter.com/tools/sharedcmv4/24?fbclid=IwAR3wqfKWVRq1DI_x4i7OjYx5ayGhdwQu5Tj-9K3u_CVvBxgEWwX7fHipJPs" TargetMode="External"/><Relationship Id="rId429" Type="http://schemas.openxmlformats.org/officeDocument/2006/relationships/hyperlink" Target="https://www.ancestry.co.uk/family-tree/person/tree/163868056/person/342261984363/facts" TargetMode="External"/><Relationship Id="rId1" Type="http://schemas.openxmlformats.org/officeDocument/2006/relationships/hyperlink" Target="https://www.ancestry.co.uk/family-tree/person/tree/163868056/person/342132992964/facts" TargetMode="External"/><Relationship Id="rId233" Type="http://schemas.openxmlformats.org/officeDocument/2006/relationships/hyperlink" Target="https://www.ancestry.co.uk/family-tree/tree/163868056/family?cfpid=342261995297" TargetMode="External"/><Relationship Id="rId440" Type="http://schemas.openxmlformats.org/officeDocument/2006/relationships/hyperlink" Target="https://www.ancestry.co.uk/family-tree/person/tree/163868056/person/342261984355/facts" TargetMode="External"/><Relationship Id="rId28" Type="http://schemas.openxmlformats.org/officeDocument/2006/relationships/hyperlink" Target="https://www.ancestry.co.uk/family-tree/person/tree/163868056/person/342132992964/facts" TargetMode="External"/><Relationship Id="rId275" Type="http://schemas.openxmlformats.org/officeDocument/2006/relationships/hyperlink" Target="https://dnapainter.com/tools/sharedcmv4/6?fbclid=IwAR3wqfKWVRq1DI_x4i7OjYx5ayGhdwQu5Tj-9K3u_CVvBxgEWwX7fHipJPs" TargetMode="External"/><Relationship Id="rId300" Type="http://schemas.openxmlformats.org/officeDocument/2006/relationships/hyperlink" Target="https://dnapainter.com/tools/sharedcmv4/9?fbclid=IwAR3wqfKWVRq1DI_x4i7OjYx5ayGhdwQu5Tj-9K3u_CVvBxgEWwX7fHipJPs" TargetMode="External"/><Relationship Id="rId482" Type="http://schemas.openxmlformats.org/officeDocument/2006/relationships/hyperlink" Target="https://www.ancestry.co.uk/family-tree/person/tree/163868056/person/342262490010/facts" TargetMode="External"/><Relationship Id="rId81" Type="http://schemas.openxmlformats.org/officeDocument/2006/relationships/hyperlink" Target="https://www.ancestry.co.uk/family-tree/person/tree/163868056/person/342261984355/facts" TargetMode="External"/><Relationship Id="rId135" Type="http://schemas.openxmlformats.org/officeDocument/2006/relationships/hyperlink" Target="https://www.ancestry.co.uk/discoveryui-matches/compare/50A7C5EF-9E94-44BE-A86A-5736956A97F2/with/44E73AD4-4FA8-4DE6-9CA0-3E5169FAA8A9" TargetMode="External"/><Relationship Id="rId177" Type="http://schemas.openxmlformats.org/officeDocument/2006/relationships/hyperlink" Target="https://www.ancestry.co.uk/discoveryui-matches/compare/50A7C5EF-9E94-44BE-A86A-5736956A97F2/with/CBFB2B43-9E54-4B64-88DB-57363FF9DD29" TargetMode="External"/><Relationship Id="rId342" Type="http://schemas.openxmlformats.org/officeDocument/2006/relationships/hyperlink" Target="https://dnapainter.com/tools/sharedcmv4/15?fbclid=IwAR3wqfKWVRq1DI_x4i7OjYx5ayGhdwQu5Tj-9K3u_CVvBxgEWwX7fHipJPs" TargetMode="External"/><Relationship Id="rId384" Type="http://schemas.openxmlformats.org/officeDocument/2006/relationships/hyperlink" Target="https://dnapainter.com/tools/sharedcmv4/17?fbclid=IwAR3wqfKWVRq1DI_x4i7OjYx5ayGhdwQu5Tj-9K3u_CVvBxgEWwX7fHipJPs" TargetMode="External"/><Relationship Id="rId202" Type="http://schemas.openxmlformats.org/officeDocument/2006/relationships/hyperlink" Target="https://www.ancestry.co.uk/family-tree/tree/163868056/family?cfpid=342262003111" TargetMode="External"/><Relationship Id="rId244" Type="http://schemas.openxmlformats.org/officeDocument/2006/relationships/hyperlink" Target="https://www.ancestry.co.uk/family-tree/tree/163868056/family?cfpid=342262001886" TargetMode="External"/><Relationship Id="rId39" Type="http://schemas.openxmlformats.org/officeDocument/2006/relationships/hyperlink" Target="https://www.ancestry.co.uk/family-tree/person/tree/163868056/person/342132992964/facts" TargetMode="External"/><Relationship Id="rId286" Type="http://schemas.openxmlformats.org/officeDocument/2006/relationships/hyperlink" Target="https://dnapainter.com/tools/sharedcmv4/7?fbclid=IwAR3wqfKWVRq1DI_x4i7OjYx5ayGhdwQu5Tj-9K3u_CVvBxgEWwX7fHipJPs" TargetMode="External"/><Relationship Id="rId451" Type="http://schemas.openxmlformats.org/officeDocument/2006/relationships/hyperlink" Target="https://www.ancestry.co.uk/family-tree/person/tree/163868056/person/342132992964/facts" TargetMode="External"/><Relationship Id="rId50" Type="http://schemas.openxmlformats.org/officeDocument/2006/relationships/hyperlink" Target="https://www.ancestry.co.uk/family-tree/person/tree/163868056/person/342132992964/facts" TargetMode="External"/><Relationship Id="rId104" Type="http://schemas.openxmlformats.org/officeDocument/2006/relationships/hyperlink" Target="https://www.ancestry.co.uk/family-tree/person/tree/163868056/person/342261984363/facts" TargetMode="External"/><Relationship Id="rId146" Type="http://schemas.openxmlformats.org/officeDocument/2006/relationships/hyperlink" Target="https://www.ancestry.co.uk/discoveryui-matches/compare/50A7C5EF-9E94-44BE-A86A-5736956A97F2/with/2D5F119A-F6A4-4926-AC4B-D83369E09438" TargetMode="External"/><Relationship Id="rId188" Type="http://schemas.openxmlformats.org/officeDocument/2006/relationships/hyperlink" Target="https://www.ancestry.co.uk/discoveryui-matches/compare/8955CF51-8070-4A51-8674-B7F01B347AED/with/19218BCE-A4DC-45E6-97A0-95E9AE6B4696" TargetMode="External"/><Relationship Id="rId311" Type="http://schemas.openxmlformats.org/officeDocument/2006/relationships/hyperlink" Target="https://dnapainter.com/tools/sharedcmv4/11?fbclid=IwAR3wqfKWVRq1DI_x4i7OjYx5ayGhdwQu5Tj-9K3u_CVvBxgEWwX7fHipJPs" TargetMode="External"/><Relationship Id="rId353" Type="http://schemas.openxmlformats.org/officeDocument/2006/relationships/hyperlink" Target="https://dnapainter.com/tools/sharedcmv4/19?fbclid=IwAR3wqfKWVRq1DI_x4i7OjYx5ayGhdwQu5Tj-9K3u_CVvBxgEWwX7fHipJPs" TargetMode="External"/><Relationship Id="rId395" Type="http://schemas.openxmlformats.org/officeDocument/2006/relationships/hyperlink" Target="https://www.ancestry.co.uk/family-tree/person/tree/163868056/person/342132992964/facts" TargetMode="External"/><Relationship Id="rId409" Type="http://schemas.openxmlformats.org/officeDocument/2006/relationships/hyperlink" Target="https://www.ancestry.co.uk/family-tree/person/tree/163868056/person/342132992964/facts" TargetMode="External"/><Relationship Id="rId92" Type="http://schemas.openxmlformats.org/officeDocument/2006/relationships/hyperlink" Target="https://www.ancestry.co.uk/family-tree/person/tree/163868056/person/342261984355/facts" TargetMode="External"/><Relationship Id="rId213" Type="http://schemas.openxmlformats.org/officeDocument/2006/relationships/hyperlink" Target="https://www.ancestry.co.uk/family-tree/tree/163868056/family?cfpid=342263509466" TargetMode="External"/><Relationship Id="rId420" Type="http://schemas.openxmlformats.org/officeDocument/2006/relationships/hyperlink" Target="https://www.ancestry.co.uk/family-tree/tree/163868056/family/pedigree?cfpid=342601363559" TargetMode="External"/><Relationship Id="rId255" Type="http://schemas.openxmlformats.org/officeDocument/2006/relationships/hyperlink" Target="https://www.ancestry.co.uk/family-tree/tree/163868056/family?cfpid=342263761897" TargetMode="External"/><Relationship Id="rId297" Type="http://schemas.openxmlformats.org/officeDocument/2006/relationships/hyperlink" Target="https://dnapainter.com/tools/sharedcmv4/9?fbclid=IwAR3wqfKWVRq1DI_x4i7OjYx5ayGhdwQu5Tj-9K3u_CVvBxgEWwX7fHipJPs" TargetMode="External"/><Relationship Id="rId462" Type="http://schemas.openxmlformats.org/officeDocument/2006/relationships/hyperlink" Target="https://www.ancestry.co.uk/family-tree/tree/163868056/family/pedigree?cfpid=342602109964" TargetMode="External"/><Relationship Id="rId115" Type="http://schemas.openxmlformats.org/officeDocument/2006/relationships/hyperlink" Target="https://www.ancestry.co.uk/family-tree/person/tree/163868056/person/342261984363/facts" TargetMode="External"/><Relationship Id="rId157" Type="http://schemas.openxmlformats.org/officeDocument/2006/relationships/hyperlink" Target="https://www.ancestry.co.uk/discoveryui-matches/compare/50A7C5EF-9E94-44BE-A86A-5736956A97F2/with/BE0231E5-6D35-4F7B-A2DD-8C3E4680DA78" TargetMode="External"/><Relationship Id="rId322" Type="http://schemas.openxmlformats.org/officeDocument/2006/relationships/hyperlink" Target="https://dnapainter.com/tools/sharedcmv4/12?fbclid=IwAR3wqfKWVRq1DI_x4i7OjYx5ayGhdwQu5Tj-9K3u_CVvBxgEWwX7fHipJPs" TargetMode="External"/><Relationship Id="rId364" Type="http://schemas.openxmlformats.org/officeDocument/2006/relationships/hyperlink" Target="https://dnapainter.com/tools/sharedcmv4/21?fbclid=IwAR3wqfKWVRq1DI_x4i7OjYx5ayGhdwQu5Tj-9K3u_CVvBxgEWwX7fHipJPs" TargetMode="External"/><Relationship Id="rId61" Type="http://schemas.openxmlformats.org/officeDocument/2006/relationships/hyperlink" Target="https://www.ancestry.co.uk/family-tree/person/tree/163868056/person/342132992964/facts" TargetMode="External"/><Relationship Id="rId199" Type="http://schemas.openxmlformats.org/officeDocument/2006/relationships/hyperlink" Target="https://www.ancestry.co.uk/discoveryui-matches/compare/50A7C5EF-9E94-44BE-A86A-5736956A97F2/with/EFE09935-C393-4443-B23E-6382D0D848AF" TargetMode="External"/><Relationship Id="rId19" Type="http://schemas.openxmlformats.org/officeDocument/2006/relationships/hyperlink" Target="https://www.ancestry.co.uk/family-tree/person/tree/163868056/person/342132992964/facts" TargetMode="External"/><Relationship Id="rId224" Type="http://schemas.openxmlformats.org/officeDocument/2006/relationships/hyperlink" Target="https://www.ancestry.co.uk/family-tree/tree/163868056/family?cfpid=342261994379" TargetMode="External"/><Relationship Id="rId266" Type="http://schemas.openxmlformats.org/officeDocument/2006/relationships/hyperlink" Target="https://www.ancestry.co.uk/family-tree/tree/163868056/family?cfpid=342265208434" TargetMode="External"/><Relationship Id="rId431" Type="http://schemas.openxmlformats.org/officeDocument/2006/relationships/hyperlink" Target="https://www.ancestry.co.uk/family-tree/tree/163868056/family/pedigree?cfpid=342601356887" TargetMode="External"/><Relationship Id="rId473" Type="http://schemas.openxmlformats.org/officeDocument/2006/relationships/hyperlink" Target="https://dnapainter.com/tools/sharedcmv4/8?fbclid=IwAR3wqfKWVRq1DI_x4i7OjYx5ayGhdwQu5Tj-9K3u_CVvBxgEWwX7fHipJPs" TargetMode="External"/><Relationship Id="rId30" Type="http://schemas.openxmlformats.org/officeDocument/2006/relationships/hyperlink" Target="https://www.ancestry.co.uk/family-tree/person/tree/163868056/person/342132992964/facts" TargetMode="External"/><Relationship Id="rId126" Type="http://schemas.openxmlformats.org/officeDocument/2006/relationships/hyperlink" Target="https://www.ancestry.co.uk/family-tree/person/tree/163868056/person/342262490013/facts" TargetMode="External"/><Relationship Id="rId168" Type="http://schemas.openxmlformats.org/officeDocument/2006/relationships/hyperlink" Target="https://www.ancestry.co.uk/discoveryui-matches/compare/50A7C5EF-9E94-44BE-A86A-5736956A97F2/with/CFEB1B90-2F9B-4FC5-AD42-25CC8CA707F9" TargetMode="External"/><Relationship Id="rId333" Type="http://schemas.openxmlformats.org/officeDocument/2006/relationships/hyperlink" Target="https://dnapainter.com/tools/sharedcmv4/14?fbclid=IwAR3wqfKWVRq1DI_x4i7OjYx5ayGhdwQu5Tj-9K3u_CVvBxgEWwX7fHipJPs" TargetMode="External"/><Relationship Id="rId72" Type="http://schemas.openxmlformats.org/officeDocument/2006/relationships/hyperlink" Target="https://www.ancestry.co.uk/family-tree/person/tree/163868056/person/342261984355/facts" TargetMode="External"/><Relationship Id="rId375" Type="http://schemas.openxmlformats.org/officeDocument/2006/relationships/hyperlink" Target="https://dnapainter.com/tools/sharedcmv4/25?fbclid=IwAR3wqfKWVRq1DI_x4i7OjYx5ayGhdwQu5Tj-9K3u_CVvBxgEWwX7fHipJPs" TargetMode="External"/><Relationship Id="rId3" Type="http://schemas.openxmlformats.org/officeDocument/2006/relationships/hyperlink" Target="https://www.ancestry.co.uk/family-tree/person/tree/163868056/person/342132992964/facts" TargetMode="External"/><Relationship Id="rId235" Type="http://schemas.openxmlformats.org/officeDocument/2006/relationships/hyperlink" Target="https://www.ancestry.co.uk/family-tree/tree/163868056/family?cfpid=342261995953" TargetMode="External"/><Relationship Id="rId277" Type="http://schemas.openxmlformats.org/officeDocument/2006/relationships/hyperlink" Target="https://dnapainter.com/tools/sharedcmv4/7?fbclid=IwAR3wqfKWVRq1DI_x4i7OjYx5ayGhdwQu5Tj-9K3u_CVvBxgEWwX7fHipJPs" TargetMode="External"/><Relationship Id="rId400" Type="http://schemas.openxmlformats.org/officeDocument/2006/relationships/hyperlink" Target="https://www.ancestry.co.uk/family-tree/tree/163868056/family/pedigree?cfpid=342601282057" TargetMode="External"/><Relationship Id="rId442" Type="http://schemas.openxmlformats.org/officeDocument/2006/relationships/hyperlink" Target="https://www.ancestry.co.uk/discoveryui-matches/compare/50a7c5ef-9e94-44be-a86a-5736956a97f2/with/56500bff-a477-4f01-93a9-f61eb10fc126" TargetMode="External"/><Relationship Id="rId484" Type="http://schemas.openxmlformats.org/officeDocument/2006/relationships/hyperlink" Target="https://www.ancestry.co.uk/family-tree/tree/163868056/family/pedigree?cfpid=342602233829" TargetMode="External"/></Relationships>
</file>

<file path=xl/worksheets/_rels/sheet5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ncestry.co.uk/family-tree/tree/163868056/family/pedigree?cfpid=342469802963" TargetMode="External"/><Relationship Id="rId13" Type="http://schemas.openxmlformats.org/officeDocument/2006/relationships/hyperlink" Target="https://www.ancestry.co.uk/discoveryui-matches/compare/50a7c5ef-9e94-44be-a86a-5736956a97f2/with/2c7c2e50-efa0-4d39-982a-1d9c988093c0/trees" TargetMode="External"/><Relationship Id="rId3" Type="http://schemas.openxmlformats.org/officeDocument/2006/relationships/hyperlink" Target="https://www.ancestry.co.uk/family-tree/tree/163868056/family?_phsrc=ihI10274&amp;_phstart=default&amp;cfpid=342351549096&amp;fpid=342381434671&amp;usePUBJs=true" TargetMode="External"/><Relationship Id="rId7" Type="http://schemas.openxmlformats.org/officeDocument/2006/relationships/hyperlink" Target="https://www.ancestry.co.uk/discoveryui-matches/compare/8955cf51-8070-4a51-8674-b7f01b347aed/with/69563536-6d7a-46d1-8111-05ff43e3eeac" TargetMode="External"/><Relationship Id="rId12" Type="http://schemas.openxmlformats.org/officeDocument/2006/relationships/hyperlink" Target="https://dnapainter.com/tools/sharedcmv4/35?fbclid=IwAR3wqfKWVRq1DI_x4i7OjYx5ayGhdwQu5Tj-9K3u_CVvBxgEWwX7fHipJPs" TargetMode="External"/><Relationship Id="rId2" Type="http://schemas.openxmlformats.org/officeDocument/2006/relationships/hyperlink" Target="https://www.myheritage.com/dna/match/D-9E1FE62B-73EF-414E-8CC5-9A2285D9F64A-D-C07B8E8B-A02C-4937-9565-F42A88BE02FB/691113321?p=1&amp;ps=10&amp;search=pierre+mcculloch&amp;sort=total_shared_segments_length_in_cm&amp;siteId=691113321&amp;individualId=12000007&amp;sortSharedMatchesBy=other_kit" TargetMode="External"/><Relationship Id="rId1" Type="http://schemas.openxmlformats.org/officeDocument/2006/relationships/hyperlink" Target="https://www.ancestry.co.uk/discoveryui-matches/compare/8955CF51-8070-4A51-8674-B7F01B347AED/with/111369DA-C235-42A9-9CC1-0D852CD3D205" TargetMode="External"/><Relationship Id="rId6" Type="http://schemas.openxmlformats.org/officeDocument/2006/relationships/hyperlink" Target="https://www.ancestry.co.uk/family-tree/tree/163868056/family?_phsrc=ihI10274&amp;_phstart=default&amp;cfpid=342351549700&amp;fpid=342381434671&amp;usePUBJs=true" TargetMode="External"/><Relationship Id="rId11" Type="http://schemas.openxmlformats.org/officeDocument/2006/relationships/hyperlink" Target="https://dnapainter.com/tools/sharedcmv4/21?fbclid=IwAR3wqfKWVRq1DI_x4i7OjYx5ayGhdwQu5Tj-9K3u_CVvBxgEWwX7fHipJPs" TargetMode="External"/><Relationship Id="rId5" Type="http://schemas.openxmlformats.org/officeDocument/2006/relationships/hyperlink" Target="https://www.ancestry.co.uk/family-tree/tree/163868056/family?_phsrc=ihI10274&amp;_phstart=default&amp;cfpid=342351549096&amp;fpid=342381434671&amp;usePUBJs=true" TargetMode="External"/><Relationship Id="rId15" Type="http://schemas.openxmlformats.org/officeDocument/2006/relationships/hyperlink" Target="https://www.ancestry.co.uk/family-tree/tree/163868056/family/pedigree?cfpid=342569292341" TargetMode="External"/><Relationship Id="rId10" Type="http://schemas.openxmlformats.org/officeDocument/2006/relationships/hyperlink" Target="https://dnapainter.com/tools/sharedcmv4/17.4?fbclid=IwAR3wqfKWVRq1DI_x4i7OjYx5ayGhdwQu5Tj-9K3u_CVvBxgEWwX7fHipJPs" TargetMode="External"/><Relationship Id="rId4" Type="http://schemas.openxmlformats.org/officeDocument/2006/relationships/hyperlink" Target="https://www.ancestry.co.uk/family-tree/tree/163868056/family?cfpid=342372993103" TargetMode="External"/><Relationship Id="rId9" Type="http://schemas.openxmlformats.org/officeDocument/2006/relationships/hyperlink" Target="https://dnapainter.com/tools/sharedcmv4/52?fbclid=IwAR3wqfKWVRq1DI_x4i7OjYx5ayGhdwQu5Tj-9K3u_CVvBxgEWwX7fHipJPs" TargetMode="External"/><Relationship Id="rId14" Type="http://schemas.openxmlformats.org/officeDocument/2006/relationships/hyperlink" Target="https://dnapainter.com/tools/sharedcmv4/17?fbclid=IwAR3wqfKWVRq1DI_x4i7OjYx5ayGhdwQu5Tj-9K3u_CVvBxgEWwX7fHipJPs" TargetMode="External"/></Relationships>
</file>

<file path=xl/worksheets/_rels/sheet5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ncestry.co.uk/family-tree/tree/190825597/family?cfpid=292496362039" TargetMode="External"/><Relationship Id="rId13" Type="http://schemas.openxmlformats.org/officeDocument/2006/relationships/hyperlink" Target="https://www.myheritage.com/dna/match/D-9E1FE62B-73EF-414E-8CC5-9A2285D9F64A-D-FCA9F764-1E08-4B4B-940B-84C6AB045949/691113321?mode=shared" TargetMode="External"/><Relationship Id="rId18" Type="http://schemas.openxmlformats.org/officeDocument/2006/relationships/hyperlink" Target="https://www.ancestry.co.uk/family-tree/person/tree/163868056/person/342132992970/facts" TargetMode="External"/><Relationship Id="rId3" Type="http://schemas.openxmlformats.org/officeDocument/2006/relationships/hyperlink" Target="https://www.myheritage.com/dna/match/D-9E1FE62B-73EF-414E-8CC5-9A2285D9F64A-D-4CED6C5E-0E20-4174-B3D6-A49937CFC484/691113321?mode=shared" TargetMode="External"/><Relationship Id="rId21" Type="http://schemas.openxmlformats.org/officeDocument/2006/relationships/hyperlink" Target="https://www.ancestry.co.uk/family-tree/person/tree/163868056/person/342132992970/facts" TargetMode="External"/><Relationship Id="rId7" Type="http://schemas.openxmlformats.org/officeDocument/2006/relationships/hyperlink" Target="https://www.myheritage.com/dna/match/D-9E1FE62B-73EF-414E-8CC5-9A2285D9F64A-D-BD08385B-101B-40B6-9A5F-E0D0DDD42955/691113321?mode=shared" TargetMode="External"/><Relationship Id="rId12" Type="http://schemas.openxmlformats.org/officeDocument/2006/relationships/hyperlink" Target="https://www.ancestry.co.uk/family-tree/tree/190825597/family?cfpid=292496362950" TargetMode="External"/><Relationship Id="rId17" Type="http://schemas.openxmlformats.org/officeDocument/2006/relationships/hyperlink" Target="https://www.ancestry.co.uk/family-tree/person/tree/163868056/person/342132992970/facts" TargetMode="External"/><Relationship Id="rId2" Type="http://schemas.openxmlformats.org/officeDocument/2006/relationships/hyperlink" Target="https://www.myheritage.com/dna/match/D-9E1FE62B-73EF-414E-8CC5-9A2285D9F64A-D-39DC2DFE-A3B5-46DD-AC80-C4E5ABEFE378/691113321?mode=shared" TargetMode="External"/><Relationship Id="rId16" Type="http://schemas.openxmlformats.org/officeDocument/2006/relationships/hyperlink" Target="https://www.ancestry.co.uk/family-tree/person/tree/163868056/person/342132992970/facts" TargetMode="External"/><Relationship Id="rId20" Type="http://schemas.openxmlformats.org/officeDocument/2006/relationships/hyperlink" Target="https://www.ancestry.co.uk/family-tree/person/tree/163868056/person/342132992970/facts" TargetMode="External"/><Relationship Id="rId1" Type="http://schemas.openxmlformats.org/officeDocument/2006/relationships/hyperlink" Target="https://www.ancestry.co.uk/family-tree/tree/190825597/family?cfpid=292496340493" TargetMode="External"/><Relationship Id="rId6" Type="http://schemas.openxmlformats.org/officeDocument/2006/relationships/hyperlink" Target="https://www.ancestry.co.uk/family-tree/tree/190825597/family?cfpid=292496362036" TargetMode="External"/><Relationship Id="rId11" Type="http://schemas.openxmlformats.org/officeDocument/2006/relationships/hyperlink" Target="https://www.myheritage.com/dna/match/D-9E1FE62B-73EF-414E-8CC5-9A2285D9F64A-D-FCA9F764-1E08-4B4B-940B-84C6AB045949/691113321?mode=shared" TargetMode="External"/><Relationship Id="rId5" Type="http://schemas.openxmlformats.org/officeDocument/2006/relationships/hyperlink" Target="https://www.myheritage.com/dna/match/D-9E1FE62B-73EF-414E-8CC5-9A2285D9F64A-D-0718D8A9-2B08-4FF0-9FC5-38EAF2619623/691113321?mode=shared" TargetMode="External"/><Relationship Id="rId15" Type="http://schemas.openxmlformats.org/officeDocument/2006/relationships/hyperlink" Target="https://www.ancestry.co.uk/family-tree/person/tree/163868056/person/342132992970/facts" TargetMode="External"/><Relationship Id="rId10" Type="http://schemas.openxmlformats.org/officeDocument/2006/relationships/hyperlink" Target="https://www.ancestry.co.uk/family-tree/tree/190825597/family?cfpid=292496340618" TargetMode="External"/><Relationship Id="rId19" Type="http://schemas.openxmlformats.org/officeDocument/2006/relationships/hyperlink" Target="https://www.ancestry.co.uk/family-tree/person/tree/163868056/person/342132992970/facts" TargetMode="External"/><Relationship Id="rId4" Type="http://schemas.openxmlformats.org/officeDocument/2006/relationships/hyperlink" Target="https://www.ancestry.co.uk/family-tree/tree/190825597/family?cfpid=292496340511" TargetMode="External"/><Relationship Id="rId9" Type="http://schemas.openxmlformats.org/officeDocument/2006/relationships/hyperlink" Target="https://www.myheritage.com/dna/match/D-9E1FE62B-73EF-414E-8CC5-9A2285D9F64A-D-3AA65884-5B66-4E65-8642-073470118A19/691113321?mode=shared" TargetMode="External"/><Relationship Id="rId14" Type="http://schemas.openxmlformats.org/officeDocument/2006/relationships/hyperlink" Target="https://www.ancestry.co.uk/family-tree/tree/190825597/family?cfpid=292496363054" TargetMode="External"/></Relationships>
</file>

<file path=xl/worksheets/_rels/sheet5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ncestry.co.uk/family-tree/tree/163868056/family/pedigree?cfpid=342500457844" TargetMode="External"/><Relationship Id="rId13" Type="http://schemas.openxmlformats.org/officeDocument/2006/relationships/hyperlink" Target="https://you.23andme.com/p/d636d985a0daf7e4/profile/30d99d835f22514e/?message=1" TargetMode="External"/><Relationship Id="rId18" Type="http://schemas.openxmlformats.org/officeDocument/2006/relationships/hyperlink" Target="https://you.23andme.com/profile/3815d86ee7bd7d16/" TargetMode="External"/><Relationship Id="rId3" Type="http://schemas.openxmlformats.org/officeDocument/2006/relationships/hyperlink" Target="https://www.ancestry.co.uk/family-tree/person/tree/163868056/person/342500457639/facts" TargetMode="External"/><Relationship Id="rId21" Type="http://schemas.openxmlformats.org/officeDocument/2006/relationships/hyperlink" Target="https://www.ancestry.co.uk/family-tree/person/tree/163868056/person/342500457640/facts" TargetMode="External"/><Relationship Id="rId7" Type="http://schemas.openxmlformats.org/officeDocument/2006/relationships/hyperlink" Target="https://www.ancestry.co.uk/family-tree/tree/163868056/family/pedigree?cfpid=342500457974" TargetMode="External"/><Relationship Id="rId12" Type="http://schemas.openxmlformats.org/officeDocument/2006/relationships/hyperlink" Target="https://www.ancestry.co.uk/family-tree/tree/163868056/family/pedigree?cfpid=342500457279" TargetMode="External"/><Relationship Id="rId17" Type="http://schemas.openxmlformats.org/officeDocument/2006/relationships/hyperlink" Target="https://www.myheritage.com/dna/match/D-F9099B9B-87A1-4274-827C-AF35BD245736-D-B572EE6B-026E-43C2-893E-FA685A8DAC05/691113321?mode=shared" TargetMode="External"/><Relationship Id="rId2" Type="http://schemas.openxmlformats.org/officeDocument/2006/relationships/hyperlink" Target="https://www.ancestry.co.uk/family-tree/person/tree/163868056/person/342500457639/facts" TargetMode="External"/><Relationship Id="rId16" Type="http://schemas.openxmlformats.org/officeDocument/2006/relationships/hyperlink" Target="https://www.ancestry.co.uk/family-tree/tree/185347763/family?cfpid=372423625954" TargetMode="External"/><Relationship Id="rId20" Type="http://schemas.openxmlformats.org/officeDocument/2006/relationships/hyperlink" Target="https://www.ancestry.co.uk/family-tree/person/tree/163868056/person/342500457639/facts" TargetMode="External"/><Relationship Id="rId1" Type="http://schemas.openxmlformats.org/officeDocument/2006/relationships/hyperlink" Target="https://www.myheritage.com/dna/match/D-9E1FE62B-73EF-414E-8CC5-9A2285D9F64A-D-3AA65884-5B66-4E65-8642-073470118A19/691113321?mode=shared" TargetMode="External"/><Relationship Id="rId6" Type="http://schemas.openxmlformats.org/officeDocument/2006/relationships/hyperlink" Target="https://www.myheritage.com/dna/match/D-F9099B9B-87A1-4274-827C-AF35BD245736-D-380FFA7C-61ED-44E9-9686-9E81C695E2B8/691113321?p=1&amp;ps=10&amp;search=arthur%20white&amp;sort=total_shared_segments_length_in_cm&amp;memberId=704364871" TargetMode="External"/><Relationship Id="rId11" Type="http://schemas.openxmlformats.org/officeDocument/2006/relationships/hyperlink" Target="https://www.ancestry.co.uk/discoveryui-matches/compare/50A7C5EF-9E94-44BE-A86A-5736956A97F2/with/CD4041E6-6E95-4DFB-BC7B-3C13695D12C5" TargetMode="External"/><Relationship Id="rId5" Type="http://schemas.openxmlformats.org/officeDocument/2006/relationships/hyperlink" Target="https://www.ancestry.co.uk/family-tree/person/tree/163868056/person/342500457640/facts" TargetMode="External"/><Relationship Id="rId15" Type="http://schemas.openxmlformats.org/officeDocument/2006/relationships/hyperlink" Target="https://www.ancestry.co.uk/family-tree/person/tree/163868056/person/342500457639/facts" TargetMode="External"/><Relationship Id="rId23" Type="http://schemas.openxmlformats.org/officeDocument/2006/relationships/hyperlink" Target="https://www.ancestry.co.uk/family-tree/tree/163868056/family?cfpid=342500458572" TargetMode="External"/><Relationship Id="rId10" Type="http://schemas.openxmlformats.org/officeDocument/2006/relationships/hyperlink" Target="https://www.ancestry.co.uk/family-tree/person/tree/163868056/person/342500457640/facts" TargetMode="External"/><Relationship Id="rId19" Type="http://schemas.openxmlformats.org/officeDocument/2006/relationships/hyperlink" Target="https://www.ancestry.co.uk/discoveryui-matches/compare/50A7C5EF-9E94-44BE-A86A-5736956A97F2/with/D4AA4D92-07CC-48FB-BBDF-59E805E1F732" TargetMode="External"/><Relationship Id="rId4" Type="http://schemas.openxmlformats.org/officeDocument/2006/relationships/hyperlink" Target="https://www.ancestry.co.uk/family-tree/person/tree/163868056/person/342500457640/facts" TargetMode="External"/><Relationship Id="rId9" Type="http://schemas.openxmlformats.org/officeDocument/2006/relationships/hyperlink" Target="https://www.ancestry.co.uk/family-tree/person/tree/163868056/person/342500457639/facts" TargetMode="External"/><Relationship Id="rId14" Type="http://schemas.openxmlformats.org/officeDocument/2006/relationships/hyperlink" Target="https://www.myheritage.com/dna/match/D-F9099B9B-87A1-4274-827C-AF35BD245736-D-A38A3AB6-8F57-4FE7-B90E-7C782C4790BC/691113321?p=1&amp;ps=10&amp;search=david%20ives&amp;sort=total_shared_segments_length_in_cm&amp;memberId=704364871" TargetMode="External"/><Relationship Id="rId22" Type="http://schemas.openxmlformats.org/officeDocument/2006/relationships/hyperlink" Target="https://www.ancestry.co.uk/family-tree/person/tree/163868056/person/342500457640/facts" TargetMode="External"/></Relationships>
</file>

<file path=xl/worksheets/_rels/sheet6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ncestry.co.uk/discoveryui-matches/compare/50a7c5ef-9e94-44be-a86a-5736956a97f2/with/e1f0480c-68bc-48c5-8311-b71740a31928" TargetMode="External"/><Relationship Id="rId21" Type="http://schemas.openxmlformats.org/officeDocument/2006/relationships/hyperlink" Target="https://www.ancestry.co.uk/discoveryui-matches/compare/50a7c5ef-9e94-44be-a86a-5736956a97f2/with/9def8520-0ee8-47cd-a5d8-a3104d4e6b94" TargetMode="External"/><Relationship Id="rId42" Type="http://schemas.openxmlformats.org/officeDocument/2006/relationships/hyperlink" Target="https://dnapainter.com/tools/sharedcmv4/14?fbclid=IwAR3wqfKWVRq1DI_x4i7OjYx5ayGhdwQu5Tj-9K3u_CVvBxgEWwX7fHipJPs" TargetMode="External"/><Relationship Id="rId63" Type="http://schemas.openxmlformats.org/officeDocument/2006/relationships/hyperlink" Target="https://www.ancestry.co.uk/family-tree/tree/163868056/family/pedigree?cfpid=342132992964" TargetMode="External"/><Relationship Id="rId84" Type="http://schemas.openxmlformats.org/officeDocument/2006/relationships/hyperlink" Target="https://www.ancestry.co.uk/family-tree/tree/163868056/family/pedigree?cfpid=342604059792" TargetMode="External"/><Relationship Id="rId16" Type="http://schemas.openxmlformats.org/officeDocument/2006/relationships/hyperlink" Target="https://www.ancestry.co.uk/family-tree/tree/163868056/family/pedigree?cfpid=342132992964" TargetMode="External"/><Relationship Id="rId107" Type="http://schemas.openxmlformats.org/officeDocument/2006/relationships/hyperlink" Target="https://www.ancestry.co.uk/family-tree/tree/163868056/family/pedigree?cfpid=342132992964" TargetMode="External"/><Relationship Id="rId11" Type="http://schemas.openxmlformats.org/officeDocument/2006/relationships/hyperlink" Target="https://www.ancestry.co.uk/discoveryui-matches/compare/50a7c5ef-9e94-44be-a86a-5736956a97f2/with/dee9d094-7161-4cb4-adcb-79d5c6b6cd0b" TargetMode="External"/><Relationship Id="rId32" Type="http://schemas.openxmlformats.org/officeDocument/2006/relationships/hyperlink" Target="https://www.ancestry.co.uk/family-tree/tree/163868056/family/pedigree?cfpid=342604121674" TargetMode="External"/><Relationship Id="rId37" Type="http://schemas.openxmlformats.org/officeDocument/2006/relationships/hyperlink" Target="https://www.ancestry.co.uk/discoveryui-matches/compare/50a7c5ef-9e94-44be-a86a-5736956a97f2/with/f92bfd60-b598-403c-9e37-3cab46ec6832" TargetMode="External"/><Relationship Id="rId53" Type="http://schemas.openxmlformats.org/officeDocument/2006/relationships/hyperlink" Target="https://www.ancestry.co.uk/discoveryui-matches/compare/50a7c5ef-9e94-44be-a86a-5736956a97f2/with/9006d7bd-7fc5-455a-9567-75e77b53bc05" TargetMode="External"/><Relationship Id="rId58" Type="http://schemas.openxmlformats.org/officeDocument/2006/relationships/hyperlink" Target="https://dnapainter.com/tools/sharedcmv4/8?fbclid=IwAR3wqfKWVRq1DI_x4i7OjYx5ayGhdwQu5Tj-9K3u_CVvBxgEWwX7fHipJPs" TargetMode="External"/><Relationship Id="rId74" Type="http://schemas.openxmlformats.org/officeDocument/2006/relationships/hyperlink" Target="https://dnapainter.com/tools/sharedcmv4/18?fbclid=IwAR3wqfKWVRq1DI_x4i7OjYx5ayGhdwQu5Tj-9K3u_CVvBxgEWwX7fHipJPs" TargetMode="External"/><Relationship Id="rId79" Type="http://schemas.openxmlformats.org/officeDocument/2006/relationships/hyperlink" Target="https://www.ancestry.co.uk/family-tree/tree/163868056/family/pedigree?cfpid=342132992964" TargetMode="External"/><Relationship Id="rId102" Type="http://schemas.openxmlformats.org/officeDocument/2006/relationships/hyperlink" Target="https://dnapainter.com/tools/sharedcmv4/18?fbclid=IwAR3wqfKWVRq1DI_x4i7OjYx5ayGhdwQu5Tj-9K3u_CVvBxgEWwX7fHipJPs" TargetMode="External"/><Relationship Id="rId123" Type="http://schemas.openxmlformats.org/officeDocument/2006/relationships/hyperlink" Target="https://www.ancestry.co.uk/family-tree/tree/163868056/family/pedigree?cfpid=342132992964" TargetMode="External"/><Relationship Id="rId128" Type="http://schemas.openxmlformats.org/officeDocument/2006/relationships/hyperlink" Target="https://www.ancestry.co.uk/family-tree/tree/163868056/family/pedigree?cfpid=342604214391" TargetMode="External"/><Relationship Id="rId5" Type="http://schemas.openxmlformats.org/officeDocument/2006/relationships/hyperlink" Target="https://www.ancestry.co.uk/discoveryui-matches/compare/50a7c5ef-9e94-44be-a86a-5736956a97f2/with/e126b28a-e8a4-4691-aaab-a0151d32583a" TargetMode="External"/><Relationship Id="rId90" Type="http://schemas.openxmlformats.org/officeDocument/2006/relationships/hyperlink" Target="https://dnapainter.com/tools/sharedcmv4/18?fbclid=IwAR3wqfKWVRq1DI_x4i7OjYx5ayGhdwQu5Tj-9K3u_CVvBxgEWwX7fHipJPs" TargetMode="External"/><Relationship Id="rId95" Type="http://schemas.openxmlformats.org/officeDocument/2006/relationships/hyperlink" Target="https://dnapainter.com/tools/sharedcmv4/18?fbclid=IwAR3wqfKWVRq1DI_x4i7OjYx5ayGhdwQu5Tj-9K3u_CVvBxgEWwX7fHipJPs" TargetMode="External"/><Relationship Id="rId22" Type="http://schemas.openxmlformats.org/officeDocument/2006/relationships/hyperlink" Target="https://dnapainter.com/tools/sharedcmv4/18?fbclid=IwAR3wqfKWVRq1DI_x4i7OjYx5ayGhdwQu5Tj-9K3u_CVvBxgEWwX7fHipJPs" TargetMode="External"/><Relationship Id="rId27" Type="http://schemas.openxmlformats.org/officeDocument/2006/relationships/hyperlink" Target="https://www.ancestry.co.uk/family-tree/tree/163868056/family/pedigree?cfpid=342132992964" TargetMode="External"/><Relationship Id="rId43" Type="http://schemas.openxmlformats.org/officeDocument/2006/relationships/hyperlink" Target="https://www.ancestry.co.uk/family-tree/tree/163868056/family/pedigree?cfpid=342132992964" TargetMode="External"/><Relationship Id="rId48" Type="http://schemas.openxmlformats.org/officeDocument/2006/relationships/hyperlink" Target="https://www.ancestry.co.uk/discoveryui-matches/compare/50a7c5ef-9e94-44be-a86a-5736956a97f2/with/f85bc405-5180-4511-bf44-ce8091a6d9df" TargetMode="External"/><Relationship Id="rId64" Type="http://schemas.openxmlformats.org/officeDocument/2006/relationships/hyperlink" Target="https://www.ancestry.co.uk/family-tree/tree/163868056/family/pedigree?cfpid=342604214685" TargetMode="External"/><Relationship Id="rId69" Type="http://schemas.openxmlformats.org/officeDocument/2006/relationships/hyperlink" Target="https://www.ancestry.co.uk/family-tree/tree/163868056/family/pedigree?cfpid=342604062545" TargetMode="External"/><Relationship Id="rId113" Type="http://schemas.openxmlformats.org/officeDocument/2006/relationships/hyperlink" Target="https://dnapainter.com/tools/sharedcmv4/17?fbclid=IwAR3wqfKWVRq1DI_x4i7OjYx5ayGhdwQu5Tj-9K3u_CVvBxgEWwX7fHipJPs" TargetMode="External"/><Relationship Id="rId118" Type="http://schemas.openxmlformats.org/officeDocument/2006/relationships/hyperlink" Target="https://dnapainter.com/tools/sharedcmv4/15?fbclid=IwAR3wqfKWVRq1DI_x4i7OjYx5ayGhdwQu5Tj-9K3u_CVvBxgEWwX7fHipJPs" TargetMode="External"/><Relationship Id="rId134" Type="http://schemas.openxmlformats.org/officeDocument/2006/relationships/hyperlink" Target="https://dnapainter.com/tools/sharedcmv4/7?fbclid=IwAR3wqfKWVRq1DI_x4i7OjYx5ayGhdwQu5Tj-9K3u_CVvBxgEWwX7fHipJPs" TargetMode="External"/><Relationship Id="rId80" Type="http://schemas.openxmlformats.org/officeDocument/2006/relationships/hyperlink" Target="https://www.ancestry.co.uk/family-tree/tree/163868056/family/pedigree?cfpid=342604058848" TargetMode="External"/><Relationship Id="rId85" Type="http://schemas.openxmlformats.org/officeDocument/2006/relationships/hyperlink" Target="https://www.ancestry.co.uk/discoveryui-matches/compare/50a7c5ef-9e94-44be-a86a-5736956a97f2/with/9cbfc2d9-aaae-43e0-b717-8bc4986afede" TargetMode="External"/><Relationship Id="rId12" Type="http://schemas.openxmlformats.org/officeDocument/2006/relationships/hyperlink" Target="https://dnapainter.com/tools/sharedcmv4/18?fbclid=IwAR3wqfKWVRq1DI_x4i7OjYx5ayGhdwQu5Tj-9K3u_CVvBxgEWwX7fHipJPs" TargetMode="External"/><Relationship Id="rId17" Type="http://schemas.openxmlformats.org/officeDocument/2006/relationships/hyperlink" Target="https://www.ancestry.co.uk/discoveryui-matches/compare/50a7c5ef-9e94-44be-a86a-5736956a97f2/with/de1c866f-3272-4eaf-9f43-58f4cf9ff1c1" TargetMode="External"/><Relationship Id="rId33" Type="http://schemas.openxmlformats.org/officeDocument/2006/relationships/hyperlink" Target="https://www.ancestry.co.uk/discoveryui-matches/compare/50a7c5ef-9e94-44be-a86a-5736956a97f2/with/9006d7bd-7fc5-455a-9567-75e77b53bc05" TargetMode="External"/><Relationship Id="rId38" Type="http://schemas.openxmlformats.org/officeDocument/2006/relationships/hyperlink" Target="https://dnapainter.com/tools/sharedcmv4/14?fbclid=IwAR3wqfKWVRq1DI_x4i7OjYx5ayGhdwQu5Tj-9K3u_CVvBxgEWwX7fHipJPs" TargetMode="External"/><Relationship Id="rId59" Type="http://schemas.openxmlformats.org/officeDocument/2006/relationships/hyperlink" Target="https://www.ancestry.co.uk/family-tree/tree/163868056/family/pedigree?cfpid=342132992964" TargetMode="External"/><Relationship Id="rId103" Type="http://schemas.openxmlformats.org/officeDocument/2006/relationships/hyperlink" Target="https://www.ancestry.co.uk/family-tree/tree/163868056/family/pedigree?cfpid=342132992964" TargetMode="External"/><Relationship Id="rId108" Type="http://schemas.openxmlformats.org/officeDocument/2006/relationships/hyperlink" Target="https://www.ancestry.co.uk/family-tree/tree/163868056/family/pedigree?cfpid=342604066776" TargetMode="External"/><Relationship Id="rId124" Type="http://schemas.openxmlformats.org/officeDocument/2006/relationships/hyperlink" Target="https://www.ancestry.co.uk/family-tree/tree/163868056/family/pedigree?cfpid=342604121279" TargetMode="External"/><Relationship Id="rId129" Type="http://schemas.openxmlformats.org/officeDocument/2006/relationships/hyperlink" Target="https://www.ancestry.co.uk/discoveryui-matches/compare/50a7c5ef-9e94-44be-a86a-5736956a97f2/with/86694eb7-bb74-4382-8c84-ff746bbffef4" TargetMode="External"/><Relationship Id="rId54" Type="http://schemas.openxmlformats.org/officeDocument/2006/relationships/hyperlink" Target="https://dnapainter.com/tools/sharedcmv4/8?fbclid=IwAR3wqfKWVRq1DI_x4i7OjYx5ayGhdwQu5Tj-9K3u_CVvBxgEWwX7fHipJPs" TargetMode="External"/><Relationship Id="rId70" Type="http://schemas.openxmlformats.org/officeDocument/2006/relationships/hyperlink" Target="https://www.ancestry.co.uk/discoveryui-matches/compare/50a7c5ef-9e94-44be-a86a-5736956a97f2/with/39286e92-87f6-433a-8c8b-d240e9f8b4d5" TargetMode="External"/><Relationship Id="rId75" Type="http://schemas.openxmlformats.org/officeDocument/2006/relationships/hyperlink" Target="https://www.ancestry.co.uk/family-tree/tree/163868056/family/pedigree?cfpid=342132992964" TargetMode="External"/><Relationship Id="rId91" Type="http://schemas.openxmlformats.org/officeDocument/2006/relationships/hyperlink" Target="https://www.ancestry.co.uk/family-tree/tree/163868056/family/pedigree?cfpid=342132992964" TargetMode="External"/><Relationship Id="rId96" Type="http://schemas.openxmlformats.org/officeDocument/2006/relationships/hyperlink" Target="https://www.ancestry.co.uk/family-tree/tree/163868056/family/pedigree?cfpid=342132992964" TargetMode="External"/><Relationship Id="rId1" Type="http://schemas.openxmlformats.org/officeDocument/2006/relationships/hyperlink" Target="https://www.ancestry.co.uk/family-tree/tree/163868056/family/pedigree?cfpid=342604211574" TargetMode="External"/><Relationship Id="rId6" Type="http://schemas.openxmlformats.org/officeDocument/2006/relationships/hyperlink" Target="https://dnapainter.com/tools/sharedcmv4/20?fbclid=IwAR3wqfKWVRq1DI_x4i7OjYx5ayGhdwQu5Tj-9K3u_CVvBxgEWwX7fHipJPs" TargetMode="External"/><Relationship Id="rId23" Type="http://schemas.openxmlformats.org/officeDocument/2006/relationships/hyperlink" Target="https://www.ancestry.co.uk/family-tree/tree/163868056/family/pedigree?cfpid=342132992964" TargetMode="External"/><Relationship Id="rId28" Type="http://schemas.openxmlformats.org/officeDocument/2006/relationships/hyperlink" Target="https://www.ancestry.co.uk/family-tree/tree/163868056/family/pedigree?cfpid=342604061819" TargetMode="External"/><Relationship Id="rId49" Type="http://schemas.openxmlformats.org/officeDocument/2006/relationships/hyperlink" Target="https://dnapainter.com/tools/sharedcmv4/11?fbclid=IwAR3wqfKWVRq1DI_x4i7OjYx5ayGhdwQu5Tj-9K3u_CVvBxgEWwX7fHipJPs" TargetMode="External"/><Relationship Id="rId114" Type="http://schemas.openxmlformats.org/officeDocument/2006/relationships/hyperlink" Target="https://www.ancestry.co.uk/family-tree/tree/163868056/family/pedigree?cfpid=342132992964" TargetMode="External"/><Relationship Id="rId119" Type="http://schemas.openxmlformats.org/officeDocument/2006/relationships/hyperlink" Target="https://www.ancestry.co.uk/family-tree/tree/163868056/family/pedigree?cfpid=342132992964" TargetMode="External"/><Relationship Id="rId44" Type="http://schemas.openxmlformats.org/officeDocument/2006/relationships/hyperlink" Target="https://www.ancestry.co.uk/family-tree/tree/163868056/family/pedigree?cfpid=342604060423" TargetMode="External"/><Relationship Id="rId60" Type="http://schemas.openxmlformats.org/officeDocument/2006/relationships/hyperlink" Target="https://www.ancestry.co.uk/family-tree/tree/163868056/family/pedigree?cfpid=342604214286" TargetMode="External"/><Relationship Id="rId65" Type="http://schemas.openxmlformats.org/officeDocument/2006/relationships/hyperlink" Target="https://www.ancestry.co.uk/family-tree/tree/163868056/family/pedigree?cfpid=342604218780" TargetMode="External"/><Relationship Id="rId81" Type="http://schemas.openxmlformats.org/officeDocument/2006/relationships/hyperlink" Target="https://www.ancestry.co.uk/discoveryui-matches/compare/50a7c5ef-9e94-44be-a86a-5736956a97f2/with/71132d94-3ebf-4bfc-8e84-997e9676e69c" TargetMode="External"/><Relationship Id="rId86" Type="http://schemas.openxmlformats.org/officeDocument/2006/relationships/hyperlink" Target="https://dnapainter.com/tools/sharedcmv4/18?fbclid=IwAR3wqfKWVRq1DI_x4i7OjYx5ayGhdwQu5Tj-9K3u_CVvBxgEWwX7fHipJPs" TargetMode="External"/><Relationship Id="rId130" Type="http://schemas.openxmlformats.org/officeDocument/2006/relationships/hyperlink" Target="https://dnapainter.com/tools/sharedcmv4/8?fbclid=IwAR3wqfKWVRq1DI_x4i7OjYx5ayGhdwQu5Tj-9K3u_CVvBxgEWwX7fHipJPs" TargetMode="External"/><Relationship Id="rId135" Type="http://schemas.openxmlformats.org/officeDocument/2006/relationships/hyperlink" Target="https://www.ancestry.co.uk/family-tree/tree/163868056/family/pedigree?cfpid=342132992964" TargetMode="External"/><Relationship Id="rId13" Type="http://schemas.openxmlformats.org/officeDocument/2006/relationships/hyperlink" Target="https://www.ancestry.co.uk/family-tree/tree/163868056/family/pedigree?cfpid=342132992964" TargetMode="External"/><Relationship Id="rId18" Type="http://schemas.openxmlformats.org/officeDocument/2006/relationships/hyperlink" Target="https://dnapainter.com/tools/sharedcmv4/18?fbclid=IwAR3wqfKWVRq1DI_x4i7OjYx5ayGhdwQu5Tj-9K3u_CVvBxgEWwX7fHipJPs" TargetMode="External"/><Relationship Id="rId39" Type="http://schemas.openxmlformats.org/officeDocument/2006/relationships/hyperlink" Target="https://www.ancestry.co.uk/family-tree/tree/163868056/family/pedigree?cfpid=342132992964" TargetMode="External"/><Relationship Id="rId109" Type="http://schemas.openxmlformats.org/officeDocument/2006/relationships/hyperlink" Target="https://www.ancestry.co.uk/discoveryui-matches/compare/50a7c5ef-9e94-44be-a86a-5736956a97f2/with/3af6d06b-19cd-424f-8467-7002988cf93d" TargetMode="External"/><Relationship Id="rId34" Type="http://schemas.openxmlformats.org/officeDocument/2006/relationships/hyperlink" Target="https://dnapainter.com/tools/sharedcmv4/16?fbclid=IwAR3wqfKWVRq1DI_x4i7OjYx5ayGhdwQu5Tj-9K3u_CVvBxgEWwX7fHipJPs" TargetMode="External"/><Relationship Id="rId50" Type="http://schemas.openxmlformats.org/officeDocument/2006/relationships/hyperlink" Target="https://www.ancestry.co.uk/family-tree/tree/163868056/family/pedigree?cfpid=342132992964" TargetMode="External"/><Relationship Id="rId55" Type="http://schemas.openxmlformats.org/officeDocument/2006/relationships/hyperlink" Target="https://www.ancestry.co.uk/family-tree/tree/163868056/family/pedigree?cfpid=342132992964" TargetMode="External"/><Relationship Id="rId76" Type="http://schemas.openxmlformats.org/officeDocument/2006/relationships/hyperlink" Target="https://www.ancestry.co.uk/family-tree/tree/163868056/family/pedigree?cfpid=342604218710" TargetMode="External"/><Relationship Id="rId97" Type="http://schemas.openxmlformats.org/officeDocument/2006/relationships/hyperlink" Target="https://www.ancestry.co.uk/family-tree/tree/163868056/family/pedigree?cfpid=342604211783" TargetMode="External"/><Relationship Id="rId104" Type="http://schemas.openxmlformats.org/officeDocument/2006/relationships/hyperlink" Target="https://www.ancestry.co.uk/family-tree/tree/163868056/family/pedigree?cfpid=342604059616" TargetMode="External"/><Relationship Id="rId120" Type="http://schemas.openxmlformats.org/officeDocument/2006/relationships/hyperlink" Target="https://www.ancestry.co.uk/family-tree/tree/163868056/family/pedigree?cfpid=342604214703" TargetMode="External"/><Relationship Id="rId125" Type="http://schemas.openxmlformats.org/officeDocument/2006/relationships/hyperlink" Target="https://www.ancestry.co.uk/discoveryui-matches/compare/50a7c5ef-9e94-44be-a86a-5736956a97f2/with/f77de563-9b68-49f1-bc42-344dcc941993" TargetMode="External"/><Relationship Id="rId7" Type="http://schemas.openxmlformats.org/officeDocument/2006/relationships/hyperlink" Target="https://www.ancestry.co.uk/family-tree/tree/163868056/family/pedigree?cfpid=342604119499" TargetMode="External"/><Relationship Id="rId71" Type="http://schemas.openxmlformats.org/officeDocument/2006/relationships/hyperlink" Target="https://dnapainter.com/tools/sharedcmv4/19?fbclid=IwAR3wqfKWVRq1DI_x4i7OjYx5ayGhdwQu5Tj-9K3u_CVvBxgEWwX7fHipJPs" TargetMode="External"/><Relationship Id="rId92" Type="http://schemas.openxmlformats.org/officeDocument/2006/relationships/hyperlink" Target="https://www.ancestry.co.uk/family-tree/tree/163868056/family/pedigree?cfpid=342604116842" TargetMode="External"/><Relationship Id="rId2" Type="http://schemas.openxmlformats.org/officeDocument/2006/relationships/hyperlink" Target="https://www.ancestry.co.uk/discoveryui-matches/compare/50a7c5ef-9e94-44be-a86a-5736956a97f2/with/c6bcad69-2eaa-44a9-82cd-ffbc896062bd" TargetMode="External"/><Relationship Id="rId29" Type="http://schemas.openxmlformats.org/officeDocument/2006/relationships/hyperlink" Target="https://www.ancestry.co.uk/discoveryui-matches/compare/50a7c5ef-9e94-44be-a86a-5736956a97f2/with/19b85f61-3d06-4637-aab0-a93414511372" TargetMode="External"/><Relationship Id="rId24" Type="http://schemas.openxmlformats.org/officeDocument/2006/relationships/hyperlink" Target="https://www.ancestry.co.uk/family-tree/tree/163868056/family/pedigree?cfpid=342604116907" TargetMode="External"/><Relationship Id="rId40" Type="http://schemas.openxmlformats.org/officeDocument/2006/relationships/hyperlink" Target="https://www.ancestry.co.uk/family-tree/tree/163868056/family/pedigree?cfpid=342604060238" TargetMode="External"/><Relationship Id="rId45" Type="http://schemas.openxmlformats.org/officeDocument/2006/relationships/hyperlink" Target="https://www.ancestry.co.uk/discoveryui-matches/compare/50a7c5ef-9e94-44be-a86a-5736956a97f2/with/79999778-8cde-48af-b4bf-3b5d180d734b" TargetMode="External"/><Relationship Id="rId66" Type="http://schemas.openxmlformats.org/officeDocument/2006/relationships/hyperlink" Target="https://www.ancestry.co.uk/discoveryui-matches/compare/50a7c5ef-9e94-44be-a86a-5736956a97f2/with/536d6431-a130-460f-bfb1-4d64e57a8132" TargetMode="External"/><Relationship Id="rId87" Type="http://schemas.openxmlformats.org/officeDocument/2006/relationships/hyperlink" Target="https://www.ancestry.co.uk/family-tree/tree/163868056/family/pedigree?cfpid=342132992964" TargetMode="External"/><Relationship Id="rId110" Type="http://schemas.openxmlformats.org/officeDocument/2006/relationships/hyperlink" Target="https://dnapainter.com/tools/sharedcmv4/17?fbclid=IwAR3wqfKWVRq1DI_x4i7OjYx5ayGhdwQu5Tj-9K3u_CVvBxgEWwX7fHipJPs" TargetMode="External"/><Relationship Id="rId115" Type="http://schemas.openxmlformats.org/officeDocument/2006/relationships/hyperlink" Target="https://www.ancestry.co.uk/family-tree/tree/163868056/family/pedigree?cfpid=342604120066" TargetMode="External"/><Relationship Id="rId131" Type="http://schemas.openxmlformats.org/officeDocument/2006/relationships/hyperlink" Target="https://www.ancestry.co.uk/family-tree/tree/163868056/family/pedigree?cfpid=342132992964" TargetMode="External"/><Relationship Id="rId136" Type="http://schemas.openxmlformats.org/officeDocument/2006/relationships/hyperlink" Target="https://www.ancestry.co.uk/family-tree/tree/163868056/family/pedigree?cfpid=342604061202" TargetMode="External"/><Relationship Id="rId61" Type="http://schemas.openxmlformats.org/officeDocument/2006/relationships/hyperlink" Target="https://www.ancestry.co.uk/discoveryui-matches/compare/50a7c5ef-9e94-44be-a86a-5736956a97f2/with/38cac89c-2120-45b3-8ee3-86780be581cb" TargetMode="External"/><Relationship Id="rId82" Type="http://schemas.openxmlformats.org/officeDocument/2006/relationships/hyperlink" Target="https://dnapainter.com/tools/sharedcmv4/18?fbclid=IwAR3wqfKWVRq1DI_x4i7OjYx5ayGhdwQu5Tj-9K3u_CVvBxgEWwX7fHipJPs" TargetMode="External"/><Relationship Id="rId19" Type="http://schemas.openxmlformats.org/officeDocument/2006/relationships/hyperlink" Target="https://www.ancestry.co.uk/family-tree/tree/163868056/family/pedigree?cfpid=342132992964" TargetMode="External"/><Relationship Id="rId14" Type="http://schemas.openxmlformats.org/officeDocument/2006/relationships/hyperlink" Target="https://www.ancestry.co.uk/family-tree/tree/163868056/family/pedigree?cfpid=342132992964" TargetMode="External"/><Relationship Id="rId30" Type="http://schemas.openxmlformats.org/officeDocument/2006/relationships/hyperlink" Target="https://dnapainter.com/tools/sharedcmv4/16?fbclid=IwAR3wqfKWVRq1DI_x4i7OjYx5ayGhdwQu5Tj-9K3u_CVvBxgEWwX7fHipJPs" TargetMode="External"/><Relationship Id="rId35" Type="http://schemas.openxmlformats.org/officeDocument/2006/relationships/hyperlink" Target="https://www.ancestry.co.uk/family-tree/tree/163868056/family/pedigree?cfpid=342132992964" TargetMode="External"/><Relationship Id="rId56" Type="http://schemas.openxmlformats.org/officeDocument/2006/relationships/hyperlink" Target="https://www.ancestry.co.uk/family-tree/tree/163868056/family/pedigree?cfpid=342604120423" TargetMode="External"/><Relationship Id="rId77" Type="http://schemas.openxmlformats.org/officeDocument/2006/relationships/hyperlink" Target="https://www.ancestry.co.uk/discoveryui-matches/compare/50a7c5ef-9e94-44be-a86a-5736956a97f2/with/1b955312-9625-40a4-9c9b-a9bcedd2ff41" TargetMode="External"/><Relationship Id="rId100" Type="http://schemas.openxmlformats.org/officeDocument/2006/relationships/hyperlink" Target="https://www.ancestry.co.uk/family-tree/tree/163868056/family/pedigree?cfpid=342132992964" TargetMode="External"/><Relationship Id="rId105" Type="http://schemas.openxmlformats.org/officeDocument/2006/relationships/hyperlink" Target="https://www.ancestry.co.uk/discoveryui-matches/compare/50a7c5ef-9e94-44be-a86a-5736956a97f2/with/971d5838-bc66-441c-b9e0-38fa627e8080" TargetMode="External"/><Relationship Id="rId126" Type="http://schemas.openxmlformats.org/officeDocument/2006/relationships/hyperlink" Target="https://dnapainter.com/tools/sharedcmv4/9?fbclid=IwAR3wqfKWVRq1DI_x4i7OjYx5ayGhdwQu5Tj-9K3u_CVvBxgEWwX7fHipJPs" TargetMode="External"/><Relationship Id="rId8" Type="http://schemas.openxmlformats.org/officeDocument/2006/relationships/hyperlink" Target="https://www.ancestry.co.uk/discoveryui-matches/compare/50a7c5ef-9e94-44be-a86a-5736956a97f2/with/65d3350e-da4c-42fd-89ce-bbbc52192c7c" TargetMode="External"/><Relationship Id="rId51" Type="http://schemas.openxmlformats.org/officeDocument/2006/relationships/hyperlink" Target="https://www.ancestry.co.uk/family-tree/tree/163868056/family/pedigree?cfpid=342604119356" TargetMode="External"/><Relationship Id="rId72" Type="http://schemas.openxmlformats.org/officeDocument/2006/relationships/hyperlink" Target="https://www.ancestry.co.uk/family-tree/tree/163868056/family/pedigree?cfpid=342132992964" TargetMode="External"/><Relationship Id="rId93" Type="http://schemas.openxmlformats.org/officeDocument/2006/relationships/hyperlink" Target="https://www.ancestry.co.uk/family-tree/tree/163868056/family/pedigree?cfpid=342604065972" TargetMode="External"/><Relationship Id="rId98" Type="http://schemas.openxmlformats.org/officeDocument/2006/relationships/hyperlink" Target="https://www.ancestry.co.uk/discoveryui-matches/compare/50a7c5ef-9e94-44be-a86a-5736956a97f2/with/38de7acf-8c92-4f04-b375-4106e4062ad6" TargetMode="External"/><Relationship Id="rId121" Type="http://schemas.openxmlformats.org/officeDocument/2006/relationships/hyperlink" Target="https://www.ancestry.co.uk/discoveryui-matches/compare/50a7c5ef-9e94-44be-a86a-5736956a97f2/with/4d38f92a-10bb-4ba9-a66b-bb8f3b9686b9" TargetMode="External"/><Relationship Id="rId3" Type="http://schemas.openxmlformats.org/officeDocument/2006/relationships/hyperlink" Target="https://dnapainter.com/tools/sharedcmv4/20?fbclid=IwAR3wqfKWVRq1DI_x4i7OjYx5ayGhdwQu5Tj-9K3u_CVvBxgEWwX7fHipJPs" TargetMode="External"/><Relationship Id="rId25" Type="http://schemas.openxmlformats.org/officeDocument/2006/relationships/hyperlink" Target="https://www.ancestry.co.uk/discoveryui-matches/compare/50a7c5ef-9e94-44be-a86a-5736956a97f2/with/19b85f61-3d06-4637-aab0-a93414511372" TargetMode="External"/><Relationship Id="rId46" Type="http://schemas.openxmlformats.org/officeDocument/2006/relationships/hyperlink" Target="https://www.ancestry.co.uk/family-tree/tree/163868056/family/pedigree?cfpid=342132992964" TargetMode="External"/><Relationship Id="rId67" Type="http://schemas.openxmlformats.org/officeDocument/2006/relationships/hyperlink" Target="https://dnapainter.com/tools/sharedcmv4/19?fbclid=IwAR3wqfKWVRq1DI_x4i7OjYx5ayGhdwQu5Tj-9K3u_CVvBxgEWwX7fHipJPs" TargetMode="External"/><Relationship Id="rId116" Type="http://schemas.openxmlformats.org/officeDocument/2006/relationships/hyperlink" Target="https://www.ancestry.co.uk/discoveryui-matches/compare/50a7c5ef-9e94-44be-a86a-5736956a97f2/with/fd0e1862-63d3-497c-a3a6-3886e7b195af" TargetMode="External"/><Relationship Id="rId20" Type="http://schemas.openxmlformats.org/officeDocument/2006/relationships/hyperlink" Target="https://www.ancestry.co.uk/family-tree/tree/163868056/family/pedigree?cfpid=342604059777" TargetMode="External"/><Relationship Id="rId41" Type="http://schemas.openxmlformats.org/officeDocument/2006/relationships/hyperlink" Target="https://www.ancestry.co.uk/discoveryui-matches/compare/50a7c5ef-9e94-44be-a86a-5736956a97f2/with/97aff5bd-dd50-4d5b-9ea5-5178943ff14d" TargetMode="External"/><Relationship Id="rId62" Type="http://schemas.openxmlformats.org/officeDocument/2006/relationships/hyperlink" Target="https://dnapainter.com/tools/sharedcmv4/15?fbclid=IwAR3wqfKWVRq1DI_x4i7OjYx5ayGhdwQu5Tj-9K3u_CVvBxgEWwX7fHipJPs" TargetMode="External"/><Relationship Id="rId83" Type="http://schemas.openxmlformats.org/officeDocument/2006/relationships/hyperlink" Target="https://www.ancestry.co.uk/family-tree/tree/163868056/family/pedigree?cfpid=342132992964" TargetMode="External"/><Relationship Id="rId88" Type="http://schemas.openxmlformats.org/officeDocument/2006/relationships/hyperlink" Target="https://www.ancestry.co.uk/family-tree/tree/163868056/family/pedigree?cfpid=342604119292" TargetMode="External"/><Relationship Id="rId111" Type="http://schemas.openxmlformats.org/officeDocument/2006/relationships/hyperlink" Target="https://www.ancestry.co.uk/family-tree/tree/163868056/family/pedigree?cfpid=342132992964" TargetMode="External"/><Relationship Id="rId132" Type="http://schemas.openxmlformats.org/officeDocument/2006/relationships/hyperlink" Target="https://www.ancestry.co.uk/family-tree/tree/163868056/family/pedigree?cfpid=342604061515" TargetMode="External"/><Relationship Id="rId15" Type="http://schemas.openxmlformats.org/officeDocument/2006/relationships/hyperlink" Target="https://www.ancestry.co.uk/family-tree/tree/163868056/family/pedigree?cfpid=342132992964" TargetMode="External"/><Relationship Id="rId36" Type="http://schemas.openxmlformats.org/officeDocument/2006/relationships/hyperlink" Target="https://www.ancestry.co.uk/family-tree/tree/163868056/family/pedigree?cfpid=342604119883" TargetMode="External"/><Relationship Id="rId57" Type="http://schemas.openxmlformats.org/officeDocument/2006/relationships/hyperlink" Target="https://www.ancestry.co.uk/discoveryui-matches/compare/50a7c5ef-9e94-44be-a86a-5736956a97f2/with/d26d1497-f0cc-4203-a961-2e2b0372effe" TargetMode="External"/><Relationship Id="rId106" Type="http://schemas.openxmlformats.org/officeDocument/2006/relationships/hyperlink" Target="https://dnapainter.com/tools/sharedcmv4/17?fbclid=IwAR3wqfKWVRq1DI_x4i7OjYx5ayGhdwQu5Tj-9K3u_CVvBxgEWwX7fHipJPs" TargetMode="External"/><Relationship Id="rId127" Type="http://schemas.openxmlformats.org/officeDocument/2006/relationships/hyperlink" Target="https://www.ancestry.co.uk/family-tree/tree/163868056/family/pedigree?cfpid=342132992964" TargetMode="External"/><Relationship Id="rId10" Type="http://schemas.openxmlformats.org/officeDocument/2006/relationships/hyperlink" Target="https://www.ancestry.co.uk/family-tree/tree/163868056/family/pedigree?cfpid=342604219480" TargetMode="External"/><Relationship Id="rId31" Type="http://schemas.openxmlformats.org/officeDocument/2006/relationships/hyperlink" Target="https://www.ancestry.co.uk/family-tree/tree/163868056/family/pedigree?cfpid=342132992964" TargetMode="External"/><Relationship Id="rId52" Type="http://schemas.openxmlformats.org/officeDocument/2006/relationships/hyperlink" Target="https://dnapainter.com/tools/sharedcmv4/14?fbclid=IwAR3wqfKWVRq1DI_x4i7OjYx5ayGhdwQu5Tj-9K3u_CVvBxgEWwX7fHipJPs" TargetMode="External"/><Relationship Id="rId73" Type="http://schemas.openxmlformats.org/officeDocument/2006/relationships/hyperlink" Target="https://www.ancestry.co.uk/discoveryui-matches/compare/50a7c5ef-9e94-44be-a86a-5736956a97f2/with/8ba1ba7c-6b36-4917-afbc-2f5a0a8bc06e" TargetMode="External"/><Relationship Id="rId78" Type="http://schemas.openxmlformats.org/officeDocument/2006/relationships/hyperlink" Target="https://dnapainter.com/tools/sharedcmv4/18?fbclid=IwAR3wqfKWVRq1DI_x4i7OjYx5ayGhdwQu5Tj-9K3u_CVvBxgEWwX7fHipJPs" TargetMode="External"/><Relationship Id="rId94" Type="http://schemas.openxmlformats.org/officeDocument/2006/relationships/hyperlink" Target="https://www.ancestry.co.uk/discoveryui-matches/compare/50a7c5ef-9e94-44be-a86a-5736956a97f2/with/ab0bc95e-aca5-46ec-9d11-db103164ca56" TargetMode="External"/><Relationship Id="rId99" Type="http://schemas.openxmlformats.org/officeDocument/2006/relationships/hyperlink" Target="https://dnapainter.com/tools/sharedcmv4/18?fbclid=IwAR3wqfKWVRq1DI_x4i7OjYx5ayGhdwQu5Tj-9K3u_CVvBxgEWwX7fHipJPs" TargetMode="External"/><Relationship Id="rId101" Type="http://schemas.openxmlformats.org/officeDocument/2006/relationships/hyperlink" Target="https://www.ancestry.co.uk/discoveryui-matches/compare/50a7c5ef-9e94-44be-a86a-5736956a97f2/with/acca55e2-47be-4e08-9d83-94c49e6231a4" TargetMode="External"/><Relationship Id="rId122" Type="http://schemas.openxmlformats.org/officeDocument/2006/relationships/hyperlink" Target="https://dnapainter.com/tools/sharedcmv4/11?fbclid=IwAR3wqfKWVRq1DI_x4i7OjYx5ayGhdwQu5Tj-9K3u_CVvBxgEWwX7fHipJPs" TargetMode="External"/><Relationship Id="rId4" Type="http://schemas.openxmlformats.org/officeDocument/2006/relationships/hyperlink" Target="https://www.ancestry.co.uk/family-tree/tree/163868056/family/pedigree?cfpid=342604211501" TargetMode="External"/><Relationship Id="rId9" Type="http://schemas.openxmlformats.org/officeDocument/2006/relationships/hyperlink" Target="https://dnapainter.com/tools/sharedcmv4/18?fbclid=IwAR3wqfKWVRq1DI_x4i7OjYx5ayGhdwQu5Tj-9K3u_CVvBxgEWwX7fHipJPs" TargetMode="External"/><Relationship Id="rId26" Type="http://schemas.openxmlformats.org/officeDocument/2006/relationships/hyperlink" Target="https://dnapainter.com/tools/sharedcmv4/16?fbclid=IwAR3wqfKWVRq1DI_x4i7OjYx5ayGhdwQu5Tj-9K3u_CVvBxgEWwX7fHipJPs" TargetMode="External"/><Relationship Id="rId47" Type="http://schemas.openxmlformats.org/officeDocument/2006/relationships/hyperlink" Target="https://www.ancestry.co.uk/family-tree/tree/163868056/family/pedigree?cfpid=342604218350" TargetMode="External"/><Relationship Id="rId68" Type="http://schemas.openxmlformats.org/officeDocument/2006/relationships/hyperlink" Target="https://www.ancestry.co.uk/family-tree/tree/163868056/family/pedigree?cfpid=342132992964" TargetMode="External"/><Relationship Id="rId89" Type="http://schemas.openxmlformats.org/officeDocument/2006/relationships/hyperlink" Target="https://www.ancestry.co.uk/discoveryui-matches/compare/50a7c5ef-9e94-44be-a86a-5736956a97f2/with/9cbfc2d9-aaae-43e0-b717-8bc4986afede" TargetMode="External"/><Relationship Id="rId112" Type="http://schemas.openxmlformats.org/officeDocument/2006/relationships/hyperlink" Target="https://www.ancestry.co.uk/family-tree/tree/163868056/family/pedigree?cfpid=342604212652" TargetMode="External"/><Relationship Id="rId133" Type="http://schemas.openxmlformats.org/officeDocument/2006/relationships/hyperlink" Target="https://www.ancestry.co.uk/discoveryui-matches/compare/50a7c5ef-9e94-44be-a86a-5736956a97f2/with/0b1a20fa-ac25-4278-8420-79507c925c04" TargetMode="External"/></Relationships>
</file>

<file path=xl/worksheets/_rels/sheet6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ncestry.co.uk/family-tree/person/tree/163868056/person/342187643901/facts" TargetMode="External"/><Relationship Id="rId18" Type="http://schemas.openxmlformats.org/officeDocument/2006/relationships/hyperlink" Target="https://www.ancestry.co.uk/family-tree/tree/163868056/family?cfpid=342187643901" TargetMode="External"/><Relationship Id="rId26" Type="http://schemas.openxmlformats.org/officeDocument/2006/relationships/hyperlink" Target="https://www.ancestry.co.uk/family-tree/person/tree/163868056/person/342173014034/facts" TargetMode="External"/><Relationship Id="rId39" Type="http://schemas.openxmlformats.org/officeDocument/2006/relationships/hyperlink" Target="https://www.ancestry.co.uk/family-tree/person/tree/163868056/person/342132994030/facts" TargetMode="External"/><Relationship Id="rId21" Type="http://schemas.openxmlformats.org/officeDocument/2006/relationships/hyperlink" Target="https://www.ancestry.co.uk/family-tree/tree/163868056/family?cfpid=342220671171" TargetMode="External"/><Relationship Id="rId34" Type="http://schemas.openxmlformats.org/officeDocument/2006/relationships/hyperlink" Target="https://dnapainter.com/tools/sharedcmv4/73?fbclid=IwAR3wqfKWVRq1DI_x4i7OjYx5ayGhdwQu5Tj-9K3u_CVvBxgEWwX7fHipJPs" TargetMode="External"/><Relationship Id="rId42" Type="http://schemas.openxmlformats.org/officeDocument/2006/relationships/hyperlink" Target="https://dnapainter.com/tools/sharedcmv4/12?fbclid=IwAR3wqfKWVRq1DI_x4i7OjYx5ayGhdwQu5Tj-9K3u_CVvBxgEWwX7fHipJPs" TargetMode="External"/><Relationship Id="rId7" Type="http://schemas.openxmlformats.org/officeDocument/2006/relationships/hyperlink" Target="https://en.wikipedia.org/wiki/Bruce_Alexander_(actor)" TargetMode="External"/><Relationship Id="rId2" Type="http://schemas.openxmlformats.org/officeDocument/2006/relationships/hyperlink" Target="https://www.ancestry.co.uk/family-tree/tree/163868056/family?cfpid=342132993080" TargetMode="External"/><Relationship Id="rId16" Type="http://schemas.openxmlformats.org/officeDocument/2006/relationships/hyperlink" Target="https://www.ancestry.co.uk/family-tree/person/tree/163868056/person/342173014064/facts" TargetMode="External"/><Relationship Id="rId20" Type="http://schemas.openxmlformats.org/officeDocument/2006/relationships/hyperlink" Target="https://en.wikipedia.org/wiki/Hilda_Braid" TargetMode="External"/><Relationship Id="rId29" Type="http://schemas.openxmlformats.org/officeDocument/2006/relationships/hyperlink" Target="https://www.ancestry.co.uk/family-tree/tree/163868056/family?cfpid=342187645941" TargetMode="External"/><Relationship Id="rId41" Type="http://schemas.openxmlformats.org/officeDocument/2006/relationships/hyperlink" Target="https://www.ancestry.co.uk/family-tree/person/tree/163868056/person/342258471945/facts" TargetMode="External"/><Relationship Id="rId1" Type="http://schemas.openxmlformats.org/officeDocument/2006/relationships/hyperlink" Target="https://www.ancestry.co.uk/family-tree/person/tree/163868056/person/342132992989/facts" TargetMode="External"/><Relationship Id="rId6" Type="http://schemas.openxmlformats.org/officeDocument/2006/relationships/hyperlink" Target="https://en.wikipedia.org/wiki/David_Suchet" TargetMode="External"/><Relationship Id="rId11" Type="http://schemas.openxmlformats.org/officeDocument/2006/relationships/hyperlink" Target="https://www.ancestry.co.uk/family-tree/tree/163868056/family?cfpid=342187645940" TargetMode="External"/><Relationship Id="rId24" Type="http://schemas.openxmlformats.org/officeDocument/2006/relationships/hyperlink" Target="https://www.ancestry.co.uk/family-tree/person/tree/163868056/person/342132998051/facts" TargetMode="External"/><Relationship Id="rId32" Type="http://schemas.openxmlformats.org/officeDocument/2006/relationships/hyperlink" Target="https://dnapainter.com/tools/sharedcmv4/122?fbclid=IwAR3wqfKWVRq1DI_x4i7OjYx5ayGhdwQu5Tj-9K3u_CVvBxgEWwX7fHipJPs" TargetMode="External"/><Relationship Id="rId37" Type="http://schemas.openxmlformats.org/officeDocument/2006/relationships/hyperlink" Target="https://www.ancestry.co.uk/family-tree/person/tree/163868056/person/342132992964/facts" TargetMode="External"/><Relationship Id="rId40" Type="http://schemas.openxmlformats.org/officeDocument/2006/relationships/hyperlink" Target="https://www.ancestry.co.uk/family-tree/tree/163868056/family?cfpid=342258471945" TargetMode="External"/><Relationship Id="rId5" Type="http://schemas.openxmlformats.org/officeDocument/2006/relationships/hyperlink" Target="https://www.ancestry.co.uk/family-tree/person/tree/163868056/person/342132992988/facts" TargetMode="External"/><Relationship Id="rId15" Type="http://schemas.openxmlformats.org/officeDocument/2006/relationships/hyperlink" Target="https://www.ancestry.co.uk/family-tree/person/tree/163868056/person/342173014034/facts" TargetMode="External"/><Relationship Id="rId23" Type="http://schemas.openxmlformats.org/officeDocument/2006/relationships/hyperlink" Target="https://www.ancestry.co.uk/family-tree/person/tree/163868056/person/342132998050/facts" TargetMode="External"/><Relationship Id="rId28" Type="http://schemas.openxmlformats.org/officeDocument/2006/relationships/hyperlink" Target="https://www.ancestry.co.uk/family-tree/person/tree/163868056/person/342187645941/facts" TargetMode="External"/><Relationship Id="rId36" Type="http://schemas.openxmlformats.org/officeDocument/2006/relationships/hyperlink" Target="https://en.wikipedia.org/wiki/Kit_Harington" TargetMode="External"/><Relationship Id="rId10" Type="http://schemas.openxmlformats.org/officeDocument/2006/relationships/hyperlink" Target="https://www.ancestry.co.uk/family-tree/person/tree/163868056/person/342187645940/facts" TargetMode="External"/><Relationship Id="rId19" Type="http://schemas.openxmlformats.org/officeDocument/2006/relationships/hyperlink" Target="https://www.ancestry.co.uk/family-tree/person/tree/163868056/person/342220671171/facts" TargetMode="External"/><Relationship Id="rId31" Type="http://schemas.openxmlformats.org/officeDocument/2006/relationships/hyperlink" Target="https://dnapainter.com/tools/sharedcmv4/229?fbclid=IwAR3wqfKWVRq1DI_x4i7OjYx5ayGhdwQu5Tj-9K3u_CVvBxgEWwX7fHipJPs" TargetMode="External"/><Relationship Id="rId4" Type="http://schemas.openxmlformats.org/officeDocument/2006/relationships/hyperlink" Target="https://www.ancestry.co.uk/family-tree/person/tree/163868056/person/342132992964/facts" TargetMode="External"/><Relationship Id="rId9" Type="http://schemas.openxmlformats.org/officeDocument/2006/relationships/hyperlink" Target="https://www.ancestry.co.uk/family-tree/person/tree/163868056/person/342173014064/facts" TargetMode="External"/><Relationship Id="rId14" Type="http://schemas.openxmlformats.org/officeDocument/2006/relationships/hyperlink" Target="https://en.wikipedia.org/wiki/Bedford_Jezzard" TargetMode="External"/><Relationship Id="rId22" Type="http://schemas.openxmlformats.org/officeDocument/2006/relationships/hyperlink" Target="https://www.ancestry.co.uk/family-tree/person/tree/163868056/person/342132992964/facts" TargetMode="External"/><Relationship Id="rId27" Type="http://schemas.openxmlformats.org/officeDocument/2006/relationships/hyperlink" Target="https://www.ancestry.co.uk/family-tree/person/tree/163868056/person/342173014064/facts" TargetMode="External"/><Relationship Id="rId30" Type="http://schemas.openxmlformats.org/officeDocument/2006/relationships/hyperlink" Target="https://www.ancestry.co.uk/family-tree/person/tree/163868056/person/342132992964/facts" TargetMode="External"/><Relationship Id="rId35" Type="http://schemas.openxmlformats.org/officeDocument/2006/relationships/hyperlink" Target="https://dnapainter.com/tools/sharedcmv4/48?fbclid=IwAR3wqfKWVRq1DI_x4i7OjYx5ayGhdwQu5Tj-9K3u_CVvBxgEWwX7fHipJPs" TargetMode="External"/><Relationship Id="rId43" Type="http://schemas.openxmlformats.org/officeDocument/2006/relationships/printerSettings" Target="../printerSettings/printerSettings13.bin"/><Relationship Id="rId8" Type="http://schemas.openxmlformats.org/officeDocument/2006/relationships/hyperlink" Target="https://www.ancestry.co.uk/family-tree/person/tree/163868056/person/342173014034/facts" TargetMode="External"/><Relationship Id="rId3" Type="http://schemas.openxmlformats.org/officeDocument/2006/relationships/hyperlink" Target="https://www.ancestry.co.uk/family-tree/person/tree/163868056/person/342132993080/facts" TargetMode="External"/><Relationship Id="rId12" Type="http://schemas.openxmlformats.org/officeDocument/2006/relationships/hyperlink" Target="https://www.ancestry.co.uk/family-tree/person/tree/163868056/person/342132992964/facts" TargetMode="External"/><Relationship Id="rId17" Type="http://schemas.openxmlformats.org/officeDocument/2006/relationships/hyperlink" Target="https://www.ancestry.co.uk/family-tree/person/tree/163868056/person/342132992964/facts" TargetMode="External"/><Relationship Id="rId25" Type="http://schemas.openxmlformats.org/officeDocument/2006/relationships/hyperlink" Target="https://en.wikipedia.org/wiki/John_Suchet" TargetMode="External"/><Relationship Id="rId33" Type="http://schemas.openxmlformats.org/officeDocument/2006/relationships/hyperlink" Target="https://dnapainter.com/tools/sharedcmv4/73?fbclid=IwAR3wqfKWVRq1DI_x4i7OjYx5ayGhdwQu5Tj-9K3u_CVvBxgEWwX7fHipJPs" TargetMode="External"/><Relationship Id="rId38" Type="http://schemas.openxmlformats.org/officeDocument/2006/relationships/hyperlink" Target="https://www.ancestry.co.uk/family-tree/person/tree/163868056/person/342132994028/fac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EB9BF-8AC9-4964-AF38-33BC9F54DF36}">
  <sheetPr codeName="Sheet48"/>
  <dimension ref="A1:L150"/>
  <sheetViews>
    <sheetView topLeftCell="A6" workbookViewId="0">
      <selection activeCell="A23" sqref="A23"/>
    </sheetView>
  </sheetViews>
  <sheetFormatPr defaultRowHeight="14.5" x14ac:dyDescent="0.35"/>
  <cols>
    <col min="1" max="1" width="21.7265625" customWidth="1"/>
    <col min="2" max="2" width="12.81640625" customWidth="1"/>
    <col min="3" max="3" width="11.54296875" customWidth="1"/>
    <col min="4" max="4" width="14.08984375" style="28" customWidth="1"/>
    <col min="5" max="5" width="16.36328125" style="1" customWidth="1"/>
    <col min="6" max="6" width="18.26953125" style="3" customWidth="1"/>
    <col min="7" max="7" width="17.90625" style="57" customWidth="1"/>
    <col min="8" max="8" width="19.36328125" style="58" customWidth="1"/>
    <col min="9" max="9" width="19.36328125" style="59" customWidth="1"/>
    <col min="10" max="10" width="19.36328125" style="41" customWidth="1"/>
    <col min="11" max="11" width="19" style="9" customWidth="1"/>
    <col min="12" max="12" width="21.90625" style="15" customWidth="1"/>
  </cols>
  <sheetData>
    <row r="1" spans="1:12" ht="15" thickBot="1" x14ac:dyDescent="0.4">
      <c r="A1" s="55" t="s">
        <v>3006</v>
      </c>
      <c r="B1" s="56" t="s">
        <v>3007</v>
      </c>
      <c r="D1"/>
      <c r="E1"/>
      <c r="F1"/>
      <c r="G1"/>
      <c r="H1"/>
      <c r="I1"/>
      <c r="J1"/>
      <c r="K1"/>
      <c r="L1"/>
    </row>
    <row r="2" spans="1:12" ht="15" thickBot="1" x14ac:dyDescent="0.4">
      <c r="A2" s="60">
        <v>0.34</v>
      </c>
      <c r="B2" s="96">
        <f>A2*74.67</f>
        <v>25.387800000000002</v>
      </c>
      <c r="D2"/>
      <c r="E2"/>
      <c r="F2"/>
      <c r="G2"/>
      <c r="H2"/>
      <c r="I2"/>
      <c r="J2"/>
      <c r="K2"/>
      <c r="L2"/>
    </row>
    <row r="3" spans="1:12" ht="15" thickBot="1" x14ac:dyDescent="0.4">
      <c r="A3" s="56" t="s">
        <v>3007</v>
      </c>
      <c r="B3" s="55" t="s">
        <v>3006</v>
      </c>
      <c r="D3"/>
      <c r="E3"/>
      <c r="F3"/>
      <c r="G3"/>
      <c r="H3"/>
      <c r="I3"/>
      <c r="J3"/>
      <c r="K3"/>
      <c r="L3"/>
    </row>
    <row r="4" spans="1:12" x14ac:dyDescent="0.35">
      <c r="A4" s="61">
        <v>187</v>
      </c>
      <c r="B4" s="60">
        <f>A4/74.67</f>
        <v>2.5043524842640954</v>
      </c>
      <c r="D4"/>
      <c r="E4"/>
      <c r="F4"/>
      <c r="G4"/>
      <c r="H4"/>
      <c r="I4"/>
      <c r="J4"/>
      <c r="K4"/>
      <c r="L4"/>
    </row>
    <row r="5" spans="1:12" ht="15" thickBot="1" x14ac:dyDescent="0.4">
      <c r="A5" s="61"/>
      <c r="B5" s="60"/>
      <c r="D5"/>
      <c r="E5"/>
      <c r="F5"/>
      <c r="G5"/>
      <c r="H5"/>
      <c r="I5"/>
      <c r="J5"/>
      <c r="K5"/>
      <c r="L5"/>
    </row>
    <row r="6" spans="1:12" s="63" customFormat="1" ht="15" thickBot="1" x14ac:dyDescent="0.4">
      <c r="A6" s="72" t="s">
        <v>2827</v>
      </c>
      <c r="B6" s="73" t="s">
        <v>2828</v>
      </c>
      <c r="C6" s="77" t="s">
        <v>3074</v>
      </c>
      <c r="D6" s="74" t="s">
        <v>3008</v>
      </c>
      <c r="E6" s="64" t="s">
        <v>3009</v>
      </c>
      <c r="F6" s="65" t="s">
        <v>3010</v>
      </c>
      <c r="G6" s="66" t="s">
        <v>3011</v>
      </c>
      <c r="H6" s="67" t="s">
        <v>3012</v>
      </c>
      <c r="I6" s="68" t="s">
        <v>3013</v>
      </c>
      <c r="J6" s="62" t="s">
        <v>3014</v>
      </c>
      <c r="K6" s="69" t="s">
        <v>3015</v>
      </c>
      <c r="L6" s="75" t="s">
        <v>3049</v>
      </c>
    </row>
    <row r="7" spans="1:12" x14ac:dyDescent="0.35">
      <c r="A7" s="78"/>
      <c r="B7" s="71">
        <f>SUM(Angier:Wilson!B1)</f>
        <v>616</v>
      </c>
      <c r="C7" s="76"/>
    </row>
    <row r="8" spans="1:12" x14ac:dyDescent="0.35">
      <c r="A8" s="79" t="s">
        <v>3680</v>
      </c>
      <c r="B8" s="71">
        <f>Alderman!B1</f>
        <v>1</v>
      </c>
      <c r="C8" s="76">
        <f t="shared" ref="C8:C60" si="0">RANK(B8,$B$9:$B$60)</f>
        <v>43</v>
      </c>
      <c r="D8" s="28" t="s">
        <v>3018</v>
      </c>
      <c r="E8" s="1" t="s">
        <v>3018</v>
      </c>
      <c r="F8" s="3" t="s">
        <v>3024</v>
      </c>
      <c r="G8" s="57" t="s">
        <v>3024</v>
      </c>
      <c r="H8" s="58" t="s">
        <v>3024</v>
      </c>
      <c r="I8" s="59" t="s">
        <v>3024</v>
      </c>
      <c r="J8" s="41" t="s">
        <v>3096</v>
      </c>
      <c r="K8" s="9" t="s">
        <v>3681</v>
      </c>
    </row>
    <row r="9" spans="1:12" x14ac:dyDescent="0.35">
      <c r="A9" s="79" t="s">
        <v>2781</v>
      </c>
      <c r="B9" s="71">
        <f>Angier!B1</f>
        <v>3</v>
      </c>
      <c r="C9" s="76">
        <f t="shared" si="0"/>
        <v>37</v>
      </c>
      <c r="D9" s="28" t="s">
        <v>3019</v>
      </c>
      <c r="E9" s="1" t="s">
        <v>3019</v>
      </c>
      <c r="F9" s="3" t="s">
        <v>3022</v>
      </c>
      <c r="G9" s="57" t="s">
        <v>3038</v>
      </c>
      <c r="H9" s="58" t="s">
        <v>3038</v>
      </c>
      <c r="I9" s="59" t="s">
        <v>3039</v>
      </c>
    </row>
    <row r="10" spans="1:12" x14ac:dyDescent="0.35">
      <c r="A10" s="79" t="s">
        <v>3125</v>
      </c>
      <c r="B10" s="71">
        <f>Argent!B1</f>
        <v>3</v>
      </c>
      <c r="C10" s="76">
        <f t="shared" si="0"/>
        <v>37</v>
      </c>
      <c r="D10" s="28" t="s">
        <v>3018</v>
      </c>
      <c r="E10" s="1" t="s">
        <v>3029</v>
      </c>
      <c r="F10" s="3" t="s">
        <v>3030</v>
      </c>
      <c r="G10" s="57" t="s">
        <v>3030</v>
      </c>
      <c r="H10" s="58" t="s">
        <v>3030</v>
      </c>
      <c r="I10" s="59" t="s">
        <v>3030</v>
      </c>
      <c r="J10" s="41" t="s">
        <v>3167</v>
      </c>
    </row>
    <row r="11" spans="1:12" x14ac:dyDescent="0.35">
      <c r="A11" s="79" t="s">
        <v>2782</v>
      </c>
      <c r="B11" s="71">
        <f>Beavis!B1</f>
        <v>33</v>
      </c>
      <c r="C11" s="76">
        <f t="shared" si="0"/>
        <v>6</v>
      </c>
      <c r="D11" s="28" t="s">
        <v>3018</v>
      </c>
      <c r="E11" s="1" t="s">
        <v>3029</v>
      </c>
      <c r="F11" s="3" t="s">
        <v>3030</v>
      </c>
    </row>
    <row r="12" spans="1:12" x14ac:dyDescent="0.35">
      <c r="A12" s="79" t="s">
        <v>2783</v>
      </c>
      <c r="B12" s="71">
        <f>Biddle!B1</f>
        <v>35</v>
      </c>
      <c r="C12" s="76">
        <f t="shared" si="0"/>
        <v>4</v>
      </c>
      <c r="D12" s="28" t="s">
        <v>3018</v>
      </c>
      <c r="E12" s="1" t="s">
        <v>3018</v>
      </c>
      <c r="F12" s="3" t="s">
        <v>3018</v>
      </c>
      <c r="G12" s="57" t="s">
        <v>3024</v>
      </c>
      <c r="H12" s="58" t="s">
        <v>3040</v>
      </c>
    </row>
    <row r="13" spans="1:12" x14ac:dyDescent="0.35">
      <c r="A13" s="79" t="s">
        <v>2784</v>
      </c>
      <c r="B13" s="71">
        <f>Bing!B1</f>
        <v>1</v>
      </c>
      <c r="C13" s="76">
        <f t="shared" si="0"/>
        <v>43</v>
      </c>
      <c r="D13" s="28" t="s">
        <v>3019</v>
      </c>
      <c r="E13" s="1" t="s">
        <v>3020</v>
      </c>
      <c r="F13" s="3" t="s">
        <v>3025</v>
      </c>
      <c r="G13" s="57" t="s">
        <v>3028</v>
      </c>
      <c r="H13" s="58" t="s">
        <v>3041</v>
      </c>
      <c r="I13" s="59" t="s">
        <v>3041</v>
      </c>
      <c r="J13" s="41" t="s">
        <v>3042</v>
      </c>
    </row>
    <row r="14" spans="1:12" x14ac:dyDescent="0.35">
      <c r="A14" s="79" t="s">
        <v>2785</v>
      </c>
      <c r="B14" s="71">
        <f>Bloomfield!B1</f>
        <v>22</v>
      </c>
      <c r="C14" s="76">
        <f t="shared" si="0"/>
        <v>10</v>
      </c>
      <c r="D14" s="28" t="s">
        <v>3019</v>
      </c>
      <c r="E14" s="1" t="s">
        <v>3021</v>
      </c>
      <c r="F14" s="3" t="s">
        <v>3021</v>
      </c>
      <c r="G14" s="57" t="s">
        <v>3043</v>
      </c>
      <c r="H14" s="58" t="s">
        <v>3043</v>
      </c>
      <c r="I14" s="59" t="s">
        <v>3044</v>
      </c>
    </row>
    <row r="15" spans="1:12" x14ac:dyDescent="0.35">
      <c r="A15" s="79" t="s">
        <v>2786</v>
      </c>
      <c r="B15" s="71">
        <f>Boreham!B1</f>
        <v>16</v>
      </c>
      <c r="C15" s="76">
        <f t="shared" si="0"/>
        <v>14</v>
      </c>
      <c r="D15" s="28" t="s">
        <v>3018</v>
      </c>
      <c r="E15" s="1" t="s">
        <v>3029</v>
      </c>
      <c r="F15" s="3" t="s">
        <v>3029</v>
      </c>
      <c r="G15" s="57" t="s">
        <v>3031</v>
      </c>
    </row>
    <row r="16" spans="1:12" x14ac:dyDescent="0.35">
      <c r="A16" s="79" t="s">
        <v>2787</v>
      </c>
      <c r="B16" s="71">
        <f>Brinkley!B1</f>
        <v>43</v>
      </c>
      <c r="C16" s="3">
        <f t="shared" si="0"/>
        <v>2</v>
      </c>
      <c r="D16" s="28" t="s">
        <v>3019</v>
      </c>
      <c r="E16" s="1" t="s">
        <v>3019</v>
      </c>
      <c r="F16" s="3" t="s">
        <v>3021</v>
      </c>
    </row>
    <row r="17" spans="1:12" x14ac:dyDescent="0.35">
      <c r="A17" s="79" t="s">
        <v>2788</v>
      </c>
      <c r="B17" s="71">
        <f>Bushell!B1</f>
        <v>28</v>
      </c>
      <c r="C17" s="76">
        <f t="shared" si="0"/>
        <v>7</v>
      </c>
      <c r="D17" s="28" t="s">
        <v>3019</v>
      </c>
      <c r="E17" s="1" t="s">
        <v>3020</v>
      </c>
      <c r="F17" s="3" t="s">
        <v>3025</v>
      </c>
      <c r="G17" s="57" t="s">
        <v>3028</v>
      </c>
    </row>
    <row r="18" spans="1:12" x14ac:dyDescent="0.35">
      <c r="A18" s="79" t="s">
        <v>2789</v>
      </c>
      <c r="B18" s="71">
        <f>Camp!B1</f>
        <v>2</v>
      </c>
      <c r="C18" s="76">
        <f t="shared" si="0"/>
        <v>40</v>
      </c>
      <c r="D18" s="28" t="s">
        <v>3018</v>
      </c>
      <c r="E18" s="1" t="s">
        <v>3029</v>
      </c>
      <c r="F18" s="3" t="s">
        <v>3030</v>
      </c>
      <c r="G18" s="57" t="s">
        <v>3031</v>
      </c>
      <c r="H18" s="58" t="s">
        <v>3031</v>
      </c>
      <c r="I18" s="59" t="s">
        <v>3045</v>
      </c>
    </row>
    <row r="19" spans="1:12" x14ac:dyDescent="0.35">
      <c r="A19" s="79" t="s">
        <v>2790</v>
      </c>
      <c r="B19" s="71">
        <f>Collins!B1</f>
        <v>11</v>
      </c>
      <c r="C19" s="76">
        <f t="shared" si="0"/>
        <v>22</v>
      </c>
      <c r="D19" s="28" t="s">
        <v>3019</v>
      </c>
      <c r="E19" s="1" t="s">
        <v>3020</v>
      </c>
      <c r="F19" s="3" t="s">
        <v>3020</v>
      </c>
      <c r="G19" s="57" t="s">
        <v>3026</v>
      </c>
      <c r="H19" s="58" t="s">
        <v>3046</v>
      </c>
    </row>
    <row r="20" spans="1:12" x14ac:dyDescent="0.35">
      <c r="A20" s="79" t="s">
        <v>3115</v>
      </c>
      <c r="B20" s="71">
        <f>Dadley!B1</f>
        <v>1</v>
      </c>
      <c r="C20" s="76">
        <f t="shared" si="0"/>
        <v>43</v>
      </c>
      <c r="D20" s="28" t="s">
        <v>3018</v>
      </c>
      <c r="E20" s="1" t="s">
        <v>3018</v>
      </c>
      <c r="F20" s="3" t="s">
        <v>3018</v>
      </c>
      <c r="G20" s="57" t="s">
        <v>3024</v>
      </c>
      <c r="H20" s="58" t="s">
        <v>3040</v>
      </c>
      <c r="I20" s="59" t="s">
        <v>3040</v>
      </c>
      <c r="J20" s="41" t="s">
        <v>3159</v>
      </c>
    </row>
    <row r="21" spans="1:12" x14ac:dyDescent="0.35">
      <c r="A21" s="79" t="s">
        <v>2791</v>
      </c>
      <c r="B21" s="71">
        <f>Davis!B1</f>
        <v>1</v>
      </c>
      <c r="C21" s="76">
        <f t="shared" si="0"/>
        <v>43</v>
      </c>
      <c r="D21" s="28" t="s">
        <v>3019</v>
      </c>
      <c r="E21" s="1" t="s">
        <v>3020</v>
      </c>
      <c r="F21" s="3" t="s">
        <v>3025</v>
      </c>
      <c r="G21" s="57" t="s">
        <v>3025</v>
      </c>
      <c r="H21" s="58" t="s">
        <v>3025</v>
      </c>
      <c r="I21" s="59" t="s">
        <v>3047</v>
      </c>
    </row>
    <row r="22" spans="1:12" x14ac:dyDescent="0.35">
      <c r="A22" s="79" t="s">
        <v>3036</v>
      </c>
      <c r="B22" s="71">
        <f>Dibel!B1</f>
        <v>1</v>
      </c>
      <c r="C22" s="76">
        <f t="shared" si="0"/>
        <v>43</v>
      </c>
      <c r="D22" s="28" t="s">
        <v>3019</v>
      </c>
      <c r="E22" s="1" t="s">
        <v>3020</v>
      </c>
      <c r="F22" s="3" t="s">
        <v>3025</v>
      </c>
      <c r="G22" s="57" t="s">
        <v>3028</v>
      </c>
      <c r="H22" s="58" t="s">
        <v>3041</v>
      </c>
      <c r="I22" s="59" t="s">
        <v>3065</v>
      </c>
      <c r="J22" s="41" t="s">
        <v>3066</v>
      </c>
      <c r="K22" s="9" t="s">
        <v>3067</v>
      </c>
    </row>
    <row r="23" spans="1:12" x14ac:dyDescent="0.35">
      <c r="A23" s="79" t="s">
        <v>2792</v>
      </c>
      <c r="B23" s="71">
        <f>Disdale!B1</f>
        <v>4</v>
      </c>
      <c r="C23" s="76">
        <f t="shared" si="0"/>
        <v>30</v>
      </c>
      <c r="D23" s="28" t="s">
        <v>3019</v>
      </c>
      <c r="E23" s="1" t="s">
        <v>3019</v>
      </c>
      <c r="F23" s="3" t="s">
        <v>3021</v>
      </c>
      <c r="G23" s="57" t="s">
        <v>3022</v>
      </c>
      <c r="H23" s="58" t="s">
        <v>3038</v>
      </c>
    </row>
    <row r="24" spans="1:12" x14ac:dyDescent="0.35">
      <c r="A24" s="79" t="s">
        <v>2793</v>
      </c>
      <c r="B24" s="71">
        <f>Dyason!B1</f>
        <v>12</v>
      </c>
      <c r="C24" s="76">
        <f t="shared" si="0"/>
        <v>20</v>
      </c>
      <c r="D24" s="28" t="s">
        <v>3019</v>
      </c>
      <c r="E24" s="1" t="s">
        <v>3020</v>
      </c>
      <c r="F24" s="3" t="s">
        <v>3025</v>
      </c>
      <c r="G24" s="57" t="s">
        <v>3028</v>
      </c>
      <c r="H24" s="58" t="s">
        <v>3041</v>
      </c>
      <c r="I24" s="59" t="s">
        <v>3041</v>
      </c>
      <c r="J24" s="41" t="s">
        <v>3042</v>
      </c>
      <c r="K24" s="9" t="s">
        <v>3048</v>
      </c>
    </row>
    <row r="25" spans="1:12" x14ac:dyDescent="0.35">
      <c r="A25" s="79" t="s">
        <v>2794</v>
      </c>
      <c r="B25" s="71">
        <f>Felton!B1</f>
        <v>2</v>
      </c>
      <c r="C25" s="76">
        <f t="shared" si="0"/>
        <v>40</v>
      </c>
      <c r="D25" s="28" t="s">
        <v>3018</v>
      </c>
      <c r="E25" s="1" t="s">
        <v>3029</v>
      </c>
      <c r="F25" s="3" t="s">
        <v>3029</v>
      </c>
      <c r="G25" s="57" t="s">
        <v>3031</v>
      </c>
      <c r="H25" s="58" t="s">
        <v>3051</v>
      </c>
      <c r="I25" s="59" t="s">
        <v>3050</v>
      </c>
    </row>
    <row r="26" spans="1:12" x14ac:dyDescent="0.35">
      <c r="A26" s="79" t="s">
        <v>2795</v>
      </c>
      <c r="B26" s="71">
        <f>Field!B1</f>
        <v>1</v>
      </c>
      <c r="C26" s="76">
        <f t="shared" si="0"/>
        <v>43</v>
      </c>
      <c r="D26" s="28" t="s">
        <v>3018</v>
      </c>
      <c r="E26" s="1" t="s">
        <v>3029</v>
      </c>
      <c r="F26" s="3" t="s">
        <v>3029</v>
      </c>
      <c r="G26" s="57" t="s">
        <v>3029</v>
      </c>
      <c r="H26" s="58" t="s">
        <v>3032</v>
      </c>
      <c r="I26" s="59" t="s">
        <v>3032</v>
      </c>
      <c r="J26" s="41" t="s">
        <v>3052</v>
      </c>
      <c r="K26" s="9" t="s">
        <v>3052</v>
      </c>
      <c r="L26" s="15" t="s">
        <v>3053</v>
      </c>
    </row>
    <row r="27" spans="1:12" x14ac:dyDescent="0.35">
      <c r="A27" s="79" t="s">
        <v>2796</v>
      </c>
      <c r="B27" s="71">
        <f>Fooks!B1</f>
        <v>7</v>
      </c>
      <c r="C27" s="76">
        <f t="shared" si="0"/>
        <v>26</v>
      </c>
      <c r="D27" s="28" t="s">
        <v>3019</v>
      </c>
      <c r="E27" s="1" t="s">
        <v>3020</v>
      </c>
      <c r="F27" s="3" t="s">
        <v>3020</v>
      </c>
      <c r="G27" s="57" t="s">
        <v>3020</v>
      </c>
      <c r="H27" s="58" t="s">
        <v>3054</v>
      </c>
    </row>
    <row r="28" spans="1:12" x14ac:dyDescent="0.35">
      <c r="A28" s="79" t="s">
        <v>2797</v>
      </c>
      <c r="B28" s="71">
        <f>Ford!B1</f>
        <v>10</v>
      </c>
      <c r="C28" s="76">
        <f t="shared" si="0"/>
        <v>24</v>
      </c>
      <c r="D28" s="28" t="s">
        <v>3019</v>
      </c>
      <c r="E28" s="1" t="s">
        <v>3019</v>
      </c>
      <c r="F28" s="3" t="s">
        <v>3019</v>
      </c>
      <c r="G28" s="57" t="s">
        <v>3027</v>
      </c>
    </row>
    <row r="29" spans="1:12" x14ac:dyDescent="0.35">
      <c r="A29" s="79" t="s">
        <v>2798</v>
      </c>
      <c r="B29" s="71">
        <f>Freemantle!B1</f>
        <v>14</v>
      </c>
      <c r="C29" s="76">
        <f t="shared" si="0"/>
        <v>18</v>
      </c>
      <c r="D29" s="28" t="s">
        <v>3019</v>
      </c>
      <c r="E29" s="1" t="s">
        <v>3020</v>
      </c>
      <c r="F29" s="3" t="s">
        <v>3020</v>
      </c>
      <c r="G29" s="57" t="s">
        <v>3026</v>
      </c>
    </row>
    <row r="30" spans="1:12" x14ac:dyDescent="0.35">
      <c r="A30" s="79" t="s">
        <v>2799</v>
      </c>
      <c r="B30" s="71">
        <f>Gates!B1</f>
        <v>1</v>
      </c>
      <c r="C30" s="76">
        <f t="shared" si="0"/>
        <v>43</v>
      </c>
      <c r="D30" s="28" t="s">
        <v>3019</v>
      </c>
      <c r="E30" s="1" t="s">
        <v>3019</v>
      </c>
      <c r="F30" s="3" t="s">
        <v>3021</v>
      </c>
      <c r="G30" s="57" t="s">
        <v>3021</v>
      </c>
      <c r="H30" s="58" t="s">
        <v>3043</v>
      </c>
      <c r="I30" s="59" t="s">
        <v>3055</v>
      </c>
    </row>
    <row r="31" spans="1:12" x14ac:dyDescent="0.35">
      <c r="A31" s="79" t="s">
        <v>2800</v>
      </c>
      <c r="B31" s="71">
        <f>Hall!B1</f>
        <v>36</v>
      </c>
      <c r="C31" s="57">
        <f t="shared" si="0"/>
        <v>3</v>
      </c>
      <c r="D31" s="28" t="s">
        <v>3019</v>
      </c>
    </row>
    <row r="32" spans="1:12" x14ac:dyDescent="0.35">
      <c r="A32" s="79" t="s">
        <v>2801</v>
      </c>
      <c r="B32" s="71">
        <f>Hook!B1</f>
        <v>1</v>
      </c>
      <c r="C32" s="76">
        <f t="shared" si="0"/>
        <v>43</v>
      </c>
      <c r="D32" s="28" t="s">
        <v>3019</v>
      </c>
      <c r="E32" s="1" t="s">
        <v>3020</v>
      </c>
      <c r="F32" s="3" t="s">
        <v>3020</v>
      </c>
      <c r="G32" s="57" t="s">
        <v>3020</v>
      </c>
      <c r="H32" s="58" t="s">
        <v>3020</v>
      </c>
      <c r="I32" s="59" t="s">
        <v>3056</v>
      </c>
    </row>
    <row r="33" spans="1:11" x14ac:dyDescent="0.35">
      <c r="A33" s="79" t="s">
        <v>2802</v>
      </c>
      <c r="B33" s="71">
        <f>Hogben!B1</f>
        <v>6</v>
      </c>
      <c r="C33" s="76">
        <f t="shared" si="0"/>
        <v>28</v>
      </c>
      <c r="D33" s="28" t="s">
        <v>3019</v>
      </c>
      <c r="E33" s="1" t="s">
        <v>3020</v>
      </c>
      <c r="F33" s="3" t="s">
        <v>3025</v>
      </c>
      <c r="G33" s="57" t="s">
        <v>3028</v>
      </c>
      <c r="H33" s="58" t="s">
        <v>3028</v>
      </c>
      <c r="I33" s="59" t="s">
        <v>3028</v>
      </c>
      <c r="J33" s="41" t="s">
        <v>3057</v>
      </c>
    </row>
    <row r="34" spans="1:11" x14ac:dyDescent="0.35">
      <c r="A34" s="79" t="s">
        <v>3144</v>
      </c>
      <c r="B34" s="71">
        <f>Hughes!B1</f>
        <v>3</v>
      </c>
      <c r="C34" s="76">
        <f t="shared" si="0"/>
        <v>37</v>
      </c>
      <c r="D34" s="28" t="s">
        <v>3019</v>
      </c>
      <c r="E34" s="1" t="s">
        <v>3019</v>
      </c>
      <c r="F34" s="3" t="s">
        <v>3023</v>
      </c>
      <c r="G34" s="57" t="s">
        <v>3184</v>
      </c>
    </row>
    <row r="35" spans="1:11" x14ac:dyDescent="0.35">
      <c r="A35" s="79" t="s">
        <v>2803</v>
      </c>
      <c r="B35" s="71">
        <f>Humphrey!B1</f>
        <v>4</v>
      </c>
      <c r="C35" s="76">
        <f t="shared" si="0"/>
        <v>30</v>
      </c>
      <c r="D35" s="28" t="s">
        <v>3018</v>
      </c>
      <c r="E35" s="1" t="s">
        <v>3029</v>
      </c>
      <c r="F35" s="3" t="s">
        <v>3030</v>
      </c>
      <c r="G35" s="57" t="s">
        <v>3030</v>
      </c>
      <c r="H35" s="58" t="s">
        <v>3030</v>
      </c>
      <c r="I35" s="59" t="s">
        <v>3058</v>
      </c>
    </row>
    <row r="36" spans="1:11" x14ac:dyDescent="0.35">
      <c r="A36" s="79" t="s">
        <v>2804</v>
      </c>
      <c r="B36" s="71">
        <f>Jezzard!B1</f>
        <v>35</v>
      </c>
      <c r="C36" s="76">
        <f t="shared" si="0"/>
        <v>4</v>
      </c>
      <c r="D36" s="28" t="s">
        <v>3019</v>
      </c>
      <c r="E36" s="1" t="s">
        <v>3020</v>
      </c>
      <c r="F36" s="3" t="s">
        <v>3025</v>
      </c>
    </row>
    <row r="37" spans="1:11" x14ac:dyDescent="0.35">
      <c r="A37" s="79" t="s">
        <v>3034</v>
      </c>
      <c r="B37" s="71">
        <f>Jordan!B1</f>
        <v>4</v>
      </c>
      <c r="C37" s="76">
        <f t="shared" si="0"/>
        <v>30</v>
      </c>
      <c r="D37" s="28" t="s">
        <v>3019</v>
      </c>
      <c r="E37" s="1" t="s">
        <v>3020</v>
      </c>
      <c r="F37" s="3" t="s">
        <v>3025</v>
      </c>
      <c r="G37" s="57" t="s">
        <v>3028</v>
      </c>
      <c r="H37" s="58" t="s">
        <v>3028</v>
      </c>
      <c r="I37" s="59" t="s">
        <v>3059</v>
      </c>
      <c r="J37" s="41" t="s">
        <v>3060</v>
      </c>
    </row>
    <row r="38" spans="1:11" x14ac:dyDescent="0.35">
      <c r="A38" s="79" t="s">
        <v>2805</v>
      </c>
      <c r="B38" s="71">
        <f>Lippincott!B1</f>
        <v>24</v>
      </c>
      <c r="C38" s="76">
        <f t="shared" si="0"/>
        <v>9</v>
      </c>
      <c r="D38" s="28" t="s">
        <v>3018</v>
      </c>
      <c r="E38" s="1" t="s">
        <v>3018</v>
      </c>
      <c r="F38" s="3" t="s">
        <v>3024</v>
      </c>
      <c r="G38" s="57" t="s">
        <v>3040</v>
      </c>
      <c r="H38" s="58" t="s">
        <v>3040</v>
      </c>
      <c r="I38" s="59" t="s">
        <v>3040</v>
      </c>
      <c r="J38" s="41" t="s">
        <v>3061</v>
      </c>
      <c r="K38" s="9" t="s">
        <v>3062</v>
      </c>
    </row>
    <row r="39" spans="1:11" x14ac:dyDescent="0.35">
      <c r="A39" s="79" t="s">
        <v>3035</v>
      </c>
      <c r="B39" s="71">
        <f>Mayes!B1</f>
        <v>4</v>
      </c>
      <c r="C39" s="76">
        <f t="shared" si="0"/>
        <v>30</v>
      </c>
      <c r="D39" s="28" t="s">
        <v>3019</v>
      </c>
      <c r="E39" s="1" t="s">
        <v>3020</v>
      </c>
      <c r="F39" s="3" t="s">
        <v>3025</v>
      </c>
      <c r="G39" s="57" t="s">
        <v>3028</v>
      </c>
      <c r="H39" s="58" t="s">
        <v>3041</v>
      </c>
      <c r="I39" s="59" t="s">
        <v>3065</v>
      </c>
    </row>
    <row r="40" spans="1:11" x14ac:dyDescent="0.35">
      <c r="A40" s="79" t="s">
        <v>3033</v>
      </c>
      <c r="B40" s="71">
        <f>Mercer!B1</f>
        <v>16</v>
      </c>
      <c r="C40" s="76">
        <f t="shared" si="0"/>
        <v>14</v>
      </c>
      <c r="D40" s="28" t="s">
        <v>3019</v>
      </c>
      <c r="E40" s="1" t="s">
        <v>3020</v>
      </c>
      <c r="F40" s="3" t="s">
        <v>3025</v>
      </c>
      <c r="G40" s="57" t="s">
        <v>3028</v>
      </c>
      <c r="H40" s="58" t="s">
        <v>3041</v>
      </c>
    </row>
    <row r="41" spans="1:11" x14ac:dyDescent="0.35">
      <c r="A41" s="79" t="s">
        <v>2806</v>
      </c>
      <c r="B41" s="71">
        <f>Minter!B1</f>
        <v>2</v>
      </c>
      <c r="C41" s="76">
        <f t="shared" si="0"/>
        <v>40</v>
      </c>
      <c r="D41" s="28" t="s">
        <v>3019</v>
      </c>
      <c r="E41" s="1" t="s">
        <v>3020</v>
      </c>
      <c r="F41" s="3" t="s">
        <v>3025</v>
      </c>
      <c r="G41" s="57" t="s">
        <v>3028</v>
      </c>
      <c r="H41" s="58" t="s">
        <v>3028</v>
      </c>
      <c r="I41" s="59" t="s">
        <v>3028</v>
      </c>
      <c r="J41" s="41" t="s">
        <v>3028</v>
      </c>
      <c r="K41" s="9" t="s">
        <v>3068</v>
      </c>
    </row>
    <row r="42" spans="1:11" x14ac:dyDescent="0.35">
      <c r="A42" s="79" t="s">
        <v>2807</v>
      </c>
      <c r="B42" s="71">
        <f>Nankivell!B1</f>
        <v>6</v>
      </c>
      <c r="C42" s="76">
        <f t="shared" si="0"/>
        <v>28</v>
      </c>
      <c r="D42" s="28" t="s">
        <v>3018</v>
      </c>
      <c r="E42" s="1" t="s">
        <v>3029</v>
      </c>
      <c r="F42" s="3" t="s">
        <v>3030</v>
      </c>
      <c r="G42" s="57" t="s">
        <v>3030</v>
      </c>
      <c r="H42" s="58" t="s">
        <v>3069</v>
      </c>
      <c r="I42" s="59" t="s">
        <v>3070</v>
      </c>
    </row>
    <row r="43" spans="1:11" x14ac:dyDescent="0.35">
      <c r="A43" s="79" t="s">
        <v>2808</v>
      </c>
      <c r="B43" s="71">
        <f>Noble!B1</f>
        <v>7</v>
      </c>
      <c r="C43" s="76">
        <f t="shared" si="0"/>
        <v>26</v>
      </c>
      <c r="D43" s="28" t="s">
        <v>3019</v>
      </c>
      <c r="E43" s="1" t="s">
        <v>3019</v>
      </c>
      <c r="F43" s="3" t="s">
        <v>3021</v>
      </c>
      <c r="G43" s="57" t="s">
        <v>3022</v>
      </c>
      <c r="H43" s="58" t="s">
        <v>3038</v>
      </c>
      <c r="I43" s="59" t="s">
        <v>3071</v>
      </c>
    </row>
    <row r="44" spans="1:11" x14ac:dyDescent="0.35">
      <c r="A44" s="79" t="s">
        <v>2809</v>
      </c>
      <c r="B44" s="71">
        <f>Otley!B1</f>
        <v>18</v>
      </c>
      <c r="C44" s="76">
        <f t="shared" si="0"/>
        <v>12</v>
      </c>
      <c r="D44" s="28" t="s">
        <v>3019</v>
      </c>
      <c r="E44" s="1" t="s">
        <v>3019</v>
      </c>
      <c r="F44" s="3" t="s">
        <v>3021</v>
      </c>
      <c r="G44" s="57" t="s">
        <v>3021</v>
      </c>
      <c r="H44" s="58" t="s">
        <v>3043</v>
      </c>
    </row>
    <row r="45" spans="1:11" x14ac:dyDescent="0.35">
      <c r="A45" s="79" t="s">
        <v>3037</v>
      </c>
      <c r="B45" s="71">
        <f>Palmer!B1</f>
        <v>1</v>
      </c>
      <c r="C45" s="76">
        <f t="shared" si="0"/>
        <v>43</v>
      </c>
      <c r="D45" s="28" t="s">
        <v>3019</v>
      </c>
      <c r="E45" s="1" t="s">
        <v>3020</v>
      </c>
      <c r="F45" s="3" t="s">
        <v>3025</v>
      </c>
      <c r="G45" s="57" t="s">
        <v>3028</v>
      </c>
      <c r="H45" s="58" t="s">
        <v>3041</v>
      </c>
      <c r="I45" s="59" t="s">
        <v>3065</v>
      </c>
      <c r="J45" s="41" t="s">
        <v>3072</v>
      </c>
    </row>
    <row r="46" spans="1:11" x14ac:dyDescent="0.35">
      <c r="A46" s="79" t="s">
        <v>2810</v>
      </c>
      <c r="B46" s="71">
        <f>Patrick!B1</f>
        <v>25</v>
      </c>
      <c r="C46" s="76">
        <f t="shared" si="0"/>
        <v>8</v>
      </c>
      <c r="D46" s="28" t="s">
        <v>3018</v>
      </c>
      <c r="E46" s="1" t="s">
        <v>3018</v>
      </c>
      <c r="F46" s="3" t="s">
        <v>3024</v>
      </c>
    </row>
    <row r="47" spans="1:11" x14ac:dyDescent="0.35">
      <c r="A47" s="79" t="s">
        <v>2811</v>
      </c>
      <c r="B47" s="71">
        <f>Penny!B1</f>
        <v>15</v>
      </c>
      <c r="C47" s="76">
        <f t="shared" si="0"/>
        <v>16</v>
      </c>
      <c r="D47" s="28" t="s">
        <v>3019</v>
      </c>
      <c r="E47" s="1" t="s">
        <v>3019</v>
      </c>
      <c r="F47" s="3" t="s">
        <v>3023</v>
      </c>
    </row>
    <row r="48" spans="1:11" x14ac:dyDescent="0.35">
      <c r="A48" s="79" t="s">
        <v>2812</v>
      </c>
      <c r="B48" s="71">
        <f>Pittock!B1</f>
        <v>4</v>
      </c>
      <c r="C48" s="76">
        <f t="shared" si="0"/>
        <v>30</v>
      </c>
      <c r="D48" s="28" t="s">
        <v>3019</v>
      </c>
      <c r="E48" s="1" t="s">
        <v>3020</v>
      </c>
      <c r="F48" s="3" t="s">
        <v>3025</v>
      </c>
      <c r="G48" s="57" t="s">
        <v>3028</v>
      </c>
      <c r="H48" s="58" t="s">
        <v>3028</v>
      </c>
      <c r="I48" s="59" t="s">
        <v>3059</v>
      </c>
    </row>
    <row r="49" spans="1:12" x14ac:dyDescent="0.35">
      <c r="A49" s="79" t="s">
        <v>2813</v>
      </c>
      <c r="B49" s="71">
        <f>Rayner!B1</f>
        <v>13</v>
      </c>
      <c r="C49" s="76">
        <f t="shared" si="0"/>
        <v>19</v>
      </c>
      <c r="D49" s="28" t="s">
        <v>3018</v>
      </c>
      <c r="E49" s="1" t="s">
        <v>3029</v>
      </c>
      <c r="F49" s="3" t="s">
        <v>3029</v>
      </c>
      <c r="G49" s="57" t="s">
        <v>3031</v>
      </c>
      <c r="H49" s="58" t="s">
        <v>3051</v>
      </c>
    </row>
    <row r="50" spans="1:12" x14ac:dyDescent="0.35">
      <c r="A50" s="79" t="s">
        <v>2814</v>
      </c>
      <c r="B50" s="71">
        <f>Reeve!B1</f>
        <v>4</v>
      </c>
      <c r="C50" s="76">
        <f t="shared" si="0"/>
        <v>30</v>
      </c>
      <c r="D50" s="28" t="s">
        <v>3019</v>
      </c>
      <c r="E50" s="1" t="s">
        <v>3019</v>
      </c>
      <c r="F50" s="3" t="s">
        <v>3021</v>
      </c>
      <c r="G50" s="57" t="s">
        <v>3021</v>
      </c>
      <c r="H50" s="58" t="s">
        <v>3021</v>
      </c>
      <c r="I50" s="59" t="s">
        <v>3063</v>
      </c>
      <c r="J50" s="41" t="s">
        <v>3064</v>
      </c>
    </row>
    <row r="51" spans="1:12" x14ac:dyDescent="0.35">
      <c r="A51" s="79" t="s">
        <v>2815</v>
      </c>
      <c r="B51" s="71">
        <f>Robertson!B1</f>
        <v>15</v>
      </c>
      <c r="C51" s="76">
        <f t="shared" si="0"/>
        <v>16</v>
      </c>
      <c r="D51" s="28" t="s">
        <v>3018</v>
      </c>
    </row>
    <row r="52" spans="1:12" x14ac:dyDescent="0.35">
      <c r="A52" s="79" t="s">
        <v>2816</v>
      </c>
      <c r="B52" s="71">
        <f>Ruddock!B1</f>
        <v>45</v>
      </c>
      <c r="C52" s="4">
        <f t="shared" si="0"/>
        <v>1</v>
      </c>
      <c r="D52" s="28" t="s">
        <v>3019</v>
      </c>
      <c r="E52" s="1" t="s">
        <v>3019</v>
      </c>
      <c r="F52" s="3" t="s">
        <v>3021</v>
      </c>
      <c r="G52" s="57" t="s">
        <v>3021</v>
      </c>
      <c r="H52" s="58" t="s">
        <v>3021</v>
      </c>
      <c r="I52" s="59" t="s">
        <v>3063</v>
      </c>
    </row>
    <row r="53" spans="1:12" x14ac:dyDescent="0.35">
      <c r="A53" s="79" t="s">
        <v>2817</v>
      </c>
      <c r="B53" s="71">
        <f>Sams!B1</f>
        <v>11</v>
      </c>
      <c r="C53" s="76">
        <f t="shared" si="0"/>
        <v>22</v>
      </c>
      <c r="D53" s="28" t="s">
        <v>3018</v>
      </c>
      <c r="E53" s="1" t="s">
        <v>3029</v>
      </c>
      <c r="F53" s="3" t="s">
        <v>3029</v>
      </c>
      <c r="G53" s="57" t="s">
        <v>3029</v>
      </c>
      <c r="H53" s="58" t="s">
        <v>3032</v>
      </c>
    </row>
    <row r="54" spans="1:12" x14ac:dyDescent="0.35">
      <c r="A54" s="79" t="s">
        <v>2818</v>
      </c>
      <c r="B54" s="71">
        <f>Shickle!B1</f>
        <v>12</v>
      </c>
      <c r="C54" s="76">
        <f t="shared" si="0"/>
        <v>20</v>
      </c>
      <c r="D54" s="28" t="s">
        <v>3019</v>
      </c>
      <c r="E54" s="1" t="s">
        <v>3021</v>
      </c>
      <c r="F54" s="3" t="s">
        <v>3022</v>
      </c>
    </row>
    <row r="55" spans="1:12" x14ac:dyDescent="0.35">
      <c r="A55" s="79" t="s">
        <v>2819</v>
      </c>
      <c r="B55" s="71">
        <f>Shinn!B1</f>
        <v>4</v>
      </c>
      <c r="C55" s="76">
        <f t="shared" si="0"/>
        <v>30</v>
      </c>
      <c r="D55" s="28" t="s">
        <v>3018</v>
      </c>
      <c r="E55" s="1" t="s">
        <v>3018</v>
      </c>
      <c r="F55" s="3" t="s">
        <v>3024</v>
      </c>
      <c r="G55" s="57" t="s">
        <v>3040</v>
      </c>
      <c r="H55" s="58" t="s">
        <v>3040</v>
      </c>
      <c r="I55" s="59" t="s">
        <v>3040</v>
      </c>
      <c r="J55" s="41" t="s">
        <v>3061</v>
      </c>
    </row>
    <row r="56" spans="1:12" x14ac:dyDescent="0.35">
      <c r="A56" s="79" t="s">
        <v>2820</v>
      </c>
      <c r="B56" s="71">
        <f>Shrewsbury!B1</f>
        <v>19</v>
      </c>
      <c r="C56" s="76">
        <f t="shared" si="0"/>
        <v>11</v>
      </c>
      <c r="D56" s="28" t="s">
        <v>3019</v>
      </c>
      <c r="E56" s="1" t="s">
        <v>3020</v>
      </c>
      <c r="F56" s="3" t="s">
        <v>3025</v>
      </c>
      <c r="G56" s="57" t="s">
        <v>3025</v>
      </c>
      <c r="H56" s="58" t="s">
        <v>3073</v>
      </c>
    </row>
    <row r="57" spans="1:12" x14ac:dyDescent="0.35">
      <c r="A57" s="79" t="s">
        <v>3136</v>
      </c>
      <c r="B57" s="71">
        <f>Singleton!B1</f>
        <v>1</v>
      </c>
      <c r="C57" s="76">
        <f t="shared" si="0"/>
        <v>43</v>
      </c>
      <c r="D57" s="28" t="s">
        <v>3019</v>
      </c>
      <c r="E57" s="1" t="s">
        <v>3020</v>
      </c>
      <c r="F57" s="3" t="s">
        <v>3020</v>
      </c>
      <c r="G57" s="57" t="s">
        <v>3026</v>
      </c>
      <c r="H57" s="58" t="s">
        <v>3026</v>
      </c>
    </row>
    <row r="58" spans="1:12" x14ac:dyDescent="0.35">
      <c r="A58" s="79" t="s">
        <v>2821</v>
      </c>
      <c r="B58" s="71">
        <f>Tucker!B1</f>
        <v>9</v>
      </c>
      <c r="C58" s="76">
        <f t="shared" si="0"/>
        <v>25</v>
      </c>
      <c r="D58" s="28" t="s">
        <v>3019</v>
      </c>
      <c r="E58" s="1" t="s">
        <v>3020</v>
      </c>
    </row>
    <row r="59" spans="1:12" x14ac:dyDescent="0.35">
      <c r="A59" s="79" t="s">
        <v>2822</v>
      </c>
      <c r="B59" s="71">
        <f>Vandepeer!B1</f>
        <v>1</v>
      </c>
      <c r="C59" s="76">
        <f t="shared" si="0"/>
        <v>43</v>
      </c>
      <c r="D59" s="28" t="s">
        <v>3019</v>
      </c>
      <c r="E59" s="1" t="s">
        <v>3020</v>
      </c>
      <c r="F59" s="3" t="s">
        <v>3025</v>
      </c>
      <c r="G59" s="57" t="s">
        <v>3028</v>
      </c>
      <c r="H59" s="58" t="s">
        <v>3041</v>
      </c>
      <c r="I59" s="59" t="s">
        <v>3041</v>
      </c>
      <c r="J59" s="41" t="s">
        <v>3042</v>
      </c>
      <c r="K59" s="9" t="s">
        <v>3048</v>
      </c>
    </row>
    <row r="60" spans="1:12" x14ac:dyDescent="0.35">
      <c r="A60" s="79" t="s">
        <v>2823</v>
      </c>
      <c r="B60" s="71">
        <f>Wilson!B1</f>
        <v>17</v>
      </c>
      <c r="C60" s="76">
        <f t="shared" si="0"/>
        <v>13</v>
      </c>
      <c r="D60" s="28" t="s">
        <v>3018</v>
      </c>
      <c r="E60" s="1" t="s">
        <v>3029</v>
      </c>
    </row>
    <row r="61" spans="1:12" x14ac:dyDescent="0.35">
      <c r="A61" s="33"/>
      <c r="D61" s="25"/>
      <c r="E61" s="25"/>
      <c r="F61" s="25"/>
      <c r="G61" s="25"/>
      <c r="H61" s="25"/>
      <c r="I61" s="25"/>
      <c r="J61" s="25"/>
      <c r="K61" s="25"/>
      <c r="L61" s="25"/>
    </row>
    <row r="62" spans="1:12" x14ac:dyDescent="0.35">
      <c r="A62" s="79" t="s">
        <v>3016</v>
      </c>
      <c r="B62" s="71">
        <f>UnmatchedFreer!B1</f>
        <v>92</v>
      </c>
      <c r="D62" s="25"/>
      <c r="E62" s="25"/>
      <c r="F62" s="25"/>
      <c r="G62" s="25"/>
      <c r="H62" s="25"/>
      <c r="I62" s="25"/>
      <c r="J62" s="25"/>
      <c r="K62" s="25"/>
      <c r="L62" s="25"/>
    </row>
    <row r="63" spans="1:12" x14ac:dyDescent="0.35">
      <c r="A63" s="79" t="s">
        <v>3017</v>
      </c>
      <c r="B63" s="71">
        <f>UnmatchedMcCracken!B1</f>
        <v>5</v>
      </c>
      <c r="D63" s="25"/>
      <c r="E63" s="25"/>
      <c r="F63" s="25"/>
      <c r="G63" s="25"/>
      <c r="H63" s="25"/>
      <c r="I63" s="25"/>
      <c r="J63" s="25"/>
      <c r="K63" s="25"/>
      <c r="L63" s="25"/>
    </row>
    <row r="64" spans="1:12" x14ac:dyDescent="0.35">
      <c r="A64" s="79" t="s">
        <v>3980</v>
      </c>
      <c r="B64" s="71">
        <f>UnmatchedKingston!B1</f>
        <v>34</v>
      </c>
      <c r="D64" s="25"/>
      <c r="E64" s="25"/>
      <c r="F64" s="25"/>
      <c r="G64" s="25"/>
      <c r="H64" s="25"/>
      <c r="I64" s="25"/>
      <c r="J64" s="25"/>
      <c r="K64" s="25"/>
      <c r="L64" s="25"/>
    </row>
    <row r="65" spans="1:12" x14ac:dyDescent="0.35">
      <c r="B65" s="71">
        <f>SUM(Angier:UnmatchedMcCracken!B1)</f>
        <v>713</v>
      </c>
      <c r="D65" s="25"/>
      <c r="E65" s="25"/>
      <c r="F65" s="25"/>
      <c r="G65" s="25"/>
      <c r="H65" s="25"/>
      <c r="I65" s="25"/>
      <c r="J65" s="25"/>
      <c r="K65" s="25"/>
      <c r="L65" s="25"/>
    </row>
    <row r="66" spans="1:12" x14ac:dyDescent="0.35">
      <c r="D66" s="25"/>
      <c r="E66" s="25"/>
      <c r="F66" s="25"/>
      <c r="G66" s="25"/>
      <c r="H66" s="25"/>
      <c r="I66" s="25"/>
      <c r="J66" s="25"/>
      <c r="K66" s="25"/>
      <c r="L66" s="25"/>
    </row>
    <row r="67" spans="1:12" x14ac:dyDescent="0.35">
      <c r="A67" s="93" t="s">
        <v>3075</v>
      </c>
      <c r="D67" s="25"/>
      <c r="E67" s="25"/>
      <c r="F67" s="25"/>
      <c r="G67" s="25"/>
      <c r="H67" s="25"/>
      <c r="I67" s="25"/>
      <c r="J67" s="25"/>
      <c r="K67" s="25"/>
      <c r="L67" s="25"/>
    </row>
    <row r="68" spans="1:12" s="89" customFormat="1" x14ac:dyDescent="0.35">
      <c r="A68" s="94" t="s">
        <v>3191</v>
      </c>
      <c r="B68" s="94" t="s">
        <v>3192</v>
      </c>
      <c r="C68" s="81" t="s">
        <v>3076</v>
      </c>
      <c r="D68" s="82" t="s">
        <v>3077</v>
      </c>
      <c r="E68" s="83" t="s">
        <v>3009</v>
      </c>
      <c r="F68" s="84" t="s">
        <v>3010</v>
      </c>
      <c r="G68" s="80" t="s">
        <v>3011</v>
      </c>
      <c r="H68" s="85" t="s">
        <v>3012</v>
      </c>
      <c r="I68" s="86" t="s">
        <v>3013</v>
      </c>
      <c r="J68" s="87" t="s">
        <v>3014</v>
      </c>
      <c r="K68" s="88" t="s">
        <v>3015</v>
      </c>
      <c r="L68" s="91" t="s">
        <v>3049</v>
      </c>
    </row>
    <row r="69" spans="1:12" x14ac:dyDescent="0.35">
      <c r="A69" s="90"/>
      <c r="B69" s="90"/>
      <c r="C69" s="76"/>
    </row>
    <row r="70" spans="1:12" x14ac:dyDescent="0.35">
      <c r="A70" s="92" t="s">
        <v>3125</v>
      </c>
      <c r="B70" s="95" t="s">
        <v>3125</v>
      </c>
      <c r="C70" s="76"/>
      <c r="D70" s="28" t="s">
        <v>3018</v>
      </c>
      <c r="E70" s="1" t="s">
        <v>3029</v>
      </c>
      <c r="F70" s="3" t="s">
        <v>3030</v>
      </c>
      <c r="G70" s="57" t="s">
        <v>3030</v>
      </c>
      <c r="H70" s="58" t="s">
        <v>3030</v>
      </c>
      <c r="I70" s="59" t="s">
        <v>3030</v>
      </c>
      <c r="J70" s="41" t="s">
        <v>3167</v>
      </c>
    </row>
    <row r="71" spans="1:12" x14ac:dyDescent="0.35">
      <c r="A71" s="92" t="s">
        <v>3134</v>
      </c>
      <c r="B71" s="92" t="s">
        <v>3134</v>
      </c>
      <c r="C71" s="76"/>
      <c r="D71" s="28" t="s">
        <v>3019</v>
      </c>
      <c r="E71" s="1" t="s">
        <v>3020</v>
      </c>
      <c r="F71" s="3" t="s">
        <v>3020</v>
      </c>
      <c r="G71" s="57" t="s">
        <v>3026</v>
      </c>
      <c r="H71" s="58" t="s">
        <v>3046</v>
      </c>
      <c r="I71" s="59" t="s">
        <v>3174</v>
      </c>
    </row>
    <row r="72" spans="1:12" x14ac:dyDescent="0.35">
      <c r="A72" s="92" t="s">
        <v>3130</v>
      </c>
      <c r="B72" s="92" t="s">
        <v>3130</v>
      </c>
      <c r="C72" s="76"/>
      <c r="D72" s="28" t="s">
        <v>3019</v>
      </c>
      <c r="E72" s="1" t="s">
        <v>3020</v>
      </c>
      <c r="F72" s="3" t="s">
        <v>3020</v>
      </c>
      <c r="G72" s="57" t="s">
        <v>3020</v>
      </c>
      <c r="H72" s="58" t="s">
        <v>3020</v>
      </c>
      <c r="I72" s="59" t="s">
        <v>3020</v>
      </c>
      <c r="J72" s="41" t="s">
        <v>3171</v>
      </c>
    </row>
    <row r="73" spans="1:12" x14ac:dyDescent="0.35">
      <c r="A73" s="92" t="s">
        <v>3146</v>
      </c>
      <c r="B73" s="92" t="s">
        <v>3146</v>
      </c>
      <c r="C73" s="76"/>
      <c r="D73" s="28" t="s">
        <v>3019</v>
      </c>
      <c r="E73" s="1" t="s">
        <v>3019</v>
      </c>
      <c r="F73" s="3" t="s">
        <v>3019</v>
      </c>
      <c r="G73" s="57" t="s">
        <v>3023</v>
      </c>
      <c r="H73" s="58" t="s">
        <v>3023</v>
      </c>
      <c r="I73" s="59" t="s">
        <v>3023</v>
      </c>
      <c r="J73" s="41" t="s">
        <v>3186</v>
      </c>
    </row>
    <row r="74" spans="1:12" x14ac:dyDescent="0.35">
      <c r="A74" s="92" t="s">
        <v>3088</v>
      </c>
      <c r="B74" s="92" t="s">
        <v>3088</v>
      </c>
      <c r="C74" s="76"/>
      <c r="D74" s="28" t="s">
        <v>3018</v>
      </c>
      <c r="E74" s="1" t="s">
        <v>3029</v>
      </c>
      <c r="F74" s="3" t="s">
        <v>3030</v>
      </c>
      <c r="G74" s="57" t="s">
        <v>3097</v>
      </c>
    </row>
    <row r="75" spans="1:12" x14ac:dyDescent="0.35">
      <c r="A75" s="92" t="s">
        <v>3105</v>
      </c>
      <c r="B75" s="92" t="s">
        <v>3105</v>
      </c>
      <c r="C75" s="76"/>
      <c r="D75" s="28" t="s">
        <v>3018</v>
      </c>
      <c r="E75" s="1" t="s">
        <v>3018</v>
      </c>
      <c r="F75" s="3" t="s">
        <v>3018</v>
      </c>
      <c r="G75" s="57" t="s">
        <v>3096</v>
      </c>
      <c r="H75" s="58" t="s">
        <v>3106</v>
      </c>
      <c r="I75" s="59" t="s">
        <v>3107</v>
      </c>
      <c r="J75" s="41" t="s">
        <v>3108</v>
      </c>
    </row>
    <row r="76" spans="1:12" x14ac:dyDescent="0.35">
      <c r="A76" s="92" t="s">
        <v>3109</v>
      </c>
      <c r="B76" s="92" t="s">
        <v>3109</v>
      </c>
      <c r="C76" s="76"/>
      <c r="D76" s="28" t="s">
        <v>3018</v>
      </c>
      <c r="E76" s="1" t="s">
        <v>3018</v>
      </c>
      <c r="F76" s="3" t="s">
        <v>3024</v>
      </c>
      <c r="G76" s="57" t="s">
        <v>3024</v>
      </c>
      <c r="H76" s="58" t="s">
        <v>3151</v>
      </c>
      <c r="I76" s="59" t="s">
        <v>3152</v>
      </c>
    </row>
    <row r="77" spans="1:12" x14ac:dyDescent="0.35">
      <c r="A77" s="92" t="s">
        <v>3119</v>
      </c>
      <c r="B77" s="92" t="s">
        <v>3119</v>
      </c>
      <c r="C77" s="76"/>
      <c r="D77" s="28" t="s">
        <v>3018</v>
      </c>
      <c r="E77" s="1" t="s">
        <v>3029</v>
      </c>
      <c r="F77" s="3" t="s">
        <v>3029</v>
      </c>
      <c r="G77" s="57" t="s">
        <v>3029</v>
      </c>
      <c r="H77" s="58" t="s">
        <v>3032</v>
      </c>
      <c r="I77" s="59" t="s">
        <v>3162</v>
      </c>
    </row>
    <row r="78" spans="1:12" x14ac:dyDescent="0.35">
      <c r="A78" s="92" t="s">
        <v>3090</v>
      </c>
      <c r="B78" s="92" t="s">
        <v>3090</v>
      </c>
      <c r="C78" s="76"/>
      <c r="D78" s="28" t="s">
        <v>3018</v>
      </c>
      <c r="E78" s="1" t="s">
        <v>3018</v>
      </c>
      <c r="F78" s="3" t="s">
        <v>3018</v>
      </c>
      <c r="G78" s="57" t="s">
        <v>3018</v>
      </c>
      <c r="H78" s="58" t="s">
        <v>3018</v>
      </c>
      <c r="I78" s="59" t="s">
        <v>3095</v>
      </c>
    </row>
    <row r="79" spans="1:12" x14ac:dyDescent="0.35">
      <c r="A79" s="92" t="s">
        <v>3138</v>
      </c>
      <c r="B79" s="92" t="s">
        <v>3138</v>
      </c>
      <c r="C79" s="76"/>
      <c r="D79" s="28" t="s">
        <v>3019</v>
      </c>
      <c r="E79" s="1" t="s">
        <v>3020</v>
      </c>
      <c r="F79" s="3" t="s">
        <v>3025</v>
      </c>
      <c r="G79" s="57" t="s">
        <v>3025</v>
      </c>
      <c r="H79" s="58" t="s">
        <v>3073</v>
      </c>
      <c r="I79" s="59" t="s">
        <v>3178</v>
      </c>
    </row>
    <row r="80" spans="1:12" x14ac:dyDescent="0.35">
      <c r="A80" s="92" t="s">
        <v>3111</v>
      </c>
      <c r="B80" s="92" t="s">
        <v>3111</v>
      </c>
      <c r="C80" s="76"/>
      <c r="D80" s="28" t="s">
        <v>3018</v>
      </c>
      <c r="E80" s="1" t="s">
        <v>3018</v>
      </c>
      <c r="F80" s="3" t="s">
        <v>3024</v>
      </c>
      <c r="G80" s="57" t="s">
        <v>3024</v>
      </c>
      <c r="H80" s="58" t="s">
        <v>3151</v>
      </c>
      <c r="I80" s="59" t="s">
        <v>3151</v>
      </c>
      <c r="J80" s="41" t="s">
        <v>3156</v>
      </c>
    </row>
    <row r="81" spans="1:10" x14ac:dyDescent="0.35">
      <c r="A81" s="92" t="s">
        <v>3115</v>
      </c>
      <c r="B81" s="92" t="s">
        <v>3115</v>
      </c>
      <c r="C81" s="76"/>
      <c r="D81" s="28" t="s">
        <v>3018</v>
      </c>
      <c r="E81" s="1" t="s">
        <v>3018</v>
      </c>
      <c r="F81" s="3" t="s">
        <v>3024</v>
      </c>
      <c r="G81" s="57" t="s">
        <v>3040</v>
      </c>
      <c r="H81" s="58" t="s">
        <v>3040</v>
      </c>
      <c r="I81" s="59" t="s">
        <v>3159</v>
      </c>
    </row>
    <row r="82" spans="1:10" x14ac:dyDescent="0.35">
      <c r="A82" s="92" t="s">
        <v>3155</v>
      </c>
      <c r="B82" s="92" t="s">
        <v>3155</v>
      </c>
      <c r="C82" s="76"/>
      <c r="D82" s="28" t="s">
        <v>3018</v>
      </c>
      <c r="E82" s="1" t="s">
        <v>3018</v>
      </c>
      <c r="F82" s="3" t="s">
        <v>3024</v>
      </c>
      <c r="G82" s="57" t="s">
        <v>3024</v>
      </c>
      <c r="H82" s="58" t="s">
        <v>3024</v>
      </c>
      <c r="I82" s="59" t="s">
        <v>3153</v>
      </c>
    </row>
    <row r="83" spans="1:10" x14ac:dyDescent="0.35">
      <c r="A83" s="92" t="s">
        <v>3129</v>
      </c>
      <c r="B83" s="92" t="s">
        <v>3129</v>
      </c>
      <c r="C83" s="76"/>
      <c r="D83" s="28" t="s">
        <v>3019</v>
      </c>
      <c r="E83" s="1" t="s">
        <v>3020</v>
      </c>
      <c r="F83" s="3" t="s">
        <v>3020</v>
      </c>
      <c r="G83" s="57" t="s">
        <v>3020</v>
      </c>
      <c r="H83" s="58" t="s">
        <v>3054</v>
      </c>
      <c r="I83" s="59" t="s">
        <v>3170</v>
      </c>
    </row>
    <row r="84" spans="1:10" x14ac:dyDescent="0.35">
      <c r="A84" s="92" t="s">
        <v>3089</v>
      </c>
      <c r="B84" s="92" t="s">
        <v>3089</v>
      </c>
      <c r="C84" s="76"/>
      <c r="D84" s="28" t="s">
        <v>3018</v>
      </c>
      <c r="E84" s="1" t="s">
        <v>3018</v>
      </c>
      <c r="F84" s="3" t="s">
        <v>3018</v>
      </c>
      <c r="G84" s="57" t="s">
        <v>3018</v>
      </c>
      <c r="H84" s="58" t="s">
        <v>3098</v>
      </c>
    </row>
    <row r="85" spans="1:10" x14ac:dyDescent="0.35">
      <c r="A85" s="92" t="s">
        <v>3135</v>
      </c>
      <c r="B85" s="92" t="s">
        <v>3135</v>
      </c>
      <c r="C85" s="76"/>
      <c r="D85" s="28" t="s">
        <v>3019</v>
      </c>
      <c r="E85" s="1" t="s">
        <v>3020</v>
      </c>
      <c r="F85" s="3" t="s">
        <v>3020</v>
      </c>
      <c r="G85" s="57" t="s">
        <v>3026</v>
      </c>
      <c r="H85" s="58" t="s">
        <v>3026</v>
      </c>
      <c r="I85" s="59" t="s">
        <v>3026</v>
      </c>
      <c r="J85" s="41" t="s">
        <v>3175</v>
      </c>
    </row>
    <row r="86" spans="1:10" x14ac:dyDescent="0.35">
      <c r="A86" s="92" t="s">
        <v>3122</v>
      </c>
      <c r="B86" s="92" t="s">
        <v>3122</v>
      </c>
      <c r="C86" s="76"/>
      <c r="D86" s="28" t="s">
        <v>3018</v>
      </c>
      <c r="E86" s="1" t="s">
        <v>3029</v>
      </c>
      <c r="F86" s="3" t="s">
        <v>3029</v>
      </c>
      <c r="G86" s="57" t="s">
        <v>3031</v>
      </c>
      <c r="H86" s="58" t="s">
        <v>3031</v>
      </c>
      <c r="I86" s="59" t="s">
        <v>3045</v>
      </c>
      <c r="J86" s="41" t="s">
        <v>3163</v>
      </c>
    </row>
    <row r="87" spans="1:10" x14ac:dyDescent="0.35">
      <c r="A87" s="92" t="s">
        <v>3093</v>
      </c>
      <c r="B87" s="92" t="s">
        <v>3093</v>
      </c>
      <c r="C87" s="76"/>
      <c r="D87" s="28" t="s">
        <v>3018</v>
      </c>
      <c r="E87" s="1" t="s">
        <v>3018</v>
      </c>
      <c r="F87" s="3" t="s">
        <v>3018</v>
      </c>
      <c r="G87" s="57" t="s">
        <v>3018</v>
      </c>
      <c r="H87" s="58" t="s">
        <v>3018</v>
      </c>
      <c r="I87" s="59" t="s">
        <v>3095</v>
      </c>
      <c r="J87" s="41" t="s">
        <v>3101</v>
      </c>
    </row>
    <row r="88" spans="1:10" x14ac:dyDescent="0.35">
      <c r="A88" s="92" t="s">
        <v>3126</v>
      </c>
      <c r="B88" s="92" t="s">
        <v>3126</v>
      </c>
      <c r="C88" s="76"/>
      <c r="D88" s="28" t="s">
        <v>3018</v>
      </c>
      <c r="E88" s="1" t="s">
        <v>3029</v>
      </c>
      <c r="F88" s="3" t="s">
        <v>3030</v>
      </c>
      <c r="G88" s="57" t="s">
        <v>3030</v>
      </c>
      <c r="H88" s="58" t="s">
        <v>3030</v>
      </c>
      <c r="I88" s="59" t="s">
        <v>3058</v>
      </c>
      <c r="J88" s="41" t="s">
        <v>3168</v>
      </c>
    </row>
    <row r="89" spans="1:10" x14ac:dyDescent="0.35">
      <c r="A89" s="92" t="s">
        <v>3131</v>
      </c>
      <c r="B89" s="92" t="s">
        <v>3131</v>
      </c>
      <c r="C89" s="76"/>
      <c r="D89" s="28" t="s">
        <v>3019</v>
      </c>
      <c r="E89" s="1" t="s">
        <v>3020</v>
      </c>
      <c r="F89" s="3" t="s">
        <v>3020</v>
      </c>
      <c r="G89" s="57" t="s">
        <v>3020</v>
      </c>
      <c r="H89" s="58" t="s">
        <v>3020</v>
      </c>
      <c r="I89" s="59" t="s">
        <v>3056</v>
      </c>
      <c r="J89" s="41" t="s">
        <v>3172</v>
      </c>
    </row>
    <row r="90" spans="1:10" x14ac:dyDescent="0.35">
      <c r="A90" s="92" t="s">
        <v>3094</v>
      </c>
      <c r="B90" s="92" t="s">
        <v>3094</v>
      </c>
      <c r="C90" s="76"/>
      <c r="D90" s="28" t="s">
        <v>3018</v>
      </c>
      <c r="E90" s="1" t="s">
        <v>3018</v>
      </c>
      <c r="F90" s="3" t="s">
        <v>3018</v>
      </c>
      <c r="G90" s="57" t="s">
        <v>3018</v>
      </c>
      <c r="H90" s="58" t="s">
        <v>3098</v>
      </c>
      <c r="I90" s="59" t="s">
        <v>3099</v>
      </c>
      <c r="J90" s="41" t="s">
        <v>3102</v>
      </c>
    </row>
    <row r="91" spans="1:10" x14ac:dyDescent="0.35">
      <c r="A91" s="92" t="s">
        <v>3117</v>
      </c>
      <c r="B91" s="92" t="s">
        <v>3117</v>
      </c>
      <c r="C91" s="76"/>
      <c r="D91" s="28" t="s">
        <v>3018</v>
      </c>
      <c r="E91" s="1" t="s">
        <v>3018</v>
      </c>
      <c r="F91" s="3" t="s">
        <v>3024</v>
      </c>
      <c r="G91" s="57" t="s">
        <v>3040</v>
      </c>
      <c r="H91" s="58" t="s">
        <v>3040</v>
      </c>
      <c r="I91" s="59" t="s">
        <v>3159</v>
      </c>
    </row>
    <row r="92" spans="1:10" x14ac:dyDescent="0.35">
      <c r="A92" s="92" t="s">
        <v>3103</v>
      </c>
      <c r="B92" s="92" t="s">
        <v>3103</v>
      </c>
      <c r="C92" s="76"/>
      <c r="D92" s="28" t="s">
        <v>3018</v>
      </c>
      <c r="E92" s="1" t="s">
        <v>3018</v>
      </c>
      <c r="F92" s="3" t="s">
        <v>3018</v>
      </c>
      <c r="G92" s="57" t="s">
        <v>3096</v>
      </c>
      <c r="H92" s="58" t="s">
        <v>3106</v>
      </c>
    </row>
    <row r="93" spans="1:10" x14ac:dyDescent="0.35">
      <c r="A93" s="92" t="s">
        <v>3149</v>
      </c>
      <c r="B93" s="92" t="s">
        <v>3149</v>
      </c>
      <c r="C93" s="76"/>
      <c r="D93" s="28" t="s">
        <v>3019</v>
      </c>
      <c r="E93" s="1" t="s">
        <v>3019</v>
      </c>
      <c r="F93" s="3" t="s">
        <v>3021</v>
      </c>
      <c r="G93" s="57" t="s">
        <v>3022</v>
      </c>
      <c r="H93" s="58" t="s">
        <v>3022</v>
      </c>
      <c r="I93" s="59" t="s">
        <v>3189</v>
      </c>
    </row>
    <row r="94" spans="1:10" x14ac:dyDescent="0.35">
      <c r="A94" s="92" t="s">
        <v>3147</v>
      </c>
      <c r="B94" s="92" t="s">
        <v>3147</v>
      </c>
      <c r="C94" s="76"/>
      <c r="D94" s="28" t="s">
        <v>3019</v>
      </c>
      <c r="E94" s="1" t="s">
        <v>3019</v>
      </c>
      <c r="F94" s="3" t="s">
        <v>3019</v>
      </c>
      <c r="G94" s="57" t="s">
        <v>3023</v>
      </c>
      <c r="H94" s="58" t="s">
        <v>3184</v>
      </c>
      <c r="I94" s="59" t="s">
        <v>3185</v>
      </c>
      <c r="J94" s="41" t="s">
        <v>3187</v>
      </c>
    </row>
    <row r="95" spans="1:10" x14ac:dyDescent="0.35">
      <c r="A95" s="92" t="s">
        <v>3141</v>
      </c>
      <c r="B95" s="92" t="s">
        <v>3141</v>
      </c>
      <c r="C95" s="76"/>
      <c r="D95" s="28" t="s">
        <v>3019</v>
      </c>
      <c r="E95" s="1" t="s">
        <v>3019</v>
      </c>
      <c r="F95" s="3" t="s">
        <v>3019</v>
      </c>
      <c r="G95" s="57" t="s">
        <v>3019</v>
      </c>
      <c r="H95" s="58" t="s">
        <v>3027</v>
      </c>
      <c r="I95" s="59" t="s">
        <v>3027</v>
      </c>
      <c r="J95" s="41" t="s">
        <v>3181</v>
      </c>
    </row>
    <row r="96" spans="1:10" x14ac:dyDescent="0.35">
      <c r="A96" s="92" t="s">
        <v>3144</v>
      </c>
      <c r="B96" s="92" t="s">
        <v>3144</v>
      </c>
      <c r="C96" s="76"/>
      <c r="D96" s="28" t="s">
        <v>3019</v>
      </c>
      <c r="E96" s="1" t="s">
        <v>3019</v>
      </c>
      <c r="F96" s="3" t="s">
        <v>3019</v>
      </c>
      <c r="G96" s="57" t="s">
        <v>3023</v>
      </c>
      <c r="H96" s="58" t="s">
        <v>3184</v>
      </c>
    </row>
    <row r="97" spans="1:10" x14ac:dyDescent="0.35">
      <c r="A97" s="92" t="s">
        <v>3092</v>
      </c>
      <c r="B97" s="92" t="s">
        <v>3092</v>
      </c>
      <c r="C97" s="76"/>
      <c r="D97" s="28" t="s">
        <v>3018</v>
      </c>
      <c r="E97" s="1" t="s">
        <v>3018</v>
      </c>
      <c r="F97" s="3" t="s">
        <v>3018</v>
      </c>
      <c r="G97" s="57" t="s">
        <v>3018</v>
      </c>
      <c r="H97" s="58" t="s">
        <v>3018</v>
      </c>
      <c r="I97" s="59" t="s">
        <v>3018</v>
      </c>
      <c r="J97" s="41" t="s">
        <v>3100</v>
      </c>
    </row>
    <row r="98" spans="1:10" x14ac:dyDescent="0.35">
      <c r="A98" s="92" t="s">
        <v>3080</v>
      </c>
      <c r="B98" s="92" t="s">
        <v>3080</v>
      </c>
      <c r="C98" s="76"/>
      <c r="D98" s="28" t="s">
        <v>3019</v>
      </c>
      <c r="E98" s="1" t="s">
        <v>3019</v>
      </c>
      <c r="F98" s="3" t="s">
        <v>3019</v>
      </c>
      <c r="G98" s="57" t="s">
        <v>3019</v>
      </c>
      <c r="H98" s="58" t="s">
        <v>3027</v>
      </c>
      <c r="I98" s="59" t="s">
        <v>3081</v>
      </c>
    </row>
    <row r="99" spans="1:10" x14ac:dyDescent="0.35">
      <c r="A99" s="92" t="s">
        <v>3082</v>
      </c>
      <c r="B99" s="92" t="s">
        <v>3082</v>
      </c>
      <c r="C99" s="76"/>
      <c r="D99" s="28" t="s">
        <v>3018</v>
      </c>
      <c r="E99" s="1" t="s">
        <v>3029</v>
      </c>
      <c r="F99" s="3" t="s">
        <v>3029</v>
      </c>
      <c r="G99" s="57" t="s">
        <v>3029</v>
      </c>
      <c r="H99" s="58" t="s">
        <v>3032</v>
      </c>
      <c r="I99" s="59" t="s">
        <v>3162</v>
      </c>
      <c r="J99" s="41" t="s">
        <v>3083</v>
      </c>
    </row>
    <row r="100" spans="1:10" x14ac:dyDescent="0.35">
      <c r="A100" s="92" t="s">
        <v>3082</v>
      </c>
      <c r="B100" s="92" t="s">
        <v>3082</v>
      </c>
      <c r="C100" s="76"/>
      <c r="D100" s="28" t="s">
        <v>3019</v>
      </c>
      <c r="E100" s="1" t="s">
        <v>3020</v>
      </c>
      <c r="F100" s="3" t="s">
        <v>3020</v>
      </c>
      <c r="G100" s="57" t="s">
        <v>3026</v>
      </c>
      <c r="H100" s="58" t="s">
        <v>3026</v>
      </c>
      <c r="I100" s="59" t="s">
        <v>3083</v>
      </c>
    </row>
    <row r="101" spans="1:10" x14ac:dyDescent="0.35">
      <c r="A101" s="92" t="s">
        <v>3139</v>
      </c>
      <c r="B101" s="92" t="s">
        <v>3139</v>
      </c>
      <c r="C101" s="76"/>
      <c r="D101" s="28" t="s">
        <v>3019</v>
      </c>
      <c r="E101" s="1" t="s">
        <v>3020</v>
      </c>
      <c r="F101" s="3" t="s">
        <v>3025</v>
      </c>
      <c r="G101" s="57" t="s">
        <v>3025</v>
      </c>
      <c r="H101" s="58" t="s">
        <v>3025</v>
      </c>
      <c r="I101" s="59" t="s">
        <v>3025</v>
      </c>
      <c r="J101" s="41" t="s">
        <v>3179</v>
      </c>
    </row>
    <row r="102" spans="1:10" x14ac:dyDescent="0.35">
      <c r="A102" s="92" t="s">
        <v>3112</v>
      </c>
      <c r="B102" s="92" t="s">
        <v>3112</v>
      </c>
      <c r="C102" s="76"/>
      <c r="D102" s="28" t="s">
        <v>3018</v>
      </c>
      <c r="E102" s="1" t="s">
        <v>3018</v>
      </c>
      <c r="F102" s="3" t="s">
        <v>3024</v>
      </c>
      <c r="G102" s="57" t="s">
        <v>3024</v>
      </c>
      <c r="H102" s="58" t="s">
        <v>3151</v>
      </c>
      <c r="I102" s="59" t="s">
        <v>3152</v>
      </c>
      <c r="J102" s="41" t="s">
        <v>3157</v>
      </c>
    </row>
    <row r="103" spans="1:10" x14ac:dyDescent="0.35">
      <c r="A103" s="92" t="s">
        <v>3091</v>
      </c>
      <c r="B103" s="92" t="s">
        <v>3091</v>
      </c>
      <c r="C103" s="76"/>
      <c r="D103" s="28" t="s">
        <v>3018</v>
      </c>
      <c r="E103" s="1" t="s">
        <v>3018</v>
      </c>
      <c r="F103" s="3" t="s">
        <v>3018</v>
      </c>
      <c r="G103" s="57" t="s">
        <v>3018</v>
      </c>
      <c r="H103" s="58" t="s">
        <v>3098</v>
      </c>
      <c r="I103" s="59" t="s">
        <v>3099</v>
      </c>
    </row>
    <row r="104" spans="1:10" x14ac:dyDescent="0.35">
      <c r="A104" s="92" t="s">
        <v>3087</v>
      </c>
      <c r="B104" s="92" t="s">
        <v>3087</v>
      </c>
      <c r="C104" s="76"/>
      <c r="D104" s="28" t="s">
        <v>3018</v>
      </c>
      <c r="E104" s="1" t="s">
        <v>3018</v>
      </c>
      <c r="F104" s="3" t="s">
        <v>3018</v>
      </c>
      <c r="G104" s="57" t="s">
        <v>3096</v>
      </c>
    </row>
    <row r="105" spans="1:10" x14ac:dyDescent="0.35">
      <c r="A105" s="92" t="s">
        <v>3087</v>
      </c>
      <c r="B105" s="92" t="s">
        <v>3087</v>
      </c>
      <c r="C105" s="76"/>
      <c r="D105" s="28" t="s">
        <v>3018</v>
      </c>
      <c r="E105" s="1" t="s">
        <v>3018</v>
      </c>
      <c r="F105" s="3" t="s">
        <v>3024</v>
      </c>
      <c r="G105" s="57" t="s">
        <v>3024</v>
      </c>
      <c r="H105" s="58" t="s">
        <v>3024</v>
      </c>
      <c r="I105" s="59" t="s">
        <v>3024</v>
      </c>
      <c r="J105" s="41" t="s">
        <v>3096</v>
      </c>
    </row>
    <row r="106" spans="1:10" x14ac:dyDescent="0.35">
      <c r="A106" s="92" t="s">
        <v>3113</v>
      </c>
      <c r="B106" s="92" t="s">
        <v>3113</v>
      </c>
      <c r="C106" s="76"/>
      <c r="D106" s="28" t="s">
        <v>3018</v>
      </c>
      <c r="E106" s="1" t="s">
        <v>3018</v>
      </c>
      <c r="F106" s="3" t="s">
        <v>3024</v>
      </c>
      <c r="G106" s="57" t="s">
        <v>3024</v>
      </c>
      <c r="H106" s="58" t="s">
        <v>3151</v>
      </c>
    </row>
    <row r="107" spans="1:10" x14ac:dyDescent="0.35">
      <c r="A107" s="92" t="s">
        <v>3140</v>
      </c>
      <c r="B107" s="92" t="s">
        <v>3140</v>
      </c>
      <c r="C107" s="76"/>
      <c r="D107" s="28" t="s">
        <v>3019</v>
      </c>
      <c r="E107" s="1" t="s">
        <v>3020</v>
      </c>
      <c r="F107" s="3" t="s">
        <v>3025</v>
      </c>
      <c r="G107" s="57" t="s">
        <v>3025</v>
      </c>
      <c r="H107" s="58" t="s">
        <v>3073</v>
      </c>
      <c r="I107" s="59" t="s">
        <v>3073</v>
      </c>
      <c r="J107" s="41" t="s">
        <v>3180</v>
      </c>
    </row>
    <row r="108" spans="1:10" x14ac:dyDescent="0.35">
      <c r="A108" s="92" t="s">
        <v>3110</v>
      </c>
      <c r="B108" s="92" t="s">
        <v>3110</v>
      </c>
      <c r="C108" s="76"/>
      <c r="D108" s="28" t="s">
        <v>3018</v>
      </c>
      <c r="E108" s="1" t="s">
        <v>3018</v>
      </c>
      <c r="F108" s="3" t="s">
        <v>3024</v>
      </c>
      <c r="G108" s="57" t="s">
        <v>3024</v>
      </c>
      <c r="H108" s="58" t="s">
        <v>3024</v>
      </c>
      <c r="I108" s="59" t="s">
        <v>3153</v>
      </c>
      <c r="J108" s="41" t="s">
        <v>3154</v>
      </c>
    </row>
    <row r="109" spans="1:10" x14ac:dyDescent="0.35">
      <c r="A109" s="92" t="s">
        <v>3118</v>
      </c>
      <c r="B109" s="92" t="s">
        <v>3118</v>
      </c>
      <c r="C109" s="76"/>
      <c r="D109" s="28" t="s">
        <v>3018</v>
      </c>
      <c r="E109" s="1" t="s">
        <v>3029</v>
      </c>
      <c r="F109" s="3" t="s">
        <v>3029</v>
      </c>
      <c r="G109" s="57" t="s">
        <v>3029</v>
      </c>
      <c r="H109" s="58" t="s">
        <v>3161</v>
      </c>
    </row>
    <row r="110" spans="1:10" x14ac:dyDescent="0.35">
      <c r="A110" s="92" t="s">
        <v>3104</v>
      </c>
      <c r="B110" s="92" t="s">
        <v>3104</v>
      </c>
      <c r="C110" s="76"/>
      <c r="D110" s="28" t="s">
        <v>3018</v>
      </c>
      <c r="E110" s="1" t="s">
        <v>3018</v>
      </c>
      <c r="F110" s="3" t="s">
        <v>3018</v>
      </c>
      <c r="G110" s="57" t="s">
        <v>3096</v>
      </c>
      <c r="H110" s="58" t="s">
        <v>3106</v>
      </c>
      <c r="I110" s="59" t="s">
        <v>3107</v>
      </c>
    </row>
    <row r="111" spans="1:10" x14ac:dyDescent="0.35">
      <c r="A111" s="92" t="s">
        <v>3121</v>
      </c>
      <c r="B111" s="92" t="s">
        <v>3121</v>
      </c>
      <c r="C111" s="76"/>
      <c r="D111" s="28" t="s">
        <v>3018</v>
      </c>
      <c r="E111" s="1" t="s">
        <v>3029</v>
      </c>
      <c r="F111" s="3" t="s">
        <v>3029</v>
      </c>
      <c r="G111" s="57" t="s">
        <v>3031</v>
      </c>
      <c r="H111" s="58" t="s">
        <v>3031</v>
      </c>
      <c r="I111" s="59" t="s">
        <v>3031</v>
      </c>
      <c r="J111" s="41" t="s">
        <v>3164</v>
      </c>
    </row>
    <row r="112" spans="1:10" x14ac:dyDescent="0.35">
      <c r="A112" s="92" t="s">
        <v>3123</v>
      </c>
      <c r="B112" s="92" t="s">
        <v>3123</v>
      </c>
      <c r="C112" s="76"/>
      <c r="D112" s="28" t="s">
        <v>3018</v>
      </c>
      <c r="E112" s="1" t="s">
        <v>3029</v>
      </c>
      <c r="F112" s="3" t="s">
        <v>3029</v>
      </c>
      <c r="G112" s="57" t="s">
        <v>3031</v>
      </c>
      <c r="H112" s="58" t="s">
        <v>3051</v>
      </c>
      <c r="I112" s="59" t="s">
        <v>3051</v>
      </c>
      <c r="J112" s="41" t="s">
        <v>3165</v>
      </c>
    </row>
    <row r="113" spans="1:10" x14ac:dyDescent="0.35">
      <c r="A113" s="92" t="s">
        <v>3150</v>
      </c>
      <c r="B113" s="92" t="s">
        <v>3150</v>
      </c>
      <c r="C113" s="76"/>
      <c r="D113" s="28" t="s">
        <v>3019</v>
      </c>
      <c r="E113" s="1" t="s">
        <v>3019</v>
      </c>
      <c r="F113" s="3" t="s">
        <v>3021</v>
      </c>
      <c r="G113" s="57" t="s">
        <v>3022</v>
      </c>
      <c r="H113" s="58" t="s">
        <v>3022</v>
      </c>
      <c r="I113" s="59" t="s">
        <v>3189</v>
      </c>
      <c r="J113" s="41" t="s">
        <v>3190</v>
      </c>
    </row>
    <row r="114" spans="1:10" x14ac:dyDescent="0.35">
      <c r="A114" s="92" t="s">
        <v>3124</v>
      </c>
      <c r="B114" s="92" t="s">
        <v>3124</v>
      </c>
      <c r="C114" s="76"/>
      <c r="D114" s="28" t="s">
        <v>3018</v>
      </c>
      <c r="E114" s="1" t="s">
        <v>3029</v>
      </c>
      <c r="F114" s="3" t="s">
        <v>3029</v>
      </c>
      <c r="G114" s="57" t="s">
        <v>3031</v>
      </c>
      <c r="H114" s="58" t="s">
        <v>3051</v>
      </c>
      <c r="I114" s="59" t="s">
        <v>3050</v>
      </c>
      <c r="J114" s="41" t="s">
        <v>3166</v>
      </c>
    </row>
    <row r="115" spans="1:10" x14ac:dyDescent="0.35">
      <c r="A115" s="92" t="s">
        <v>3114</v>
      </c>
      <c r="B115" s="92" t="s">
        <v>3114</v>
      </c>
      <c r="C115" s="76"/>
      <c r="D115" s="28" t="s">
        <v>3018</v>
      </c>
      <c r="E115" s="1" t="s">
        <v>3018</v>
      </c>
      <c r="F115" s="3" t="s">
        <v>3024</v>
      </c>
      <c r="G115" s="57" t="s">
        <v>3040</v>
      </c>
      <c r="H115" s="58" t="s">
        <v>3158</v>
      </c>
    </row>
    <row r="116" spans="1:10" x14ac:dyDescent="0.35">
      <c r="A116" s="92" t="s">
        <v>3136</v>
      </c>
      <c r="B116" s="92" t="s">
        <v>3136</v>
      </c>
      <c r="C116" s="76"/>
      <c r="D116" s="28" t="s">
        <v>3019</v>
      </c>
      <c r="E116" s="1" t="s">
        <v>3020</v>
      </c>
      <c r="F116" s="3" t="s">
        <v>3020</v>
      </c>
      <c r="G116" s="57" t="s">
        <v>3026</v>
      </c>
      <c r="H116" s="58" t="s">
        <v>3026</v>
      </c>
      <c r="I116" s="59" t="s">
        <v>3083</v>
      </c>
      <c r="J116" s="41" t="s">
        <v>3176</v>
      </c>
    </row>
    <row r="117" spans="1:10" x14ac:dyDescent="0.35">
      <c r="A117" s="92" t="s">
        <v>3142</v>
      </c>
      <c r="B117" s="92" t="s">
        <v>3142</v>
      </c>
      <c r="C117" s="101">
        <v>45037</v>
      </c>
      <c r="D117" s="28" t="s">
        <v>3019</v>
      </c>
      <c r="E117" s="1" t="s">
        <v>3019</v>
      </c>
      <c r="F117" s="3" t="s">
        <v>3019</v>
      </c>
      <c r="G117" s="57" t="s">
        <v>3019</v>
      </c>
      <c r="H117" s="58" t="s">
        <v>3027</v>
      </c>
      <c r="I117" s="59" t="s">
        <v>3081</v>
      </c>
      <c r="J117" s="41" t="s">
        <v>3182</v>
      </c>
    </row>
    <row r="118" spans="1:10" x14ac:dyDescent="0.35">
      <c r="A118" s="92" t="s">
        <v>3133</v>
      </c>
      <c r="B118" s="92" t="s">
        <v>3133</v>
      </c>
      <c r="C118" s="76"/>
      <c r="D118" s="28" t="s">
        <v>3019</v>
      </c>
      <c r="E118" s="1" t="s">
        <v>3020</v>
      </c>
      <c r="F118" s="3" t="s">
        <v>3020</v>
      </c>
      <c r="G118" s="57" t="s">
        <v>3020</v>
      </c>
      <c r="H118" s="58" t="s">
        <v>3054</v>
      </c>
      <c r="I118" s="59" t="s">
        <v>3170</v>
      </c>
      <c r="J118" s="41" t="s">
        <v>3078</v>
      </c>
    </row>
    <row r="119" spans="1:10" x14ac:dyDescent="0.35">
      <c r="A119" s="92" t="s">
        <v>3120</v>
      </c>
      <c r="B119" s="92" t="s">
        <v>3120</v>
      </c>
      <c r="C119" s="101">
        <v>45037</v>
      </c>
      <c r="D119" s="28" t="s">
        <v>3018</v>
      </c>
      <c r="E119" s="1" t="s">
        <v>3029</v>
      </c>
      <c r="F119" s="3" t="s">
        <v>3029</v>
      </c>
      <c r="G119" s="57" t="s">
        <v>3029</v>
      </c>
      <c r="H119" s="58" t="s">
        <v>3032</v>
      </c>
      <c r="I119" s="59" t="s">
        <v>3032</v>
      </c>
      <c r="J119" s="41" t="s">
        <v>3052</v>
      </c>
    </row>
    <row r="120" spans="1:10" x14ac:dyDescent="0.35">
      <c r="A120" s="92" t="s">
        <v>3137</v>
      </c>
      <c r="B120" s="92" t="s">
        <v>3137</v>
      </c>
      <c r="C120" s="76"/>
      <c r="D120" s="28" t="s">
        <v>3019</v>
      </c>
      <c r="E120" s="1" t="s">
        <v>3020</v>
      </c>
      <c r="F120" s="3" t="s">
        <v>3020</v>
      </c>
      <c r="G120" s="57" t="s">
        <v>3026</v>
      </c>
      <c r="H120" s="58" t="s">
        <v>3046</v>
      </c>
      <c r="I120" s="59" t="s">
        <v>3046</v>
      </c>
      <c r="J120" s="41" t="s">
        <v>3177</v>
      </c>
    </row>
    <row r="121" spans="1:10" x14ac:dyDescent="0.35">
      <c r="A121" s="92" t="s">
        <v>3128</v>
      </c>
      <c r="B121" s="92" t="s">
        <v>3128</v>
      </c>
      <c r="C121" s="76"/>
      <c r="D121" s="28" t="s">
        <v>3018</v>
      </c>
      <c r="E121" s="1" t="s">
        <v>3029</v>
      </c>
      <c r="F121" s="3" t="s">
        <v>3030</v>
      </c>
      <c r="G121" s="57" t="s">
        <v>3030</v>
      </c>
      <c r="H121" s="58" t="s">
        <v>3069</v>
      </c>
    </row>
    <row r="122" spans="1:10" x14ac:dyDescent="0.35">
      <c r="A122" s="92" t="s">
        <v>3127</v>
      </c>
      <c r="B122" s="92" t="s">
        <v>3127</v>
      </c>
      <c r="C122" s="76"/>
      <c r="D122" s="28" t="s">
        <v>3018</v>
      </c>
      <c r="E122" s="1" t="s">
        <v>3029</v>
      </c>
      <c r="F122" s="3" t="s">
        <v>3030</v>
      </c>
      <c r="G122" s="57" t="s">
        <v>3030</v>
      </c>
      <c r="H122" s="58" t="s">
        <v>3069</v>
      </c>
      <c r="I122" s="59" t="s">
        <v>3070</v>
      </c>
      <c r="J122" s="41" t="s">
        <v>3169</v>
      </c>
    </row>
    <row r="123" spans="1:10" x14ac:dyDescent="0.35">
      <c r="A123" s="92" t="s">
        <v>3132</v>
      </c>
      <c r="B123" s="92" t="s">
        <v>3132</v>
      </c>
      <c r="C123" s="76"/>
      <c r="D123" s="28" t="s">
        <v>3019</v>
      </c>
      <c r="E123" s="1" t="s">
        <v>3020</v>
      </c>
      <c r="F123" s="3" t="s">
        <v>3020</v>
      </c>
      <c r="G123" s="57" t="s">
        <v>3020</v>
      </c>
      <c r="H123" s="58" t="s">
        <v>3054</v>
      </c>
      <c r="I123" s="59" t="s">
        <v>3054</v>
      </c>
      <c r="J123" s="41" t="s">
        <v>3173</v>
      </c>
    </row>
    <row r="124" spans="1:10" x14ac:dyDescent="0.35">
      <c r="A124" s="92" t="s">
        <v>3143</v>
      </c>
      <c r="B124" s="92" t="s">
        <v>3143</v>
      </c>
      <c r="C124" s="76"/>
      <c r="D124" s="28" t="s">
        <v>3019</v>
      </c>
      <c r="E124" s="1" t="s">
        <v>3019</v>
      </c>
      <c r="F124" s="3" t="s">
        <v>3019</v>
      </c>
      <c r="G124" s="57" t="s">
        <v>3023</v>
      </c>
      <c r="H124" s="58" t="s">
        <v>3023</v>
      </c>
      <c r="I124" s="59" t="s">
        <v>3183</v>
      </c>
    </row>
    <row r="125" spans="1:10" x14ac:dyDescent="0.35">
      <c r="A125" s="92" t="s">
        <v>3116</v>
      </c>
      <c r="B125" s="92" t="s">
        <v>3116</v>
      </c>
      <c r="C125" s="76"/>
      <c r="D125" s="28" t="s">
        <v>3018</v>
      </c>
      <c r="E125" s="1" t="s">
        <v>3018</v>
      </c>
      <c r="F125" s="3" t="s">
        <v>3024</v>
      </c>
      <c r="G125" s="57" t="s">
        <v>3040</v>
      </c>
      <c r="H125" s="58" t="s">
        <v>3158</v>
      </c>
      <c r="I125" s="59" t="s">
        <v>3160</v>
      </c>
    </row>
    <row r="126" spans="1:10" x14ac:dyDescent="0.35">
      <c r="A126" s="92" t="s">
        <v>3084</v>
      </c>
      <c r="B126" s="92" t="s">
        <v>3084</v>
      </c>
      <c r="C126" s="76"/>
      <c r="D126" s="28" t="s">
        <v>3019</v>
      </c>
      <c r="E126" s="1" t="s">
        <v>3020</v>
      </c>
      <c r="F126" s="3" t="s">
        <v>3025</v>
      </c>
      <c r="G126" s="57" t="s">
        <v>3025</v>
      </c>
      <c r="H126" s="58" t="s">
        <v>3073</v>
      </c>
      <c r="I126" s="59" t="s">
        <v>3178</v>
      </c>
      <c r="J126" s="41" t="s">
        <v>3085</v>
      </c>
    </row>
    <row r="127" spans="1:10" x14ac:dyDescent="0.35">
      <c r="A127" s="92" t="s">
        <v>3086</v>
      </c>
      <c r="B127" s="92" t="s">
        <v>3086</v>
      </c>
      <c r="C127" s="76"/>
      <c r="D127" s="28" t="s">
        <v>3019</v>
      </c>
      <c r="E127" s="1" t="s">
        <v>3019</v>
      </c>
      <c r="F127" s="3" t="s">
        <v>3021</v>
      </c>
      <c r="G127" s="57" t="s">
        <v>3021</v>
      </c>
      <c r="H127" s="58" t="s">
        <v>3021</v>
      </c>
      <c r="I127" s="59" t="s">
        <v>3021</v>
      </c>
      <c r="J127" s="41" t="s">
        <v>3079</v>
      </c>
    </row>
    <row r="128" spans="1:10" x14ac:dyDescent="0.35">
      <c r="A128" s="92" t="s">
        <v>3148</v>
      </c>
      <c r="B128" s="92" t="s">
        <v>3148</v>
      </c>
      <c r="C128" s="76"/>
      <c r="D128" s="28" t="s">
        <v>3019</v>
      </c>
      <c r="E128" s="1" t="s">
        <v>3019</v>
      </c>
      <c r="F128" s="3" t="s">
        <v>3021</v>
      </c>
      <c r="G128" s="57" t="s">
        <v>3021</v>
      </c>
      <c r="H128" s="58" t="s">
        <v>3043</v>
      </c>
      <c r="I128" s="59" t="s">
        <v>3055</v>
      </c>
      <c r="J128" s="41" t="s">
        <v>3188</v>
      </c>
    </row>
    <row r="129" spans="1:12" x14ac:dyDescent="0.35">
      <c r="A129" s="92" t="s">
        <v>3145</v>
      </c>
      <c r="B129" s="92" t="s">
        <v>3145</v>
      </c>
      <c r="C129" s="76"/>
      <c r="D129" s="28" t="s">
        <v>3019</v>
      </c>
      <c r="E129" s="1" t="s">
        <v>3019</v>
      </c>
      <c r="F129" s="3" t="s">
        <v>3019</v>
      </c>
      <c r="G129" s="57" t="s">
        <v>3023</v>
      </c>
      <c r="H129" s="58" t="s">
        <v>3184</v>
      </c>
      <c r="I129" s="59" t="s">
        <v>3185</v>
      </c>
    </row>
    <row r="130" spans="1:12" x14ac:dyDescent="0.35">
      <c r="D130"/>
      <c r="E130"/>
      <c r="F130"/>
      <c r="G130"/>
      <c r="H130"/>
      <c r="I130"/>
      <c r="J130"/>
      <c r="K130"/>
      <c r="L130"/>
    </row>
    <row r="131" spans="1:12" x14ac:dyDescent="0.35">
      <c r="D131"/>
      <c r="E131"/>
      <c r="F131"/>
      <c r="G131"/>
      <c r="H131"/>
      <c r="I131"/>
      <c r="J131"/>
      <c r="K131"/>
      <c r="L131"/>
    </row>
    <row r="132" spans="1:12" x14ac:dyDescent="0.35">
      <c r="D132"/>
      <c r="E132"/>
      <c r="F132"/>
      <c r="G132"/>
      <c r="H132"/>
      <c r="I132"/>
      <c r="J132"/>
      <c r="K132"/>
      <c r="L132"/>
    </row>
    <row r="133" spans="1:12" x14ac:dyDescent="0.35">
      <c r="D133"/>
      <c r="E133"/>
      <c r="F133"/>
      <c r="G133"/>
      <c r="H133"/>
      <c r="I133"/>
      <c r="J133"/>
      <c r="K133"/>
      <c r="L133"/>
    </row>
    <row r="134" spans="1:12" x14ac:dyDescent="0.35">
      <c r="D134"/>
      <c r="E134"/>
      <c r="F134"/>
      <c r="G134"/>
      <c r="H134"/>
      <c r="I134"/>
      <c r="J134"/>
      <c r="K134"/>
      <c r="L134"/>
    </row>
    <row r="135" spans="1:12" x14ac:dyDescent="0.35">
      <c r="D135"/>
      <c r="E135"/>
      <c r="F135"/>
      <c r="G135"/>
      <c r="H135"/>
      <c r="I135"/>
      <c r="J135"/>
      <c r="K135"/>
      <c r="L135"/>
    </row>
    <row r="136" spans="1:12" x14ac:dyDescent="0.35">
      <c r="D136"/>
      <c r="E136"/>
      <c r="F136"/>
      <c r="G136"/>
      <c r="H136"/>
      <c r="I136"/>
      <c r="J136"/>
      <c r="K136"/>
      <c r="L136"/>
    </row>
    <row r="137" spans="1:12" x14ac:dyDescent="0.35">
      <c r="D137"/>
      <c r="E137"/>
      <c r="F137"/>
      <c r="G137"/>
      <c r="H137"/>
      <c r="I137"/>
      <c r="J137"/>
      <c r="K137"/>
      <c r="L137"/>
    </row>
    <row r="138" spans="1:12" x14ac:dyDescent="0.35">
      <c r="D138"/>
      <c r="E138"/>
      <c r="F138"/>
      <c r="G138"/>
      <c r="H138"/>
      <c r="I138"/>
      <c r="J138"/>
      <c r="K138"/>
      <c r="L138"/>
    </row>
    <row r="139" spans="1:12" x14ac:dyDescent="0.35">
      <c r="D139"/>
      <c r="E139"/>
      <c r="F139"/>
      <c r="G139"/>
      <c r="H139"/>
      <c r="I139"/>
      <c r="J139"/>
      <c r="K139"/>
      <c r="L139"/>
    </row>
    <row r="140" spans="1:12" x14ac:dyDescent="0.35">
      <c r="D140"/>
      <c r="E140"/>
      <c r="F140"/>
      <c r="G140"/>
      <c r="H140"/>
      <c r="I140"/>
      <c r="J140"/>
      <c r="K140"/>
      <c r="L140"/>
    </row>
    <row r="141" spans="1:12" x14ac:dyDescent="0.35">
      <c r="D141"/>
      <c r="E141"/>
      <c r="F141"/>
      <c r="G141"/>
      <c r="H141"/>
      <c r="I141"/>
      <c r="J141"/>
      <c r="K141"/>
      <c r="L141"/>
    </row>
    <row r="142" spans="1:12" x14ac:dyDescent="0.35">
      <c r="D142"/>
      <c r="E142"/>
      <c r="F142"/>
      <c r="G142"/>
      <c r="H142"/>
      <c r="I142"/>
      <c r="J142"/>
      <c r="K142"/>
      <c r="L142"/>
    </row>
    <row r="143" spans="1:12" x14ac:dyDescent="0.35">
      <c r="D143"/>
      <c r="E143"/>
      <c r="F143"/>
      <c r="G143"/>
      <c r="H143"/>
      <c r="I143"/>
      <c r="J143"/>
      <c r="K143"/>
      <c r="L143"/>
    </row>
    <row r="144" spans="1:12" x14ac:dyDescent="0.35">
      <c r="D144"/>
      <c r="E144"/>
      <c r="F144"/>
      <c r="G144"/>
      <c r="H144"/>
      <c r="I144"/>
      <c r="J144"/>
      <c r="K144"/>
      <c r="L144"/>
    </row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</sheetData>
  <hyperlinks>
    <hyperlink ref="A9" location="'Angier'!A1" display="Angier" xr:uid="{0F73B3E9-30FB-42F2-8513-7A7FB39B9A05}"/>
    <hyperlink ref="A11" location="'Beavis'!A1" display="Beavis" xr:uid="{FFF5556A-BBEB-46B9-BB60-56CA60C5D74C}"/>
    <hyperlink ref="A12" location="'Biddle'!A1" display="Biddle" xr:uid="{95BA3A45-FA22-44F8-B42D-A10C5AD37F6C}"/>
    <hyperlink ref="A13" location="'Bing'!A1" display="Bing" xr:uid="{CCE0708A-E4DE-4457-95DA-45115D03B179}"/>
    <hyperlink ref="A14" location="'Bloomfield'!A1" display="Bloomfield" xr:uid="{F2A9F10E-2363-4EA6-A042-E69325C571F3}"/>
    <hyperlink ref="A15" location="'Boreham'!A1" display="Boreham" xr:uid="{2171C8F0-D699-4A86-8D07-F16A123802B7}"/>
    <hyperlink ref="A16" location="'Brinkley'!A1" display="Brinkley" xr:uid="{660459B5-5EC1-4454-A94A-820FA79ED092}"/>
    <hyperlink ref="A17" location="'Bushell'!A1" display="Bushell" xr:uid="{8016E169-9A08-445D-820E-6253568F19A7}"/>
    <hyperlink ref="A18" location="'Camp'!A1" display="Camp" xr:uid="{1F1C9F9C-2CFB-4C43-B135-3ED9AF413ECD}"/>
    <hyperlink ref="A19" location="'Collins'!A1" display="Collins" xr:uid="{EE3D5528-D78E-4FD7-9B5A-8D121E3645A4}"/>
    <hyperlink ref="A21" location="'Davis'!A1" display="Davis" xr:uid="{FBBAACEB-3090-4AF1-8ECA-83F3F93C6EC1}"/>
    <hyperlink ref="A23" location="'Disdale'!A1" display="Disdale" xr:uid="{BBD4E613-F228-48BB-9C9D-562C9BFC3C28}"/>
    <hyperlink ref="A24" location="'Dyason'!A1" display="Dyason" xr:uid="{47B4D65F-AC86-4944-89CE-9BB876A1B89F}"/>
    <hyperlink ref="A25" location="'Felton'!A1" display="Felton" xr:uid="{74ECC852-B01C-43A9-AC1B-57BAB97642B9}"/>
    <hyperlink ref="A26" location="'Field'!A1" display="Field" xr:uid="{5CADF50F-BF7A-4812-BEFF-F11C323C51AF}"/>
    <hyperlink ref="A27" location="'Fooks'!A1" display="Fooks" xr:uid="{99FBC5D8-D593-409E-85FA-253BB22E3E3D}"/>
    <hyperlink ref="A28" location="'Ford'!A1" display="Ford" xr:uid="{611BA3D2-F8EF-4B21-AA25-9B6FBCBF02FB}"/>
    <hyperlink ref="A29" location="'Freemantle'!A1" display="Freemantle" xr:uid="{5B57BA42-6F3E-4017-8126-35B187DD5446}"/>
    <hyperlink ref="A30" location="'Gates'!A1" display="Gates" xr:uid="{A9FC9D04-0A67-4B22-ABF5-434380B28126}"/>
    <hyperlink ref="A31" location="'Hall'!A1" display="Hall" xr:uid="{C88F638C-4185-4168-B174-8C7A5E15DCEB}"/>
    <hyperlink ref="A32" location="'Hook'!A1" display="Hook" xr:uid="{E8B07BB9-42D9-49BE-9D95-1ED064ABC3F8}"/>
    <hyperlink ref="A33" location="'Hogben'!A1" display="Hogben" xr:uid="{C8200A91-59F2-4751-BDB5-F7FCA25772C1}"/>
    <hyperlink ref="A35" location="'Humphrey'!A1" display="Humphrey" xr:uid="{F8F69E54-EF60-4D40-BFB4-4BA1BD7B98BA}"/>
    <hyperlink ref="A36" location="'Jezzard'!A1" display="Jezzard" xr:uid="{91D7F779-99E1-467C-A239-5E482F760E84}"/>
    <hyperlink ref="A38" location="'Lippincott'!A1" display="Lippincott" xr:uid="{B5A59226-0945-4A3E-ABDE-19550C7FDEA4}"/>
    <hyperlink ref="A40" location="Mercer!A1" display="Mercer" xr:uid="{BD6C9053-1A0D-4A60-9E14-F2CB5C3D2AB1}"/>
    <hyperlink ref="A41" location="'Minter'!A1" display="Minter" xr:uid="{FB556A00-051A-43DA-AB91-BF93D63DFCF5}"/>
    <hyperlink ref="A42" location="'Nankivell'!A1" display="Nankivell" xr:uid="{2D62DA0F-77FF-4C2C-A446-EC4F17253187}"/>
    <hyperlink ref="A43" location="'Noble'!A1" display="Noble" xr:uid="{A9C6F4F3-4004-4A91-9E63-02ECFFF13436}"/>
    <hyperlink ref="A44" location="'Otley'!A1" display="Otley" xr:uid="{6B9B29E5-C661-4994-A982-55C305945811}"/>
    <hyperlink ref="A46" location="'Patrick'!A1" display="Patrick" xr:uid="{077A85E1-998A-4DE5-A6E1-9DAEFE0805AE}"/>
    <hyperlink ref="A47" location="'Penny'!A1" display="Penny" xr:uid="{9A4C1382-C095-4E40-AB39-126DD950BC05}"/>
    <hyperlink ref="A48" location="'Pittock'!A1" display="Pittock" xr:uid="{EBF10E29-1698-4A23-B19A-1108D6C73AC7}"/>
    <hyperlink ref="A49" location="'Rayner'!A1" display="Rayner" xr:uid="{9EF7BB21-F1A6-4030-A579-6B598284D6AC}"/>
    <hyperlink ref="A50" location="'Reeve'!A1" display="Reeve" xr:uid="{347D7537-71A9-4835-96AA-8438289FEA1B}"/>
    <hyperlink ref="A51" location="'Robertson'!A1" display="Robertson" xr:uid="{C7B0B439-C9CA-44FB-9462-D12A64B68CBC}"/>
    <hyperlink ref="A52" location="'Ruddock'!A1" display="Ruddock" xr:uid="{C219E54F-7A01-4B4D-BC81-02239E5A29AB}"/>
    <hyperlink ref="A53" location="'Sams'!A1" display="Sams" xr:uid="{A8AED7F6-A0FE-4D81-990F-E8643D222205}"/>
    <hyperlink ref="A54" location="'Shickle'!A1" display="Shickle" xr:uid="{D32FE392-D3AF-43CB-BA54-FBBF72487BD4}"/>
    <hyperlink ref="A55" location="'Shinn'!A1" display="Shinn" xr:uid="{9C4F8D33-F057-49B2-972A-322FAD9D23D3}"/>
    <hyperlink ref="A56" location="'Shrewsbury'!A1" display="Shrewsbury" xr:uid="{7D5F4B4C-EEFB-4801-880A-EB33460CB29B}"/>
    <hyperlink ref="A58" location="'Tucker'!A1" display="Tucker" xr:uid="{C18B5602-B059-4B29-A5A3-BBE163F6B59C}"/>
    <hyperlink ref="A59" location="'Vandepeer'!A1" display="Vandepeer" xr:uid="{E8B541F7-3F81-4F3D-91E6-9F28E82F33EC}"/>
    <hyperlink ref="A60" location="'Wilson'!A1" display="Wilson" xr:uid="{1D811A45-D720-4FF2-896F-3BBBCB43EF72}"/>
    <hyperlink ref="A62" location="UnmatchedFreer!A1" display="UnmatchedFreer" xr:uid="{F022EBD8-FC03-46BC-9242-35C08759DF97}"/>
    <hyperlink ref="A63" location="UnmatchedMcCracken!A1" display="UnmatchedMcCracken" xr:uid="{BF4499EC-89DF-4BE1-94B1-5F1B99F03D84}"/>
    <hyperlink ref="A37" location="Jordan!A1" display="Jordan" xr:uid="{522A9570-116C-4B48-9AD2-6A584ED42209}"/>
    <hyperlink ref="A39" location="Mayes!A1" display="Mayes" xr:uid="{8423E28E-A242-47FA-888E-54EAF23E6E71}"/>
    <hyperlink ref="A22" location="Dibel!A1" display="Dibel" xr:uid="{0CC3B056-0735-45B6-A8BD-1BAD628C6593}"/>
    <hyperlink ref="A45" location="Palmer!A1" display="Palmer" xr:uid="{1FC1498A-3610-4316-87EC-B74ECB84D27E}"/>
    <hyperlink ref="A70" r:id="rId1" xr:uid="{7D2C8935-9CD5-47A6-9581-81D4B12FAE43}"/>
    <hyperlink ref="A71" r:id="rId2" xr:uid="{CDFBBF01-0564-4253-8028-21501DB8C0D4}"/>
    <hyperlink ref="B70" r:id="rId3" xr:uid="{586248F4-3FC3-4122-BDD8-C699CC5457FE}"/>
    <hyperlink ref="B71" r:id="rId4" xr:uid="{209F5CD3-CB33-4C89-9A19-5E5D3A62BB3F}"/>
    <hyperlink ref="B72" r:id="rId5" xr:uid="{DD7E2110-8348-4970-834E-96DBCFCCFA4C}"/>
    <hyperlink ref="A72" r:id="rId6" xr:uid="{B100E365-4168-4C88-AE71-FD9E3D7F36F4}"/>
    <hyperlink ref="A73" r:id="rId7" xr:uid="{D592CE8D-6D5B-4452-BDE8-527FAC1E12F3}"/>
    <hyperlink ref="B73" r:id="rId8" xr:uid="{919B702C-CCF5-4CD4-86E0-B31D9FE6EB1C}"/>
    <hyperlink ref="B74" r:id="rId9" xr:uid="{723DC5AC-4BAB-48EC-B7B3-6136FA42037A}"/>
    <hyperlink ref="A74" r:id="rId10" xr:uid="{27891666-5EF9-4C43-99DE-A609704464A1}"/>
    <hyperlink ref="A75" r:id="rId11" xr:uid="{3ACDD782-4B47-4C8F-805A-5E4FA1C71B83}"/>
    <hyperlink ref="B75" r:id="rId12" xr:uid="{0AAF88A5-40CB-4B98-8F65-711F1EDA77A7}"/>
    <hyperlink ref="B76" r:id="rId13" xr:uid="{A9D832C9-69A9-4184-903B-A89861EF2F05}"/>
    <hyperlink ref="A76" r:id="rId14" xr:uid="{B35F4E62-C253-486E-9E08-1FDCB0E8E2F2}"/>
    <hyperlink ref="A77" r:id="rId15" xr:uid="{0105172A-BF3B-4975-9FA9-D13D785D3758}"/>
    <hyperlink ref="B77" r:id="rId16" xr:uid="{CCFD2586-CC11-4428-B88E-B9D1A3B271C7}"/>
    <hyperlink ref="B78" r:id="rId17" xr:uid="{6830345C-380D-47BB-B01B-758F3B3672DB}"/>
    <hyperlink ref="A78" r:id="rId18" xr:uid="{EC43C76E-FD85-4383-9461-6E0720247EFF}"/>
    <hyperlink ref="A79" r:id="rId19" xr:uid="{0D649300-C360-46F4-BE48-B7592447D1B5}"/>
    <hyperlink ref="B79" r:id="rId20" xr:uid="{179663BA-79D0-49A3-9740-40DEAC8AE65B}"/>
    <hyperlink ref="B80" r:id="rId21" xr:uid="{939C2BFC-6F69-4542-950E-4E013E8661F1}"/>
    <hyperlink ref="A80" r:id="rId22" xr:uid="{3DBAAE2E-BCC2-412A-A0E7-011E564662B3}"/>
    <hyperlink ref="A81" r:id="rId23" xr:uid="{8B184785-54E7-4C0C-A867-D156414FFB53}"/>
    <hyperlink ref="B81" r:id="rId24" xr:uid="{B306B90D-0958-49B5-A153-7291C34357F1}"/>
    <hyperlink ref="B82" r:id="rId25" xr:uid="{B94E524E-90C2-4382-9F4C-946DA5FB3944}"/>
    <hyperlink ref="A82" r:id="rId26" xr:uid="{6E5C7363-5D12-4869-AD63-4CA33832EAB4}"/>
    <hyperlink ref="A83" r:id="rId27" xr:uid="{212B249A-961A-47CC-BADB-616149464D20}"/>
    <hyperlink ref="B83" r:id="rId28" xr:uid="{D57843BD-63FE-435D-90E1-354A91356220}"/>
    <hyperlink ref="B84" r:id="rId29" xr:uid="{FF52017D-629F-4B5B-A036-AF0FE1F6831B}"/>
    <hyperlink ref="A84" r:id="rId30" xr:uid="{5632522E-A36F-45F5-8ACC-144BEC108D18}"/>
    <hyperlink ref="A85" r:id="rId31" xr:uid="{2B5FF526-F6FB-464F-A864-FBF5336485D4}"/>
    <hyperlink ref="B85" r:id="rId32" xr:uid="{A902088B-0CF6-49D5-8240-36BF1007C6E7}"/>
    <hyperlink ref="B86" r:id="rId33" xr:uid="{9B29D900-F5FA-44FA-8475-97E1E63AC7FA}"/>
    <hyperlink ref="A86" r:id="rId34" xr:uid="{F1C1DEBF-F311-4481-B84A-3D53EA25856C}"/>
    <hyperlink ref="A87" r:id="rId35" xr:uid="{005719ED-E92D-4990-817F-361350E4EB09}"/>
    <hyperlink ref="B87" r:id="rId36" xr:uid="{CDFFA6D0-0CFE-4F7D-8F44-65DEB679ACEA}"/>
    <hyperlink ref="B88" r:id="rId37" xr:uid="{14F29977-5805-4C4F-BB25-61DB9179233F}"/>
    <hyperlink ref="A88" r:id="rId38" xr:uid="{B619D492-A878-4C47-834A-206A3E36C82F}"/>
    <hyperlink ref="A89" r:id="rId39" xr:uid="{1B1BD5A8-B2A5-481B-BD69-DFF0D9BD7E2A}"/>
    <hyperlink ref="B89" r:id="rId40" xr:uid="{20FC5ED5-891E-4108-913E-76496F49F319}"/>
    <hyperlink ref="B90" r:id="rId41" xr:uid="{7A96E488-5DA0-4411-8BFF-3B52C9F67048}"/>
    <hyperlink ref="A90" r:id="rId42" xr:uid="{924A4774-7DF7-4B34-8305-BF2CE923A904}"/>
    <hyperlink ref="A91" r:id="rId43" xr:uid="{B87841AB-ED3A-45F9-946D-E6A1AB1A0E0F}"/>
    <hyperlink ref="B91" r:id="rId44" xr:uid="{5874D9DC-B779-4FC9-B7BE-54807AFE3275}"/>
    <hyperlink ref="B92" r:id="rId45" xr:uid="{C5203EF5-1E45-40F4-9677-2D3B41782DF0}"/>
    <hyperlink ref="A92" r:id="rId46" xr:uid="{724690BF-55F8-425F-9FD0-73EE5717762D}"/>
    <hyperlink ref="A93" r:id="rId47" xr:uid="{7C954DBF-3DF2-4177-97DC-91398756CB25}"/>
    <hyperlink ref="B93" r:id="rId48" xr:uid="{B8F5A0D0-B707-4BCD-9344-D95ED00C1CA2}"/>
    <hyperlink ref="B94" r:id="rId49" xr:uid="{8BD6CB68-586C-4351-97E1-5B301C3D1E10}"/>
    <hyperlink ref="A94" r:id="rId50" xr:uid="{EB76B596-5450-4C4F-B57E-CFA7F6F76D39}"/>
    <hyperlink ref="A95" r:id="rId51" xr:uid="{8B8497A4-B87F-4F95-9FF7-4E93E215EB9D}"/>
    <hyperlink ref="B95" r:id="rId52" xr:uid="{636B3D79-FA8D-4207-AFC0-65133FE5EA9F}"/>
    <hyperlink ref="B96" r:id="rId53" xr:uid="{F3DC54F3-988F-4FC9-97BC-B33615C926EF}"/>
    <hyperlink ref="A96" r:id="rId54" xr:uid="{EEE46D54-D692-4891-8AA5-6EE725CA971A}"/>
    <hyperlink ref="A97" r:id="rId55" xr:uid="{076DA9C3-4A58-41DA-9D25-E41E50D12DFD}"/>
    <hyperlink ref="B97" r:id="rId56" xr:uid="{FF5EA78B-E377-45A4-838D-F9E3768B2B29}"/>
    <hyperlink ref="B98" r:id="rId57" xr:uid="{D45C4D6A-8EF1-43E9-AFD6-2593B960067C}"/>
    <hyperlink ref="A98" r:id="rId58" xr:uid="{2547E5D7-4C8A-4714-9893-33FC2721CE87}"/>
    <hyperlink ref="A99" r:id="rId59" xr:uid="{8DBDE3FA-9A1B-46F1-A3BC-7354E176F619}"/>
    <hyperlink ref="A100" r:id="rId60" xr:uid="{52DF959A-CAE3-4FDD-8FC1-91BBB0C90A56}"/>
    <hyperlink ref="B99" r:id="rId61" xr:uid="{B711D3ED-E91B-4AD3-B382-BDA794701B4F}"/>
    <hyperlink ref="B100" r:id="rId62" xr:uid="{25744739-BA28-447F-81F4-79BD0B7B813A}"/>
    <hyperlink ref="B101" r:id="rId63" xr:uid="{8A3727E6-2A8B-4EA3-A231-BEB99210CB4C}"/>
    <hyperlink ref="A101" r:id="rId64" xr:uid="{955C5F43-DC36-4CE3-A603-A804D0C934BF}"/>
    <hyperlink ref="A102" r:id="rId65" xr:uid="{EA4C60E2-8D71-4870-B438-D19FF763B6F9}"/>
    <hyperlink ref="B102" r:id="rId66" xr:uid="{4B9CD9BB-AA3E-4808-BF0F-08C1592B076E}"/>
    <hyperlink ref="B103" r:id="rId67" xr:uid="{F1B49576-74AB-4FB7-B835-F6446A017662}"/>
    <hyperlink ref="A103" r:id="rId68" xr:uid="{F17FBF94-14E0-4231-B2F1-D176D55474D4}"/>
    <hyperlink ref="A104" r:id="rId69" xr:uid="{8FB7F2D8-A5DF-4152-A7E1-1ADD44187046}"/>
    <hyperlink ref="A105" r:id="rId70" xr:uid="{667B73E3-F200-42BD-B622-791889077E75}"/>
    <hyperlink ref="B104" r:id="rId71" xr:uid="{4361F433-0F4B-4BAF-8CCD-01ECEB1848F6}"/>
    <hyperlink ref="B105" r:id="rId72" xr:uid="{588CD06B-491E-4C29-B16D-90EB8E93A0AF}"/>
    <hyperlink ref="B106" r:id="rId73" xr:uid="{6F4F2882-A73C-4435-958C-E4F314548C45}"/>
    <hyperlink ref="A106" r:id="rId74" xr:uid="{E3B858EE-ACC8-4733-80DD-11922D91B885}"/>
    <hyperlink ref="A107" r:id="rId75" xr:uid="{A0050FD5-B9DE-4121-B31B-55DFBF172AAA}"/>
    <hyperlink ref="B107" r:id="rId76" xr:uid="{04203AA7-8466-47E2-BF18-1E995709C9BC}"/>
    <hyperlink ref="B108" r:id="rId77" xr:uid="{3D4DECA6-DD52-4798-9D18-2D48FA457B51}"/>
    <hyperlink ref="A108" r:id="rId78" xr:uid="{B5C305ED-64FB-4C6D-9426-E6BDF59F476F}"/>
    <hyperlink ref="A109" r:id="rId79" xr:uid="{D2A57805-7EA8-4799-9C16-4F927304785F}"/>
    <hyperlink ref="B109" r:id="rId80" xr:uid="{A5507D7A-E2B3-4475-9735-D33615135A33}"/>
    <hyperlink ref="B110" r:id="rId81" xr:uid="{8A27C0FF-0797-4062-9A0C-BFE0264A0C32}"/>
    <hyperlink ref="A110" r:id="rId82" xr:uid="{27BB344B-03B0-4ABE-A66A-E2D664F96649}"/>
    <hyperlink ref="A111" r:id="rId83" xr:uid="{D4102958-0077-4734-B78E-22BD154EA9E7}"/>
    <hyperlink ref="B111" r:id="rId84" xr:uid="{FDEC1728-7CF0-4E46-A78D-19726B3D4A40}"/>
    <hyperlink ref="B112" r:id="rId85" xr:uid="{4324A492-CB94-43A8-9F95-5055188AD79B}"/>
    <hyperlink ref="A112" r:id="rId86" xr:uid="{B144A1C1-92AC-4ED7-A431-62BA2A32AAF1}"/>
    <hyperlink ref="A113" r:id="rId87" xr:uid="{F861EC92-A86E-4135-A628-38BE2E2262EA}"/>
    <hyperlink ref="B113" r:id="rId88" xr:uid="{34B9CD82-A36A-472A-8F75-B211D8E0293F}"/>
    <hyperlink ref="B114" r:id="rId89" xr:uid="{24E09F74-8F25-46AC-ABEE-2EBA8ACAECB5}"/>
    <hyperlink ref="A114" r:id="rId90" xr:uid="{E581D463-ED96-4962-835D-9F0D00880E46}"/>
    <hyperlink ref="A115" r:id="rId91" xr:uid="{C8E45E17-D789-4986-85EC-CC2209CA53D1}"/>
    <hyperlink ref="B115" r:id="rId92" xr:uid="{49D251DE-548C-4031-B40F-5A4060AB9F76}"/>
    <hyperlink ref="B116" r:id="rId93" xr:uid="{6EEB30FA-1C93-48D8-9532-FD07DF2CE199}"/>
    <hyperlink ref="A116" r:id="rId94" xr:uid="{E14321F7-96DF-4F39-AE24-EB70497EBF56}"/>
    <hyperlink ref="A117" r:id="rId95" xr:uid="{1474F4A1-D631-4219-93F8-9ED1ABF760BC}"/>
    <hyperlink ref="B117" r:id="rId96" xr:uid="{06AF2546-46BC-4304-BE71-218B9E9CE273}"/>
    <hyperlink ref="B118" r:id="rId97" xr:uid="{5DB6845F-E02A-4AD7-837E-40CCEB6941DF}"/>
    <hyperlink ref="A118" r:id="rId98" xr:uid="{759916DD-B76C-4AD5-AEFA-286029A447DC}"/>
    <hyperlink ref="A119" r:id="rId99" xr:uid="{1818AFF1-4C70-4E03-BB38-15A0AC57FE04}"/>
    <hyperlink ref="B119" r:id="rId100" xr:uid="{8B557D38-1362-4DC0-AC58-30776AB645DE}"/>
    <hyperlink ref="B120" r:id="rId101" xr:uid="{67ECF2E2-115B-4A8B-A9A1-076C846E9356}"/>
    <hyperlink ref="A120" r:id="rId102" xr:uid="{BB34EB9E-F930-4280-ADEE-9A02D0FBC9C2}"/>
    <hyperlink ref="A121" r:id="rId103" xr:uid="{F0CB4944-DBA1-4A09-A2C1-F07FD71F8B64}"/>
    <hyperlink ref="B121" r:id="rId104" xr:uid="{666FEE46-88F8-417C-A0B2-B6A0D8CCAEE7}"/>
    <hyperlink ref="B122" r:id="rId105" xr:uid="{213755C3-7DF1-4190-A881-509D516B43E2}"/>
    <hyperlink ref="A122" r:id="rId106" xr:uid="{713D8565-BF37-41C0-A86C-81F89CDA8264}"/>
    <hyperlink ref="A123" r:id="rId107" xr:uid="{2B171A71-955B-499A-8916-8DA3BEB20032}"/>
    <hyperlink ref="B123" r:id="rId108" xr:uid="{678C3128-EFBD-491A-966B-B20D560603E1}"/>
    <hyperlink ref="B124" r:id="rId109" xr:uid="{A3E3C98C-066A-4EF4-98F5-A643B4380490}"/>
    <hyperlink ref="A124" r:id="rId110" xr:uid="{207CAB83-EEFB-4BB6-BEE2-0690E62F185A}"/>
    <hyperlink ref="A125" r:id="rId111" xr:uid="{DCDC9977-63B7-4EF6-92F5-D269DD59D3A9}"/>
    <hyperlink ref="B125" r:id="rId112" xr:uid="{540C40FD-F5A0-44B1-83B5-E9EA3656837B}"/>
    <hyperlink ref="B126" r:id="rId113" xr:uid="{63655FFB-166A-435C-BE65-D4B41C99F04B}"/>
    <hyperlink ref="A126" r:id="rId114" xr:uid="{CE7A7A21-79A6-4703-BA31-4A80F1FBFFBB}"/>
    <hyperlink ref="A127" r:id="rId115" xr:uid="{8D7DAC87-619A-419E-87F4-E8D2268C3F6D}"/>
    <hyperlink ref="B127" r:id="rId116" xr:uid="{E77FB86E-AB6F-487D-9C4A-26D12207CFFB}"/>
    <hyperlink ref="B128" r:id="rId117" xr:uid="{AE6F18A4-FB5F-4C30-A50C-B7F7857A9BE2}"/>
    <hyperlink ref="A128" r:id="rId118" xr:uid="{D2AC5D17-BC76-47EB-A108-523226ADC518}"/>
    <hyperlink ref="A129" r:id="rId119" xr:uid="{E2225840-7F31-4AD3-B2D6-91BDE677952B}"/>
    <hyperlink ref="B129" r:id="rId120" xr:uid="{DC8F760A-6D19-4E2D-97E3-22C1D1F0D98D}"/>
    <hyperlink ref="A10" location="Argent!A1" display="Argent" xr:uid="{ACDA2E62-A2FA-4B72-A464-F8356FAE0FE9}"/>
    <hyperlink ref="A34" location="Hughes!A1" display="Hughes" xr:uid="{E667F3E4-036A-4C82-AFA6-61BF0A396710}"/>
    <hyperlink ref="A8" location="Alderman!A1" display="Alderman" xr:uid="{7F6F651A-28D9-4CFE-A4C7-7D8DF58310CB}"/>
    <hyperlink ref="A57" location="Singleton!A1" display="Singleton" xr:uid="{3B818180-0380-4633-B2C5-4B2A1372F509}"/>
    <hyperlink ref="A64" location="UnmatchedKingston!A1" display="UnmatchedKingston" xr:uid="{EFC3A06E-DDFD-41C5-977A-95DC230CD7B5}"/>
  </hyperlinks>
  <pageMargins left="0.7" right="0.7" top="0.75" bottom="0.75" header="0.3" footer="0.3"/>
  <pageSetup paperSize="9" orientation="portrait" horizontalDpi="0" verticalDpi="0" r:id="rId1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BE7A4-9399-4C54-818D-2749267317C7}">
  <sheetPr>
    <tabColor rgb="FFFF0000"/>
  </sheetPr>
  <dimension ref="A1:J12"/>
  <sheetViews>
    <sheetView workbookViewId="0"/>
  </sheetViews>
  <sheetFormatPr defaultRowHeight="14.5" x14ac:dyDescent="0.35"/>
  <cols>
    <col min="1" max="1" width="15.453125" customWidth="1"/>
    <col min="3" max="3" width="22.81640625" customWidth="1"/>
    <col min="4" max="4" width="20.36328125" customWidth="1"/>
    <col min="5" max="5" width="11.6328125" customWidth="1"/>
    <col min="6" max="6" width="23.1796875" customWidth="1"/>
    <col min="7" max="7" width="24.81640625" customWidth="1"/>
    <col min="8" max="8" width="22.36328125" customWidth="1"/>
    <col min="9" max="9" width="22.90625" customWidth="1"/>
    <col min="10" max="10" width="23.26953125" customWidth="1"/>
  </cols>
  <sheetData>
    <row r="1" spans="1:10" x14ac:dyDescent="0.35">
      <c r="A1" s="34" t="s">
        <v>3196</v>
      </c>
      <c r="B1" s="16">
        <f>COUNTIF(I2:I1072,C1)+COUNTIF(I2:I1072,D1)</f>
        <v>1</v>
      </c>
      <c r="C1" s="39" t="s">
        <v>18</v>
      </c>
      <c r="D1" s="40" t="s">
        <v>1249</v>
      </c>
      <c r="E1" s="8"/>
    </row>
    <row r="2" spans="1:10" s="107" customFormat="1" x14ac:dyDescent="0.35">
      <c r="A2" s="107" t="s">
        <v>0</v>
      </c>
      <c r="B2" s="107" t="s">
        <v>2</v>
      </c>
      <c r="C2" s="107" t="s">
        <v>4</v>
      </c>
      <c r="D2" s="107" t="s">
        <v>5</v>
      </c>
      <c r="E2" s="108" t="s">
        <v>7</v>
      </c>
      <c r="F2" s="107" t="s">
        <v>10</v>
      </c>
      <c r="G2" s="107" t="s">
        <v>11</v>
      </c>
      <c r="H2" s="107" t="s">
        <v>23</v>
      </c>
      <c r="I2" s="107" t="s">
        <v>15</v>
      </c>
      <c r="J2" s="107" t="s">
        <v>1654</v>
      </c>
    </row>
    <row r="3" spans="1:10" x14ac:dyDescent="0.35">
      <c r="A3" s="33" t="s">
        <v>3682</v>
      </c>
      <c r="B3" t="s">
        <v>3</v>
      </c>
      <c r="C3" t="s">
        <v>43</v>
      </c>
      <c r="D3" t="s">
        <v>3683</v>
      </c>
      <c r="E3" s="49" t="s">
        <v>201</v>
      </c>
      <c r="F3" s="33" t="s">
        <v>3684</v>
      </c>
      <c r="G3" s="33" t="s">
        <v>3685</v>
      </c>
      <c r="H3" t="s">
        <v>1716</v>
      </c>
      <c r="I3" s="1" t="s">
        <v>3686</v>
      </c>
      <c r="J3" s="3" t="s">
        <v>3684</v>
      </c>
    </row>
    <row r="4" spans="1:10" x14ac:dyDescent="0.35">
      <c r="E4" s="40" t="s">
        <v>161</v>
      </c>
      <c r="I4" t="s">
        <v>3687</v>
      </c>
      <c r="J4" t="s">
        <v>3684</v>
      </c>
    </row>
    <row r="5" spans="1:10" x14ac:dyDescent="0.35">
      <c r="I5" t="s">
        <v>1248</v>
      </c>
      <c r="J5" t="s">
        <v>3684</v>
      </c>
    </row>
    <row r="6" spans="1:10" x14ac:dyDescent="0.35">
      <c r="I6" t="s">
        <v>571</v>
      </c>
      <c r="J6" t="s">
        <v>3688</v>
      </c>
    </row>
    <row r="7" spans="1:10" x14ac:dyDescent="0.35">
      <c r="I7" t="s">
        <v>454</v>
      </c>
      <c r="J7" t="s">
        <v>3684</v>
      </c>
    </row>
    <row r="8" spans="1:10" x14ac:dyDescent="0.35">
      <c r="I8" t="s">
        <v>111</v>
      </c>
      <c r="J8" t="s">
        <v>3689</v>
      </c>
    </row>
    <row r="9" spans="1:10" x14ac:dyDescent="0.35">
      <c r="I9" t="s">
        <v>116</v>
      </c>
      <c r="J9" t="s">
        <v>3690</v>
      </c>
    </row>
    <row r="10" spans="1:10" x14ac:dyDescent="0.35">
      <c r="I10" t="s">
        <v>117</v>
      </c>
      <c r="J10" t="s">
        <v>3691</v>
      </c>
    </row>
    <row r="11" spans="1:10" x14ac:dyDescent="0.35">
      <c r="I11" t="s">
        <v>17</v>
      </c>
      <c r="J11" s="36" t="s">
        <v>3692</v>
      </c>
    </row>
    <row r="12" spans="1:10" x14ac:dyDescent="0.35">
      <c r="I12" s="38" t="s">
        <v>18</v>
      </c>
    </row>
  </sheetData>
  <hyperlinks>
    <hyperlink ref="A1" location="Summary!B2" tooltip="Return to Totals" display="Back to Totals" xr:uid="{822AEF1F-5311-4452-88CD-17AE5B96CD85}"/>
    <hyperlink ref="C1" r:id="rId1" xr:uid="{29360D1B-AED3-4348-85DE-CADCB381959C}"/>
    <hyperlink ref="D1" r:id="rId2" xr:uid="{922B3383-BA8B-4F11-9CFA-110A3971420D}"/>
    <hyperlink ref="A3" r:id="rId3" xr:uid="{5FB96DD2-4851-4D4B-95D3-E769FEE68E58}"/>
    <hyperlink ref="E3" r:id="rId4" xr:uid="{ED95C17E-C7AD-4E71-92B9-9A47B1391A85}"/>
    <hyperlink ref="F3" r:id="rId5" xr:uid="{8D6345E0-AD56-4AD5-82CF-490C14F47C14}"/>
    <hyperlink ref="G3" r:id="rId6" xr:uid="{054A0D25-3D71-4C6F-8D32-9E698E93F37E}"/>
    <hyperlink ref="J11" r:id="rId7" xr:uid="{66B89F44-8CBF-4C01-AF19-8D77F787BC5E}"/>
    <hyperlink ref="I12" r:id="rId8" xr:uid="{5A455D99-E659-49C6-83B5-CA089D8AC40C}"/>
    <hyperlink ref="E4" r:id="rId9" display="17cM" xr:uid="{EEB6E70B-D19D-4AE4-857D-D8593ECD7CD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FF00"/>
  </sheetPr>
  <dimension ref="A1:J27"/>
  <sheetViews>
    <sheetView workbookViewId="0"/>
  </sheetViews>
  <sheetFormatPr defaultRowHeight="14.5" x14ac:dyDescent="0.35"/>
  <cols>
    <col min="1" max="1" width="18.08984375" customWidth="1"/>
    <col min="2" max="2" width="11.453125" customWidth="1"/>
    <col min="3" max="3" width="22.7265625" customWidth="1"/>
    <col min="4" max="4" width="20.54296875" customWidth="1"/>
    <col min="5" max="5" width="11.54296875" style="8" customWidth="1"/>
    <col min="6" max="6" width="23" customWidth="1"/>
    <col min="7" max="7" width="24.7265625" customWidth="1"/>
    <col min="8" max="8" width="22.7265625" customWidth="1"/>
    <col min="9" max="9" width="23.36328125" customWidth="1"/>
    <col min="10" max="10" width="24.7265625" customWidth="1"/>
  </cols>
  <sheetData>
    <row r="1" spans="1:10" x14ac:dyDescent="0.35">
      <c r="A1" s="34" t="s">
        <v>3196</v>
      </c>
      <c r="B1" s="16">
        <f>COUNTIF(I2:I1080,C1)+COUNTIF(I2:I1080,D1)</f>
        <v>3</v>
      </c>
      <c r="C1" s="39" t="s">
        <v>18</v>
      </c>
      <c r="D1" s="40" t="s">
        <v>1249</v>
      </c>
    </row>
    <row r="2" spans="1:10" s="11" customFormat="1" x14ac:dyDescent="0.35">
      <c r="A2" s="11" t="s">
        <v>0</v>
      </c>
      <c r="B2" s="11" t="s">
        <v>2</v>
      </c>
      <c r="C2" s="11" t="s">
        <v>4</v>
      </c>
      <c r="D2" s="11" t="s">
        <v>5</v>
      </c>
      <c r="E2" s="52" t="s">
        <v>7</v>
      </c>
      <c r="F2" s="11" t="s">
        <v>10</v>
      </c>
      <c r="G2" s="11" t="s">
        <v>11</v>
      </c>
      <c r="H2" s="11" t="s">
        <v>23</v>
      </c>
      <c r="I2" s="11" t="s">
        <v>15</v>
      </c>
      <c r="J2" s="11" t="s">
        <v>1654</v>
      </c>
    </row>
    <row r="3" spans="1:10" x14ac:dyDescent="0.35">
      <c r="A3" s="33" t="s">
        <v>3913</v>
      </c>
      <c r="B3" t="s">
        <v>3</v>
      </c>
      <c r="C3" t="s">
        <v>43</v>
      </c>
      <c r="D3" t="s">
        <v>951</v>
      </c>
      <c r="E3" s="49" t="s">
        <v>216</v>
      </c>
      <c r="F3" s="33" t="s">
        <v>1728</v>
      </c>
      <c r="G3" s="33" t="s">
        <v>1729</v>
      </c>
      <c r="H3" t="s">
        <v>413</v>
      </c>
      <c r="I3" s="1" t="s">
        <v>1653</v>
      </c>
      <c r="J3" s="3" t="s">
        <v>1728</v>
      </c>
    </row>
    <row r="4" spans="1:10" x14ac:dyDescent="0.35">
      <c r="E4" s="20"/>
      <c r="I4" t="s">
        <v>1662</v>
      </c>
      <c r="J4" t="s">
        <v>1730</v>
      </c>
    </row>
    <row r="5" spans="1:10" x14ac:dyDescent="0.35">
      <c r="I5" t="s">
        <v>530</v>
      </c>
      <c r="J5" t="s">
        <v>1655</v>
      </c>
    </row>
    <row r="6" spans="1:10" x14ac:dyDescent="0.35">
      <c r="I6" t="s">
        <v>532</v>
      </c>
      <c r="J6" t="s">
        <v>1735</v>
      </c>
    </row>
    <row r="7" spans="1:10" x14ac:dyDescent="0.35">
      <c r="I7" t="s">
        <v>98</v>
      </c>
      <c r="J7" t="s">
        <v>1731</v>
      </c>
    </row>
    <row r="8" spans="1:10" x14ac:dyDescent="0.35">
      <c r="I8" t="s">
        <v>100</v>
      </c>
      <c r="J8" t="s">
        <v>1732</v>
      </c>
    </row>
    <row r="9" spans="1:10" x14ac:dyDescent="0.35">
      <c r="I9" t="s">
        <v>104</v>
      </c>
      <c r="J9" t="s">
        <v>1733</v>
      </c>
    </row>
    <row r="10" spans="1:10" x14ac:dyDescent="0.35">
      <c r="I10" s="38" t="s">
        <v>18</v>
      </c>
      <c r="J10" s="36" t="s">
        <v>3913</v>
      </c>
    </row>
    <row r="11" spans="1:10" x14ac:dyDescent="0.35">
      <c r="A11" s="33" t="s">
        <v>1727</v>
      </c>
      <c r="B11" t="s">
        <v>3</v>
      </c>
      <c r="C11" t="s">
        <v>43</v>
      </c>
      <c r="D11" t="s">
        <v>951</v>
      </c>
      <c r="E11" s="49" t="s">
        <v>216</v>
      </c>
      <c r="F11" s="33" t="s">
        <v>1728</v>
      </c>
      <c r="G11" s="33" t="s">
        <v>1729</v>
      </c>
      <c r="H11" t="s">
        <v>413</v>
      </c>
      <c r="I11" s="1" t="s">
        <v>1653</v>
      </c>
      <c r="J11" s="3" t="s">
        <v>1728</v>
      </c>
    </row>
    <row r="12" spans="1:10" x14ac:dyDescent="0.35">
      <c r="E12" s="20"/>
      <c r="I12" t="s">
        <v>1662</v>
      </c>
      <c r="J12" t="s">
        <v>1730</v>
      </c>
    </row>
    <row r="13" spans="1:10" x14ac:dyDescent="0.35">
      <c r="I13" t="s">
        <v>530</v>
      </c>
      <c r="J13" t="s">
        <v>1655</v>
      </c>
    </row>
    <row r="14" spans="1:10" x14ac:dyDescent="0.35">
      <c r="I14" t="s">
        <v>532</v>
      </c>
      <c r="J14" t="s">
        <v>1735</v>
      </c>
    </row>
    <row r="15" spans="1:10" x14ac:dyDescent="0.35">
      <c r="I15" t="s">
        <v>98</v>
      </c>
      <c r="J15" t="s">
        <v>1731</v>
      </c>
    </row>
    <row r="16" spans="1:10" x14ac:dyDescent="0.35">
      <c r="I16" t="s">
        <v>100</v>
      </c>
      <c r="J16" t="s">
        <v>1732</v>
      </c>
    </row>
    <row r="17" spans="1:10" x14ac:dyDescent="0.35">
      <c r="I17" t="s">
        <v>104</v>
      </c>
      <c r="J17" t="s">
        <v>1733</v>
      </c>
    </row>
    <row r="18" spans="1:10" x14ac:dyDescent="0.35">
      <c r="I18" s="38" t="s">
        <v>18</v>
      </c>
      <c r="J18" t="s">
        <v>3913</v>
      </c>
    </row>
    <row r="19" spans="1:10" x14ac:dyDescent="0.35">
      <c r="J19" s="36" t="s">
        <v>1734</v>
      </c>
    </row>
    <row r="20" spans="1:10" x14ac:dyDescent="0.35">
      <c r="A20" s="33" t="s">
        <v>2025</v>
      </c>
      <c r="B20" t="s">
        <v>3</v>
      </c>
      <c r="C20" t="s">
        <v>43</v>
      </c>
      <c r="D20" t="s">
        <v>429</v>
      </c>
      <c r="E20" s="49" t="s">
        <v>216</v>
      </c>
      <c r="F20" s="33" t="s">
        <v>1728</v>
      </c>
      <c r="G20" s="33" t="s">
        <v>1729</v>
      </c>
      <c r="H20" t="s">
        <v>413</v>
      </c>
      <c r="I20" s="1" t="s">
        <v>1653</v>
      </c>
      <c r="J20" s="3" t="s">
        <v>2026</v>
      </c>
    </row>
    <row r="21" spans="1:10" x14ac:dyDescent="0.35">
      <c r="E21" s="20"/>
      <c r="I21" t="s">
        <v>1662</v>
      </c>
      <c r="J21" t="s">
        <v>1653</v>
      </c>
    </row>
    <row r="22" spans="1:10" x14ac:dyDescent="0.35">
      <c r="I22" t="s">
        <v>530</v>
      </c>
      <c r="J22" t="s">
        <v>2027</v>
      </c>
    </row>
    <row r="23" spans="1:10" x14ac:dyDescent="0.35">
      <c r="I23" t="s">
        <v>532</v>
      </c>
      <c r="J23" t="s">
        <v>2028</v>
      </c>
    </row>
    <row r="24" spans="1:10" x14ac:dyDescent="0.35">
      <c r="I24" t="s">
        <v>98</v>
      </c>
      <c r="J24" t="s">
        <v>2029</v>
      </c>
    </row>
    <row r="25" spans="1:10" x14ac:dyDescent="0.35">
      <c r="I25" t="s">
        <v>100</v>
      </c>
      <c r="J25" t="s">
        <v>2030</v>
      </c>
    </row>
    <row r="26" spans="1:10" x14ac:dyDescent="0.35">
      <c r="I26" t="s">
        <v>104</v>
      </c>
      <c r="J26" s="36" t="s">
        <v>2025</v>
      </c>
    </row>
    <row r="27" spans="1:10" x14ac:dyDescent="0.35">
      <c r="I27" s="38" t="s">
        <v>18</v>
      </c>
    </row>
  </sheetData>
  <hyperlinks>
    <hyperlink ref="A1" location="Summary!B2" tooltip="Return to Totals" display="Back to Totals" xr:uid="{45B79F56-8B14-4677-8D2C-E84E58587A32}"/>
    <hyperlink ref="I18" r:id="rId1" xr:uid="{E44E1382-EB20-4642-B5B2-A26B4F133C7C}"/>
    <hyperlink ref="I27" r:id="rId2" xr:uid="{3B89C4D7-FF19-4E00-A485-C557FD6B6F54}"/>
    <hyperlink ref="C1" r:id="rId3" xr:uid="{148047BA-F10B-4A2C-A5F6-DDD4E78B8C0F}"/>
    <hyperlink ref="D1" r:id="rId4" xr:uid="{BC641744-C9D9-4071-A7D4-EDBB8D469A7C}"/>
    <hyperlink ref="F11" r:id="rId5" xr:uid="{158BEFC0-627E-485E-AC6B-2967C3F28DBC}"/>
    <hyperlink ref="F20" r:id="rId6" xr:uid="{88A6AD43-1F93-4D61-8C1A-8DF0D7A3DE65}"/>
    <hyperlink ref="G11" r:id="rId7" xr:uid="{4B239C03-3065-4BBB-A525-73E17526C282}"/>
    <hyperlink ref="G20" r:id="rId8" xr:uid="{D6E1ED64-B949-47E4-8EC0-3547F75D4534}"/>
    <hyperlink ref="A11" r:id="rId9" xr:uid="{E0C15126-68E9-4B3D-9303-59362B408BC0}"/>
    <hyperlink ref="J19" r:id="rId10" xr:uid="{B4C59219-28AA-4866-956D-3F1C51EC01D7}"/>
    <hyperlink ref="J26" r:id="rId11" xr:uid="{6099D2D2-9A30-4008-8506-98C0B6658E2E}"/>
    <hyperlink ref="A20" r:id="rId12" xr:uid="{D8752947-5F24-439C-BE3D-B6B7347F7652}"/>
    <hyperlink ref="E11" r:id="rId13" xr:uid="{9A8B2669-2BEE-4CEF-AC22-BC29B8C9AE94}"/>
    <hyperlink ref="E20" r:id="rId14" xr:uid="{66602A15-140F-438B-982D-CC9BD43AEBBF}"/>
    <hyperlink ref="I10" r:id="rId15" xr:uid="{A0EBCD7B-D23C-4185-BB16-C3838C26C81F}"/>
    <hyperlink ref="F3" r:id="rId16" xr:uid="{FB2A2B81-5974-4921-96EC-32E17927A8B3}"/>
    <hyperlink ref="G3" r:id="rId17" xr:uid="{00A56901-A107-4E6C-8653-347B1DA7D1DC}"/>
    <hyperlink ref="A3" r:id="rId18" xr:uid="{48E9A88B-F6C6-4B1F-9C15-4C3F234BD3D9}"/>
    <hyperlink ref="E3" r:id="rId19" xr:uid="{801D3172-89E8-4773-9062-D57C93CEC846}"/>
    <hyperlink ref="J10" r:id="rId20" xr:uid="{CD6AB030-B85A-47C3-A6B3-050C2BBFFA1D}"/>
  </hyperlinks>
  <pageMargins left="0.7" right="0.7" top="0.75" bottom="0.75" header="0.3" footer="0.3"/>
  <pageSetup paperSize="9" orientation="portrait" horizontalDpi="0" verticalDpi="0" r:id="rId2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5596F-6A06-4518-A924-98B378929387}">
  <sheetPr>
    <tabColor rgb="FF00B050"/>
  </sheetPr>
  <dimension ref="A1:J26"/>
  <sheetViews>
    <sheetView topLeftCell="D7" workbookViewId="0">
      <selection activeCell="A11" sqref="A11"/>
    </sheetView>
  </sheetViews>
  <sheetFormatPr defaultRowHeight="14.5" x14ac:dyDescent="0.35"/>
  <cols>
    <col min="1" max="1" width="23.81640625" customWidth="1"/>
    <col min="3" max="3" width="21.54296875" customWidth="1"/>
    <col min="4" max="4" width="20.1796875" customWidth="1"/>
    <col min="5" max="5" width="12.08984375" customWidth="1"/>
    <col min="6" max="6" width="22" customWidth="1"/>
    <col min="7" max="7" width="23" customWidth="1"/>
    <col min="8" max="8" width="22.6328125" customWidth="1"/>
    <col min="9" max="9" width="22.36328125" customWidth="1"/>
    <col min="10" max="10" width="17.90625" customWidth="1"/>
  </cols>
  <sheetData>
    <row r="1" spans="1:10" x14ac:dyDescent="0.35">
      <c r="A1" s="34" t="s">
        <v>3196</v>
      </c>
      <c r="B1" s="16">
        <f>COUNTIF(I2:I1079,C1)+COUNTIF(I2:I1079,D1)</f>
        <v>3</v>
      </c>
      <c r="C1" s="39" t="s">
        <v>18</v>
      </c>
      <c r="D1" s="40" t="s">
        <v>1249</v>
      </c>
      <c r="E1" s="8"/>
    </row>
    <row r="2" spans="1:10" s="11" customFormat="1" x14ac:dyDescent="0.35">
      <c r="A2" s="11" t="s">
        <v>0</v>
      </c>
      <c r="B2" s="11" t="s">
        <v>2</v>
      </c>
      <c r="C2" s="11" t="s">
        <v>4</v>
      </c>
      <c r="D2" s="11" t="s">
        <v>5</v>
      </c>
      <c r="E2" s="52" t="s">
        <v>7</v>
      </c>
      <c r="F2" s="11" t="s">
        <v>10</v>
      </c>
      <c r="G2" s="11" t="s">
        <v>11</v>
      </c>
      <c r="H2" s="11" t="s">
        <v>23</v>
      </c>
      <c r="I2" s="11" t="s">
        <v>15</v>
      </c>
      <c r="J2" s="11" t="s">
        <v>1654</v>
      </c>
    </row>
    <row r="3" spans="1:10" x14ac:dyDescent="0.35">
      <c r="A3" s="33" t="s">
        <v>3410</v>
      </c>
      <c r="B3" t="s">
        <v>3</v>
      </c>
      <c r="C3" t="s">
        <v>43</v>
      </c>
      <c r="D3" t="s">
        <v>951</v>
      </c>
      <c r="E3" s="34" t="s">
        <v>608</v>
      </c>
      <c r="F3" s="33" t="s">
        <v>3401</v>
      </c>
      <c r="G3" s="33" t="s">
        <v>3402</v>
      </c>
      <c r="H3" t="s">
        <v>54</v>
      </c>
      <c r="I3" s="1" t="s">
        <v>482</v>
      </c>
      <c r="J3" s="3" t="s">
        <v>3403</v>
      </c>
    </row>
    <row r="4" spans="1:10" x14ac:dyDescent="0.35">
      <c r="E4" s="20"/>
      <c r="I4" t="s">
        <v>612</v>
      </c>
      <c r="J4" t="s">
        <v>3404</v>
      </c>
    </row>
    <row r="5" spans="1:10" x14ac:dyDescent="0.35">
      <c r="E5" s="8"/>
      <c r="I5" t="s">
        <v>323</v>
      </c>
      <c r="J5" t="s">
        <v>3405</v>
      </c>
    </row>
    <row r="6" spans="1:10" x14ac:dyDescent="0.35">
      <c r="E6" s="8"/>
      <c r="I6" t="s">
        <v>323</v>
      </c>
      <c r="J6" t="s">
        <v>3406</v>
      </c>
    </row>
    <row r="7" spans="1:10" x14ac:dyDescent="0.35">
      <c r="E7" s="8"/>
      <c r="I7" t="s">
        <v>325</v>
      </c>
      <c r="J7" t="s">
        <v>3406</v>
      </c>
    </row>
    <row r="8" spans="1:10" x14ac:dyDescent="0.35">
      <c r="E8" s="8"/>
      <c r="I8" t="s">
        <v>16</v>
      </c>
      <c r="J8" t="s">
        <v>3407</v>
      </c>
    </row>
    <row r="9" spans="1:10" x14ac:dyDescent="0.35">
      <c r="E9" s="8"/>
      <c r="I9" t="s">
        <v>17</v>
      </c>
      <c r="J9" t="s">
        <v>3408</v>
      </c>
    </row>
    <row r="10" spans="1:10" x14ac:dyDescent="0.35">
      <c r="E10" s="8"/>
      <c r="I10" s="38" t="s">
        <v>18</v>
      </c>
      <c r="J10" s="36" t="s">
        <v>3409</v>
      </c>
    </row>
    <row r="11" spans="1:10" x14ac:dyDescent="0.35">
      <c r="A11" s="33" t="s">
        <v>4430</v>
      </c>
      <c r="B11" t="s">
        <v>3</v>
      </c>
      <c r="C11" t="s">
        <v>43</v>
      </c>
      <c r="D11" t="s">
        <v>429</v>
      </c>
      <c r="E11" s="34" t="s">
        <v>216</v>
      </c>
      <c r="F11" s="33" t="s">
        <v>3401</v>
      </c>
      <c r="G11" s="33" t="s">
        <v>3402</v>
      </c>
      <c r="H11" t="s">
        <v>54</v>
      </c>
      <c r="I11" s="1" t="s">
        <v>482</v>
      </c>
      <c r="J11" s="3" t="s">
        <v>4431</v>
      </c>
    </row>
    <row r="12" spans="1:10" x14ac:dyDescent="0.35">
      <c r="E12" s="20"/>
      <c r="I12" t="s">
        <v>612</v>
      </c>
      <c r="J12" t="s">
        <v>4432</v>
      </c>
    </row>
    <row r="13" spans="1:10" x14ac:dyDescent="0.35">
      <c r="E13" s="8"/>
      <c r="I13" t="s">
        <v>323</v>
      </c>
      <c r="J13" t="s">
        <v>4433</v>
      </c>
    </row>
    <row r="14" spans="1:10" x14ac:dyDescent="0.35">
      <c r="E14" s="8"/>
      <c r="I14" t="s">
        <v>323</v>
      </c>
      <c r="J14" t="s">
        <v>4434</v>
      </c>
    </row>
    <row r="15" spans="1:10" x14ac:dyDescent="0.35">
      <c r="E15" s="8"/>
      <c r="I15" t="s">
        <v>325</v>
      </c>
      <c r="J15" t="s">
        <v>4435</v>
      </c>
    </row>
    <row r="16" spans="1:10" x14ac:dyDescent="0.35">
      <c r="E16" s="8"/>
      <c r="I16" t="s">
        <v>16</v>
      </c>
      <c r="J16" t="s">
        <v>4436</v>
      </c>
    </row>
    <row r="17" spans="1:10" x14ac:dyDescent="0.35">
      <c r="E17" s="8"/>
      <c r="I17" t="s">
        <v>17</v>
      </c>
      <c r="J17" t="s">
        <v>4437</v>
      </c>
    </row>
    <row r="18" spans="1:10" x14ac:dyDescent="0.35">
      <c r="E18" s="8"/>
      <c r="I18" s="38" t="s">
        <v>18</v>
      </c>
      <c r="J18" s="36" t="s">
        <v>4438</v>
      </c>
    </row>
    <row r="19" spans="1:10" x14ac:dyDescent="0.35">
      <c r="A19" s="33" t="s">
        <v>3583</v>
      </c>
      <c r="B19" t="s">
        <v>3</v>
      </c>
      <c r="C19" t="s">
        <v>43</v>
      </c>
      <c r="D19" t="s">
        <v>55</v>
      </c>
      <c r="E19" s="15" t="s">
        <v>44</v>
      </c>
      <c r="F19" s="33" t="s">
        <v>3401</v>
      </c>
      <c r="G19" s="33" t="s">
        <v>4429</v>
      </c>
      <c r="H19" t="s">
        <v>54</v>
      </c>
      <c r="I19" s="1" t="s">
        <v>482</v>
      </c>
      <c r="J19" s="3" t="s">
        <v>3401</v>
      </c>
    </row>
    <row r="20" spans="1:10" x14ac:dyDescent="0.35">
      <c r="I20" t="s">
        <v>612</v>
      </c>
      <c r="J20" t="s">
        <v>3401</v>
      </c>
    </row>
    <row r="21" spans="1:10" x14ac:dyDescent="0.35">
      <c r="I21" t="s">
        <v>323</v>
      </c>
      <c r="J21" t="s">
        <v>3578</v>
      </c>
    </row>
    <row r="22" spans="1:10" x14ac:dyDescent="0.35">
      <c r="I22" t="s">
        <v>323</v>
      </c>
      <c r="J22" t="s">
        <v>3579</v>
      </c>
    </row>
    <row r="23" spans="1:10" x14ac:dyDescent="0.35">
      <c r="I23" t="s">
        <v>325</v>
      </c>
      <c r="J23" t="s">
        <v>3580</v>
      </c>
    </row>
    <row r="24" spans="1:10" x14ac:dyDescent="0.35">
      <c r="I24" t="s">
        <v>16</v>
      </c>
      <c r="J24" t="s">
        <v>3581</v>
      </c>
    </row>
    <row r="25" spans="1:10" x14ac:dyDescent="0.35">
      <c r="I25" t="s">
        <v>17</v>
      </c>
      <c r="J25" s="36" t="s">
        <v>3582</v>
      </c>
    </row>
    <row r="26" spans="1:10" x14ac:dyDescent="0.35">
      <c r="I26" s="38" t="s">
        <v>18</v>
      </c>
    </row>
  </sheetData>
  <hyperlinks>
    <hyperlink ref="A1" location="Summary!B2" tooltip="Return to Totals" display="Back to Totals" xr:uid="{DA9A5771-9961-4312-9B9F-DE7DEC6FA031}"/>
    <hyperlink ref="I10" r:id="rId1" xr:uid="{0D0E1CD2-2F7D-49E3-BA3E-11AC272D18A3}"/>
    <hyperlink ref="C1" r:id="rId2" xr:uid="{BF73C43A-AD84-41F0-B834-BE350B92B82D}"/>
    <hyperlink ref="D1" r:id="rId3" xr:uid="{653024EC-3245-4622-A61A-CB408161D158}"/>
    <hyperlink ref="F3" r:id="rId4" xr:uid="{CE24BBDA-1BC3-4C2C-B949-5BA01D893934}"/>
    <hyperlink ref="G3" r:id="rId5" xr:uid="{700268AC-A099-4CA9-98D5-4C793BE3FA3C}"/>
    <hyperlink ref="A3" r:id="rId6" xr:uid="{58593B7A-394A-4120-8E13-73A847154AF1}"/>
    <hyperlink ref="E3" r:id="rId7" xr:uid="{EE3DC70E-EC54-4DAD-AB53-A4D716FB294F}"/>
    <hyperlink ref="J10" r:id="rId8" xr:uid="{BF12131D-F9B2-4013-89FC-BF0F7D08F633}"/>
    <hyperlink ref="F19" r:id="rId9" xr:uid="{BD03C482-1836-43F2-9866-D95729012527}"/>
    <hyperlink ref="A19" r:id="rId10" xr:uid="{9567D617-9E49-45A5-B779-07A17AE2D098}"/>
    <hyperlink ref="J25" r:id="rId11" xr:uid="{FAA214B0-8C1B-42F8-A6BC-053F3E82EC9E}"/>
    <hyperlink ref="I26" r:id="rId12" xr:uid="{1440EE38-07A0-4B1B-B4E6-1A7FA987893D}"/>
    <hyperlink ref="G19" r:id="rId13" display="Elisabeth Goode" xr:uid="{A9725FA0-D2EF-4163-8782-7D5596A94628}"/>
    <hyperlink ref="I18" r:id="rId14" xr:uid="{4510987A-2F0E-4C2C-860E-6203681A5A0D}"/>
    <hyperlink ref="F11" r:id="rId15" xr:uid="{C5C3C23A-DD0E-4EB2-BB4A-452D9415DB1E}"/>
    <hyperlink ref="G11" r:id="rId16" xr:uid="{6FB67413-606E-4755-B203-D61D5C04A21E}"/>
    <hyperlink ref="A11" r:id="rId17" xr:uid="{C8B1E9BA-5710-4A2F-AF23-FA9EE2BC8CA2}"/>
    <hyperlink ref="E11" r:id="rId18" xr:uid="{898AABF8-34B8-4D3F-BEA4-7C473ADC3A38}"/>
    <hyperlink ref="J18" r:id="rId19" xr:uid="{EF02E829-5D53-4286-B93B-85A01861192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7030A0"/>
  </sheetPr>
  <dimension ref="A1:J243"/>
  <sheetViews>
    <sheetView topLeftCell="A208" workbookViewId="0">
      <selection activeCell="A215" sqref="A215"/>
    </sheetView>
  </sheetViews>
  <sheetFormatPr defaultRowHeight="14.5" x14ac:dyDescent="0.35"/>
  <cols>
    <col min="1" max="1" width="18.26953125" customWidth="1"/>
    <col min="2" max="2" width="18.54296875" customWidth="1"/>
    <col min="3" max="3" width="22.7265625" customWidth="1"/>
    <col min="4" max="4" width="19.26953125" customWidth="1"/>
    <col min="5" max="5" width="12.54296875" style="8" customWidth="1"/>
    <col min="6" max="6" width="16.81640625" customWidth="1"/>
    <col min="7" max="7" width="17.6328125" customWidth="1"/>
    <col min="8" max="8" width="17.36328125" customWidth="1"/>
    <col min="9" max="9" width="23.54296875" customWidth="1"/>
    <col min="10" max="10" width="22.6328125" customWidth="1"/>
  </cols>
  <sheetData>
    <row r="1" spans="1:10" x14ac:dyDescent="0.35">
      <c r="A1" s="34" t="s">
        <v>3196</v>
      </c>
      <c r="B1" s="16">
        <f>COUNTIF(I2:I1218,C1)+COUNTIF(I2:I1218,D1)</f>
        <v>33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48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1</v>
      </c>
      <c r="B3" t="s">
        <v>3</v>
      </c>
      <c r="C3" t="s">
        <v>6</v>
      </c>
      <c r="D3" t="s">
        <v>22</v>
      </c>
      <c r="E3" s="49" t="s">
        <v>8</v>
      </c>
      <c r="F3" s="33" t="s">
        <v>9</v>
      </c>
      <c r="G3" s="33" t="s">
        <v>1951</v>
      </c>
      <c r="H3" t="s">
        <v>74</v>
      </c>
      <c r="I3" s="1" t="s">
        <v>12</v>
      </c>
      <c r="J3" s="3" t="s">
        <v>13</v>
      </c>
    </row>
    <row r="4" spans="1:10" x14ac:dyDescent="0.35">
      <c r="E4" s="51" t="s">
        <v>1230</v>
      </c>
      <c r="I4" t="s">
        <v>16</v>
      </c>
      <c r="J4" t="s">
        <v>19</v>
      </c>
    </row>
    <row r="5" spans="1:10" x14ac:dyDescent="0.35">
      <c r="I5" t="s">
        <v>17</v>
      </c>
      <c r="J5" t="s">
        <v>20</v>
      </c>
    </row>
    <row r="6" spans="1:10" x14ac:dyDescent="0.35">
      <c r="I6" s="38" t="s">
        <v>18</v>
      </c>
      <c r="J6" s="36" t="s">
        <v>21</v>
      </c>
    </row>
    <row r="7" spans="1:10" x14ac:dyDescent="0.35">
      <c r="A7" s="33" t="s">
        <v>4405</v>
      </c>
      <c r="B7" t="s">
        <v>3</v>
      </c>
      <c r="C7" t="s">
        <v>6</v>
      </c>
      <c r="D7" t="s">
        <v>22</v>
      </c>
      <c r="E7" s="34" t="s">
        <v>4406</v>
      </c>
      <c r="F7" s="33" t="s">
        <v>9</v>
      </c>
      <c r="G7" s="33" t="s">
        <v>1951</v>
      </c>
      <c r="H7" t="s">
        <v>74</v>
      </c>
      <c r="I7" s="1" t="s">
        <v>12</v>
      </c>
      <c r="J7" s="3" t="s">
        <v>4407</v>
      </c>
    </row>
    <row r="8" spans="1:10" x14ac:dyDescent="0.35">
      <c r="E8" s="51"/>
      <c r="I8" t="s">
        <v>16</v>
      </c>
      <c r="J8" t="s">
        <v>330</v>
      </c>
    </row>
    <row r="9" spans="1:10" x14ac:dyDescent="0.35">
      <c r="I9" t="s">
        <v>17</v>
      </c>
      <c r="J9" t="s">
        <v>4408</v>
      </c>
    </row>
    <row r="10" spans="1:10" x14ac:dyDescent="0.35">
      <c r="I10" s="38" t="s">
        <v>18</v>
      </c>
      <c r="J10" s="36" t="s">
        <v>4405</v>
      </c>
    </row>
    <row r="11" spans="1:10" x14ac:dyDescent="0.35">
      <c r="A11" s="33" t="s">
        <v>314</v>
      </c>
      <c r="B11" s="1" t="s">
        <v>315</v>
      </c>
      <c r="C11" t="s">
        <v>316</v>
      </c>
      <c r="D11" t="s">
        <v>64</v>
      </c>
      <c r="E11" s="49" t="s">
        <v>313</v>
      </c>
      <c r="F11" s="33" t="s">
        <v>322</v>
      </c>
      <c r="G11" s="33" t="s">
        <v>482</v>
      </c>
      <c r="H11" t="s">
        <v>130</v>
      </c>
      <c r="I11" s="1" t="s">
        <v>324</v>
      </c>
      <c r="J11" s="3" t="s">
        <v>321</v>
      </c>
    </row>
    <row r="12" spans="1:10" x14ac:dyDescent="0.35">
      <c r="E12" s="51" t="s">
        <v>1371</v>
      </c>
      <c r="I12" t="s">
        <v>1951</v>
      </c>
      <c r="J12" t="s">
        <v>320</v>
      </c>
    </row>
    <row r="13" spans="1:10" x14ac:dyDescent="0.35">
      <c r="I13" t="s">
        <v>325</v>
      </c>
      <c r="J13" t="s">
        <v>319</v>
      </c>
    </row>
    <row r="14" spans="1:10" x14ac:dyDescent="0.35">
      <c r="I14" t="s">
        <v>16</v>
      </c>
      <c r="J14" t="s">
        <v>318</v>
      </c>
    </row>
    <row r="15" spans="1:10" x14ac:dyDescent="0.35">
      <c r="I15" t="s">
        <v>17</v>
      </c>
      <c r="J15" t="s">
        <v>317</v>
      </c>
    </row>
    <row r="16" spans="1:10" x14ac:dyDescent="0.35">
      <c r="I16" s="38" t="s">
        <v>18</v>
      </c>
      <c r="J16" s="36" t="s">
        <v>314</v>
      </c>
    </row>
    <row r="17" spans="1:10" x14ac:dyDescent="0.35">
      <c r="A17" s="33" t="s">
        <v>665</v>
      </c>
      <c r="B17" t="s">
        <v>3</v>
      </c>
      <c r="C17" t="s">
        <v>25</v>
      </c>
      <c r="D17" t="s">
        <v>30</v>
      </c>
      <c r="E17" s="51" t="s">
        <v>1231</v>
      </c>
      <c r="F17" s="33" t="s">
        <v>9</v>
      </c>
      <c r="G17" s="33" t="s">
        <v>328</v>
      </c>
      <c r="H17" t="s">
        <v>74</v>
      </c>
      <c r="I17" s="1" t="s">
        <v>12</v>
      </c>
      <c r="J17" s="3" t="s">
        <v>324</v>
      </c>
    </row>
    <row r="18" spans="1:10" x14ac:dyDescent="0.35">
      <c r="E18" s="49" t="s">
        <v>666</v>
      </c>
      <c r="I18" t="s">
        <v>16</v>
      </c>
      <c r="J18" t="s">
        <v>669</v>
      </c>
    </row>
    <row r="19" spans="1:10" x14ac:dyDescent="0.35">
      <c r="I19" t="s">
        <v>17</v>
      </c>
      <c r="J19" t="s">
        <v>668</v>
      </c>
    </row>
    <row r="20" spans="1:10" x14ac:dyDescent="0.35">
      <c r="I20" s="38" t="s">
        <v>18</v>
      </c>
      <c r="J20" t="s">
        <v>667</v>
      </c>
    </row>
    <row r="21" spans="1:10" x14ac:dyDescent="0.35">
      <c r="J21" s="36" t="s">
        <v>670</v>
      </c>
    </row>
    <row r="22" spans="1:10" x14ac:dyDescent="0.35">
      <c r="A22" s="33" t="s">
        <v>326</v>
      </c>
      <c r="B22" t="s">
        <v>3</v>
      </c>
      <c r="C22" t="s">
        <v>43</v>
      </c>
      <c r="D22" t="s">
        <v>22</v>
      </c>
      <c r="E22" s="51" t="s">
        <v>1229</v>
      </c>
      <c r="F22" s="33" t="s">
        <v>9</v>
      </c>
      <c r="G22" s="33" t="s">
        <v>328</v>
      </c>
      <c r="H22" t="s">
        <v>74</v>
      </c>
      <c r="I22" s="1" t="s">
        <v>12</v>
      </c>
      <c r="J22" s="3" t="s">
        <v>329</v>
      </c>
    </row>
    <row r="23" spans="1:10" x14ac:dyDescent="0.35">
      <c r="E23" s="49" t="s">
        <v>327</v>
      </c>
      <c r="I23" t="s">
        <v>16</v>
      </c>
      <c r="J23" t="s">
        <v>330</v>
      </c>
    </row>
    <row r="24" spans="1:10" x14ac:dyDescent="0.35">
      <c r="I24" t="s">
        <v>17</v>
      </c>
      <c r="J24" t="s">
        <v>331</v>
      </c>
    </row>
    <row r="25" spans="1:10" x14ac:dyDescent="0.35">
      <c r="I25" s="38" t="s">
        <v>18</v>
      </c>
      <c r="J25" s="36" t="s">
        <v>332</v>
      </c>
    </row>
    <row r="26" spans="1:10" x14ac:dyDescent="0.35">
      <c r="A26" s="33" t="s">
        <v>4403</v>
      </c>
      <c r="B26" s="1" t="s">
        <v>315</v>
      </c>
      <c r="C26" t="s">
        <v>43</v>
      </c>
      <c r="D26" t="s">
        <v>414</v>
      </c>
      <c r="E26" s="34" t="s">
        <v>3741</v>
      </c>
      <c r="F26" s="33" t="s">
        <v>322</v>
      </c>
      <c r="G26" s="33" t="s">
        <v>482</v>
      </c>
      <c r="H26" t="s">
        <v>130</v>
      </c>
      <c r="I26" s="1" t="s">
        <v>324</v>
      </c>
      <c r="J26" s="3" t="s">
        <v>321</v>
      </c>
    </row>
    <row r="27" spans="1:10" x14ac:dyDescent="0.35">
      <c r="E27" s="51"/>
      <c r="I27" t="s">
        <v>1951</v>
      </c>
      <c r="J27" t="s">
        <v>4209</v>
      </c>
    </row>
    <row r="28" spans="1:10" x14ac:dyDescent="0.35">
      <c r="I28" t="s">
        <v>325</v>
      </c>
      <c r="J28" t="s">
        <v>4210</v>
      </c>
    </row>
    <row r="29" spans="1:10" x14ac:dyDescent="0.35">
      <c r="I29" t="s">
        <v>16</v>
      </c>
      <c r="J29" t="s">
        <v>4400</v>
      </c>
    </row>
    <row r="30" spans="1:10" x14ac:dyDescent="0.35">
      <c r="I30" t="s">
        <v>17</v>
      </c>
      <c r="J30" t="s">
        <v>4212</v>
      </c>
    </row>
    <row r="31" spans="1:10" x14ac:dyDescent="0.35">
      <c r="I31" s="38" t="s">
        <v>18</v>
      </c>
      <c r="J31" t="s">
        <v>4401</v>
      </c>
    </row>
    <row r="32" spans="1:10" x14ac:dyDescent="0.35">
      <c r="I32" s="37"/>
      <c r="J32" s="36" t="s">
        <v>4404</v>
      </c>
    </row>
    <row r="33" spans="1:10" x14ac:dyDescent="0.35">
      <c r="A33" s="33" t="s">
        <v>3526</v>
      </c>
      <c r="B33" t="s">
        <v>3</v>
      </c>
      <c r="C33" t="s">
        <v>43</v>
      </c>
      <c r="D33" t="s">
        <v>184</v>
      </c>
      <c r="E33" s="34" t="s">
        <v>119</v>
      </c>
      <c r="F33" s="33" t="s">
        <v>322</v>
      </c>
      <c r="G33" s="33" t="s">
        <v>482</v>
      </c>
      <c r="H33" t="s">
        <v>130</v>
      </c>
      <c r="I33" s="1" t="s">
        <v>324</v>
      </c>
      <c r="J33" s="3" t="s">
        <v>321</v>
      </c>
    </row>
    <row r="34" spans="1:10" x14ac:dyDescent="0.35">
      <c r="E34" s="50" t="s">
        <v>327</v>
      </c>
      <c r="I34" t="s">
        <v>1951</v>
      </c>
      <c r="J34" t="s">
        <v>320</v>
      </c>
    </row>
    <row r="35" spans="1:10" x14ac:dyDescent="0.35">
      <c r="I35" t="s">
        <v>325</v>
      </c>
      <c r="J35" t="s">
        <v>3523</v>
      </c>
    </row>
    <row r="36" spans="1:10" x14ac:dyDescent="0.35">
      <c r="I36" t="s">
        <v>16</v>
      </c>
      <c r="J36" t="s">
        <v>3523</v>
      </c>
    </row>
    <row r="37" spans="1:10" x14ac:dyDescent="0.35">
      <c r="I37" t="s">
        <v>17</v>
      </c>
      <c r="J37" t="s">
        <v>3524</v>
      </c>
    </row>
    <row r="38" spans="1:10" x14ac:dyDescent="0.35">
      <c r="I38" s="38" t="s">
        <v>18</v>
      </c>
      <c r="J38" s="36" t="s">
        <v>3525</v>
      </c>
    </row>
    <row r="39" spans="1:10" x14ac:dyDescent="0.35">
      <c r="A39" s="33" t="s">
        <v>3822</v>
      </c>
      <c r="B39" t="s">
        <v>3</v>
      </c>
      <c r="C39" t="s">
        <v>43</v>
      </c>
      <c r="D39" t="s">
        <v>184</v>
      </c>
      <c r="E39" s="40" t="s">
        <v>119</v>
      </c>
      <c r="F39" s="33" t="s">
        <v>322</v>
      </c>
      <c r="G39" s="33" t="s">
        <v>482</v>
      </c>
      <c r="H39" t="s">
        <v>130</v>
      </c>
      <c r="I39" s="1" t="s">
        <v>324</v>
      </c>
      <c r="J39" s="3" t="s">
        <v>321</v>
      </c>
    </row>
    <row r="40" spans="1:10" x14ac:dyDescent="0.35">
      <c r="E40" s="49"/>
      <c r="I40" t="s">
        <v>1951</v>
      </c>
      <c r="J40" t="s">
        <v>3621</v>
      </c>
    </row>
    <row r="41" spans="1:10" x14ac:dyDescent="0.35">
      <c r="I41" t="s">
        <v>325</v>
      </c>
      <c r="J41" t="s">
        <v>3623</v>
      </c>
    </row>
    <row r="42" spans="1:10" x14ac:dyDescent="0.35">
      <c r="I42" t="s">
        <v>16</v>
      </c>
      <c r="J42" t="s">
        <v>3624</v>
      </c>
    </row>
    <row r="43" spans="1:10" x14ac:dyDescent="0.35">
      <c r="I43" t="s">
        <v>17</v>
      </c>
      <c r="J43" t="s">
        <v>3625</v>
      </c>
    </row>
    <row r="44" spans="1:10" x14ac:dyDescent="0.35">
      <c r="I44" s="38" t="s">
        <v>18</v>
      </c>
      <c r="J44" t="s">
        <v>3626</v>
      </c>
    </row>
    <row r="45" spans="1:10" x14ac:dyDescent="0.35">
      <c r="I45" s="37"/>
      <c r="J45" s="36" t="s">
        <v>3823</v>
      </c>
    </row>
    <row r="46" spans="1:10" x14ac:dyDescent="0.35">
      <c r="A46" s="33" t="s">
        <v>4402</v>
      </c>
      <c r="B46" s="1" t="s">
        <v>315</v>
      </c>
      <c r="C46" t="s">
        <v>43</v>
      </c>
      <c r="D46" t="s">
        <v>414</v>
      </c>
      <c r="E46" s="34" t="s">
        <v>1522</v>
      </c>
      <c r="F46" s="33" t="s">
        <v>322</v>
      </c>
      <c r="G46" s="33" t="s">
        <v>482</v>
      </c>
      <c r="H46" t="s">
        <v>130</v>
      </c>
      <c r="I46" s="1" t="s">
        <v>324</v>
      </c>
      <c r="J46" s="3" t="s">
        <v>321</v>
      </c>
    </row>
    <row r="47" spans="1:10" x14ac:dyDescent="0.35">
      <c r="E47" s="50"/>
      <c r="I47" t="s">
        <v>1951</v>
      </c>
      <c r="J47" t="s">
        <v>4209</v>
      </c>
    </row>
    <row r="48" spans="1:10" x14ac:dyDescent="0.35">
      <c r="I48" t="s">
        <v>325</v>
      </c>
      <c r="J48" t="s">
        <v>4210</v>
      </c>
    </row>
    <row r="49" spans="1:10" x14ac:dyDescent="0.35">
      <c r="I49" t="s">
        <v>16</v>
      </c>
      <c r="J49" t="s">
        <v>4400</v>
      </c>
    </row>
    <row r="50" spans="1:10" x14ac:dyDescent="0.35">
      <c r="I50" t="s">
        <v>17</v>
      </c>
      <c r="J50" t="s">
        <v>4212</v>
      </c>
    </row>
    <row r="51" spans="1:10" x14ac:dyDescent="0.35">
      <c r="I51" s="38" t="s">
        <v>18</v>
      </c>
      <c r="J51" t="s">
        <v>4401</v>
      </c>
    </row>
    <row r="52" spans="1:10" x14ac:dyDescent="0.35">
      <c r="I52" s="37"/>
      <c r="J52" t="s">
        <v>4214</v>
      </c>
    </row>
    <row r="53" spans="1:10" x14ac:dyDescent="0.35">
      <c r="I53" s="37"/>
      <c r="J53" s="36" t="s">
        <v>4402</v>
      </c>
    </row>
    <row r="54" spans="1:10" x14ac:dyDescent="0.35">
      <c r="A54" s="33" t="s">
        <v>2424</v>
      </c>
      <c r="B54" t="s">
        <v>3</v>
      </c>
      <c r="C54" t="s">
        <v>25</v>
      </c>
      <c r="D54" t="s">
        <v>597</v>
      </c>
      <c r="E54" s="51" t="s">
        <v>1234</v>
      </c>
      <c r="F54" s="33" t="s">
        <v>9</v>
      </c>
      <c r="G54" s="33" t="s">
        <v>328</v>
      </c>
      <c r="H54" t="s">
        <v>74</v>
      </c>
      <c r="I54" s="1" t="s">
        <v>12</v>
      </c>
      <c r="J54" s="3" t="s">
        <v>324</v>
      </c>
    </row>
    <row r="55" spans="1:10" x14ac:dyDescent="0.35">
      <c r="E55" s="49" t="s">
        <v>909</v>
      </c>
      <c r="I55" t="s">
        <v>16</v>
      </c>
      <c r="J55" t="s">
        <v>669</v>
      </c>
    </row>
    <row r="56" spans="1:10" x14ac:dyDescent="0.35">
      <c r="I56" t="s">
        <v>17</v>
      </c>
      <c r="J56" t="s">
        <v>668</v>
      </c>
    </row>
    <row r="57" spans="1:10" x14ac:dyDescent="0.35">
      <c r="I57" s="38" t="s">
        <v>18</v>
      </c>
      <c r="J57" t="s">
        <v>667</v>
      </c>
    </row>
    <row r="58" spans="1:10" x14ac:dyDescent="0.35">
      <c r="J58" s="8" t="s">
        <v>670</v>
      </c>
    </row>
    <row r="59" spans="1:10" x14ac:dyDescent="0.35">
      <c r="J59" s="36" t="s">
        <v>2424</v>
      </c>
    </row>
    <row r="60" spans="1:10" x14ac:dyDescent="0.35">
      <c r="A60" s="33" t="s">
        <v>2590</v>
      </c>
      <c r="B60" t="s">
        <v>3</v>
      </c>
      <c r="C60" t="s">
        <v>6</v>
      </c>
      <c r="D60" t="s">
        <v>30</v>
      </c>
      <c r="E60" s="49" t="s">
        <v>1240</v>
      </c>
      <c r="F60" s="33" t="s">
        <v>9</v>
      </c>
      <c r="G60" s="33" t="s">
        <v>1861</v>
      </c>
      <c r="H60" t="s">
        <v>74</v>
      </c>
      <c r="I60" s="1" t="s">
        <v>12</v>
      </c>
      <c r="J60" s="3" t="s">
        <v>13</v>
      </c>
    </row>
    <row r="61" spans="1:10" x14ac:dyDescent="0.35">
      <c r="E61" s="50" t="s">
        <v>585</v>
      </c>
      <c r="I61" t="s">
        <v>16</v>
      </c>
      <c r="J61" t="s">
        <v>19</v>
      </c>
    </row>
    <row r="62" spans="1:10" x14ac:dyDescent="0.35">
      <c r="I62" t="s">
        <v>17</v>
      </c>
      <c r="J62" t="s">
        <v>20</v>
      </c>
    </row>
    <row r="63" spans="1:10" x14ac:dyDescent="0.35">
      <c r="I63" s="38" t="s">
        <v>18</v>
      </c>
      <c r="J63" t="s">
        <v>21</v>
      </c>
    </row>
    <row r="64" spans="1:10" x14ac:dyDescent="0.35">
      <c r="J64" s="36" t="s">
        <v>2590</v>
      </c>
    </row>
    <row r="65" spans="1:10" x14ac:dyDescent="0.35">
      <c r="A65" s="33" t="s">
        <v>3620</v>
      </c>
      <c r="B65" t="s">
        <v>3</v>
      </c>
      <c r="C65" t="s">
        <v>43</v>
      </c>
      <c r="D65" t="s">
        <v>414</v>
      </c>
      <c r="E65" s="49" t="s">
        <v>1240</v>
      </c>
      <c r="F65" s="33" t="s">
        <v>322</v>
      </c>
      <c r="G65" s="33" t="s">
        <v>482</v>
      </c>
      <c r="H65" t="s">
        <v>130</v>
      </c>
      <c r="I65" s="1" t="s">
        <v>324</v>
      </c>
      <c r="J65" s="3" t="s">
        <v>3622</v>
      </c>
    </row>
    <row r="66" spans="1:10" x14ac:dyDescent="0.35">
      <c r="E66" s="20"/>
      <c r="I66" t="s">
        <v>1951</v>
      </c>
      <c r="J66" t="s">
        <v>3621</v>
      </c>
    </row>
    <row r="67" spans="1:10" x14ac:dyDescent="0.35">
      <c r="I67" t="s">
        <v>325</v>
      </c>
      <c r="J67" t="s">
        <v>3623</v>
      </c>
    </row>
    <row r="68" spans="1:10" x14ac:dyDescent="0.35">
      <c r="I68" t="s">
        <v>16</v>
      </c>
      <c r="J68" t="s">
        <v>3624</v>
      </c>
    </row>
    <row r="69" spans="1:10" x14ac:dyDescent="0.35">
      <c r="I69" t="s">
        <v>17</v>
      </c>
      <c r="J69" t="s">
        <v>3625</v>
      </c>
    </row>
    <row r="70" spans="1:10" x14ac:dyDescent="0.35">
      <c r="I70" s="38" t="s">
        <v>18</v>
      </c>
      <c r="J70" t="s">
        <v>3626</v>
      </c>
    </row>
    <row r="71" spans="1:10" x14ac:dyDescent="0.35">
      <c r="J71" t="s">
        <v>3627</v>
      </c>
    </row>
    <row r="72" spans="1:10" x14ac:dyDescent="0.35">
      <c r="J72" s="36" t="s">
        <v>3620</v>
      </c>
    </row>
    <row r="73" spans="1:10" x14ac:dyDescent="0.35">
      <c r="A73" s="33" t="s">
        <v>3737</v>
      </c>
      <c r="B73" t="s">
        <v>3</v>
      </c>
      <c r="C73" t="s">
        <v>6</v>
      </c>
      <c r="D73" t="s">
        <v>597</v>
      </c>
      <c r="E73" s="49" t="s">
        <v>1322</v>
      </c>
      <c r="F73" s="33" t="s">
        <v>9</v>
      </c>
      <c r="G73" s="33" t="s">
        <v>1861</v>
      </c>
      <c r="H73" t="s">
        <v>74</v>
      </c>
      <c r="I73" s="1" t="s">
        <v>12</v>
      </c>
      <c r="J73" s="3" t="s">
        <v>13</v>
      </c>
    </row>
    <row r="74" spans="1:10" x14ac:dyDescent="0.35">
      <c r="E74" s="40" t="s">
        <v>169</v>
      </c>
      <c r="I74" t="s">
        <v>16</v>
      </c>
      <c r="J74" t="s">
        <v>19</v>
      </c>
    </row>
    <row r="75" spans="1:10" x14ac:dyDescent="0.35">
      <c r="I75" t="s">
        <v>17</v>
      </c>
      <c r="J75" t="s">
        <v>20</v>
      </c>
    </row>
    <row r="76" spans="1:10" x14ac:dyDescent="0.35">
      <c r="I76" s="38" t="s">
        <v>18</v>
      </c>
      <c r="J76" t="s">
        <v>21</v>
      </c>
    </row>
    <row r="77" spans="1:10" x14ac:dyDescent="0.35">
      <c r="J77" t="s">
        <v>2590</v>
      </c>
    </row>
    <row r="78" spans="1:10" x14ac:dyDescent="0.35">
      <c r="J78" s="36" t="s">
        <v>3737</v>
      </c>
    </row>
    <row r="79" spans="1:10" x14ac:dyDescent="0.35">
      <c r="A79" s="33" t="s">
        <v>4161</v>
      </c>
      <c r="B79" t="s">
        <v>3</v>
      </c>
      <c r="C79" t="s">
        <v>6</v>
      </c>
      <c r="D79" t="s">
        <v>597</v>
      </c>
      <c r="E79" s="109" t="s">
        <v>1322</v>
      </c>
      <c r="F79" s="33" t="s">
        <v>9</v>
      </c>
      <c r="G79" s="33" t="s">
        <v>1861</v>
      </c>
      <c r="H79" t="s">
        <v>74</v>
      </c>
      <c r="I79" s="1" t="s">
        <v>12</v>
      </c>
      <c r="J79" s="3" t="s">
        <v>13</v>
      </c>
    </row>
    <row r="80" spans="1:10" x14ac:dyDescent="0.35">
      <c r="E80" s="34"/>
      <c r="I80" t="s">
        <v>16</v>
      </c>
      <c r="J80" t="s">
        <v>19</v>
      </c>
    </row>
    <row r="81" spans="1:10" x14ac:dyDescent="0.35">
      <c r="I81" t="s">
        <v>17</v>
      </c>
      <c r="J81" t="s">
        <v>20</v>
      </c>
    </row>
    <row r="82" spans="1:10" x14ac:dyDescent="0.35">
      <c r="I82" s="38" t="s">
        <v>18</v>
      </c>
      <c r="J82" t="s">
        <v>21</v>
      </c>
    </row>
    <row r="83" spans="1:10" x14ac:dyDescent="0.35">
      <c r="J83" t="s">
        <v>2590</v>
      </c>
    </row>
    <row r="84" spans="1:10" x14ac:dyDescent="0.35">
      <c r="J84" s="36" t="s">
        <v>4160</v>
      </c>
    </row>
    <row r="85" spans="1:10" x14ac:dyDescent="0.35">
      <c r="A85" s="33" t="s">
        <v>3495</v>
      </c>
      <c r="B85" t="s">
        <v>3</v>
      </c>
      <c r="C85" t="s">
        <v>6</v>
      </c>
      <c r="D85" t="s">
        <v>597</v>
      </c>
      <c r="E85" s="104" t="s">
        <v>1322</v>
      </c>
      <c r="F85" s="33" t="s">
        <v>9</v>
      </c>
      <c r="G85" s="33" t="s">
        <v>1861</v>
      </c>
      <c r="H85" t="s">
        <v>74</v>
      </c>
      <c r="I85" s="1" t="s">
        <v>12</v>
      </c>
      <c r="J85" s="3" t="s">
        <v>323</v>
      </c>
    </row>
    <row r="86" spans="1:10" x14ac:dyDescent="0.35">
      <c r="E86"/>
      <c r="I86" t="s">
        <v>16</v>
      </c>
      <c r="J86" t="s">
        <v>669</v>
      </c>
    </row>
    <row r="87" spans="1:10" x14ac:dyDescent="0.35">
      <c r="I87" t="s">
        <v>17</v>
      </c>
      <c r="J87" t="s">
        <v>668</v>
      </c>
    </row>
    <row r="88" spans="1:10" x14ac:dyDescent="0.35">
      <c r="I88" s="38" t="s">
        <v>3307</v>
      </c>
      <c r="J88" t="s">
        <v>667</v>
      </c>
    </row>
    <row r="89" spans="1:10" x14ac:dyDescent="0.35">
      <c r="J89" t="s">
        <v>670</v>
      </c>
    </row>
    <row r="90" spans="1:10" x14ac:dyDescent="0.35">
      <c r="J90" s="36" t="s">
        <v>3299</v>
      </c>
    </row>
    <row r="91" spans="1:10" x14ac:dyDescent="0.35">
      <c r="A91" s="33" t="s">
        <v>2829</v>
      </c>
      <c r="B91" t="s">
        <v>3</v>
      </c>
      <c r="C91" t="s">
        <v>25</v>
      </c>
      <c r="D91" t="s">
        <v>30</v>
      </c>
      <c r="E91" s="49" t="s">
        <v>26</v>
      </c>
      <c r="F91" s="33" t="s">
        <v>9</v>
      </c>
      <c r="G91" s="33" t="s">
        <v>1861</v>
      </c>
      <c r="H91" t="s">
        <v>74</v>
      </c>
      <c r="I91" s="1" t="s">
        <v>12</v>
      </c>
      <c r="J91" s="3" t="s">
        <v>13</v>
      </c>
    </row>
    <row r="92" spans="1:10" x14ac:dyDescent="0.35">
      <c r="E92" s="51" t="s">
        <v>201</v>
      </c>
      <c r="I92" t="s">
        <v>16</v>
      </c>
      <c r="J92" t="s">
        <v>27</v>
      </c>
    </row>
    <row r="93" spans="1:10" x14ac:dyDescent="0.35">
      <c r="I93" t="s">
        <v>17</v>
      </c>
      <c r="J93" t="s">
        <v>28</v>
      </c>
    </row>
    <row r="94" spans="1:10" x14ac:dyDescent="0.35">
      <c r="I94" s="38" t="s">
        <v>18</v>
      </c>
      <c r="J94" t="s">
        <v>29</v>
      </c>
    </row>
    <row r="95" spans="1:10" x14ac:dyDescent="0.35">
      <c r="J95" s="36" t="s">
        <v>24</v>
      </c>
    </row>
    <row r="96" spans="1:10" x14ac:dyDescent="0.35">
      <c r="A96" s="33" t="s">
        <v>1950</v>
      </c>
      <c r="B96" t="s">
        <v>3</v>
      </c>
      <c r="C96" t="s">
        <v>43</v>
      </c>
      <c r="D96" t="s">
        <v>414</v>
      </c>
      <c r="E96" s="50" t="s">
        <v>26</v>
      </c>
      <c r="F96" s="33" t="s">
        <v>322</v>
      </c>
      <c r="G96" s="33" t="s">
        <v>482</v>
      </c>
      <c r="H96" t="s">
        <v>130</v>
      </c>
      <c r="I96" s="1" t="s">
        <v>324</v>
      </c>
      <c r="J96" s="3" t="s">
        <v>323</v>
      </c>
    </row>
    <row r="97" spans="1:10" x14ac:dyDescent="0.35">
      <c r="E97" s="18"/>
      <c r="I97" t="s">
        <v>1951</v>
      </c>
      <c r="J97" t="s">
        <v>1951</v>
      </c>
    </row>
    <row r="98" spans="1:10" x14ac:dyDescent="0.35">
      <c r="I98" t="s">
        <v>325</v>
      </c>
      <c r="J98" t="s">
        <v>1952</v>
      </c>
    </row>
    <row r="99" spans="1:10" x14ac:dyDescent="0.35">
      <c r="I99" t="s">
        <v>16</v>
      </c>
      <c r="J99" t="s">
        <v>1953</v>
      </c>
    </row>
    <row r="100" spans="1:10" x14ac:dyDescent="0.35">
      <c r="I100" t="s">
        <v>17</v>
      </c>
      <c r="J100" t="s">
        <v>1954</v>
      </c>
    </row>
    <row r="101" spans="1:10" x14ac:dyDescent="0.35">
      <c r="I101" s="38" t="s">
        <v>1249</v>
      </c>
      <c r="J101" t="s">
        <v>1955</v>
      </c>
    </row>
    <row r="102" spans="1:10" x14ac:dyDescent="0.35">
      <c r="J102" t="s">
        <v>1956</v>
      </c>
    </row>
    <row r="103" spans="1:10" x14ac:dyDescent="0.35">
      <c r="J103" s="36" t="s">
        <v>1957</v>
      </c>
    </row>
    <row r="104" spans="1:10" x14ac:dyDescent="0.35">
      <c r="A104" s="33" t="s">
        <v>4409</v>
      </c>
      <c r="B104" t="s">
        <v>3</v>
      </c>
      <c r="C104" t="s">
        <v>43</v>
      </c>
      <c r="D104" t="s">
        <v>184</v>
      </c>
      <c r="E104" s="50" t="s">
        <v>26</v>
      </c>
      <c r="F104" s="33" t="s">
        <v>322</v>
      </c>
      <c r="G104" s="33" t="s">
        <v>482</v>
      </c>
      <c r="H104" t="s">
        <v>130</v>
      </c>
      <c r="I104" s="1" t="s">
        <v>324</v>
      </c>
      <c r="J104" s="3" t="s">
        <v>3622</v>
      </c>
    </row>
    <row r="105" spans="1:10" x14ac:dyDescent="0.35">
      <c r="E105" s="18"/>
      <c r="I105" t="s">
        <v>1951</v>
      </c>
      <c r="J105" t="s">
        <v>4209</v>
      </c>
    </row>
    <row r="106" spans="1:10" x14ac:dyDescent="0.35">
      <c r="I106" t="s">
        <v>325</v>
      </c>
      <c r="J106" t="s">
        <v>4210</v>
      </c>
    </row>
    <row r="107" spans="1:10" x14ac:dyDescent="0.35">
      <c r="I107" t="s">
        <v>16</v>
      </c>
      <c r="J107" t="s">
        <v>4410</v>
      </c>
    </row>
    <row r="108" spans="1:10" x14ac:dyDescent="0.35">
      <c r="I108" t="s">
        <v>17</v>
      </c>
      <c r="J108" t="s">
        <v>4411</v>
      </c>
    </row>
    <row r="109" spans="1:10" x14ac:dyDescent="0.35">
      <c r="I109" s="38" t="s">
        <v>1249</v>
      </c>
      <c r="J109" s="36" t="s">
        <v>4412</v>
      </c>
    </row>
    <row r="110" spans="1:10" x14ac:dyDescent="0.35">
      <c r="A110" s="33" t="s">
        <v>3390</v>
      </c>
      <c r="B110" t="s">
        <v>3</v>
      </c>
      <c r="C110" t="s">
        <v>43</v>
      </c>
      <c r="D110" t="s">
        <v>64</v>
      </c>
      <c r="E110" s="34" t="s">
        <v>749</v>
      </c>
      <c r="F110" s="33" t="s">
        <v>322</v>
      </c>
      <c r="G110" s="33" t="s">
        <v>482</v>
      </c>
      <c r="H110" t="s">
        <v>130</v>
      </c>
      <c r="I110" s="1" t="s">
        <v>324</v>
      </c>
      <c r="J110" s="3" t="s">
        <v>321</v>
      </c>
    </row>
    <row r="111" spans="1:10" x14ac:dyDescent="0.35">
      <c r="E111" s="20"/>
      <c r="I111" t="s">
        <v>1951</v>
      </c>
      <c r="J111" t="s">
        <v>1951</v>
      </c>
    </row>
    <row r="112" spans="1:10" x14ac:dyDescent="0.35">
      <c r="I112" t="s">
        <v>325</v>
      </c>
      <c r="J112" t="s">
        <v>1952</v>
      </c>
    </row>
    <row r="113" spans="1:10" x14ac:dyDescent="0.35">
      <c r="I113" t="s">
        <v>16</v>
      </c>
      <c r="J113" t="s">
        <v>3391</v>
      </c>
    </row>
    <row r="114" spans="1:10" x14ac:dyDescent="0.35">
      <c r="I114" t="s">
        <v>17</v>
      </c>
      <c r="J114" t="s">
        <v>3392</v>
      </c>
    </row>
    <row r="115" spans="1:10" x14ac:dyDescent="0.35">
      <c r="I115" s="38" t="s">
        <v>18</v>
      </c>
      <c r="J115" t="s">
        <v>3393</v>
      </c>
    </row>
    <row r="116" spans="1:10" x14ac:dyDescent="0.35">
      <c r="I116" s="37"/>
      <c r="J116" s="36" t="s">
        <v>3394</v>
      </c>
    </row>
    <row r="117" spans="1:10" x14ac:dyDescent="0.35">
      <c r="A117" s="33" t="s">
        <v>4215</v>
      </c>
      <c r="B117" t="s">
        <v>3</v>
      </c>
      <c r="C117" t="s">
        <v>43</v>
      </c>
      <c r="D117" t="s">
        <v>184</v>
      </c>
      <c r="E117" s="34" t="s">
        <v>89</v>
      </c>
      <c r="F117" s="33" t="s">
        <v>322</v>
      </c>
      <c r="G117" s="33" t="s">
        <v>482</v>
      </c>
      <c r="H117" t="s">
        <v>130</v>
      </c>
      <c r="I117" s="1" t="s">
        <v>324</v>
      </c>
      <c r="J117" s="3" t="s">
        <v>3622</v>
      </c>
    </row>
    <row r="118" spans="1:10" x14ac:dyDescent="0.35">
      <c r="E118" s="40" t="s">
        <v>156</v>
      </c>
      <c r="I118" t="s">
        <v>1951</v>
      </c>
      <c r="J118" t="s">
        <v>4209</v>
      </c>
    </row>
    <row r="119" spans="1:10" x14ac:dyDescent="0.35">
      <c r="I119" t="s">
        <v>325</v>
      </c>
      <c r="J119" t="s">
        <v>4210</v>
      </c>
    </row>
    <row r="120" spans="1:10" x14ac:dyDescent="0.35">
      <c r="I120" t="s">
        <v>16</v>
      </c>
      <c r="J120" t="s">
        <v>4216</v>
      </c>
    </row>
    <row r="121" spans="1:10" x14ac:dyDescent="0.35">
      <c r="I121" t="s">
        <v>17</v>
      </c>
      <c r="J121" t="s">
        <v>4216</v>
      </c>
    </row>
    <row r="122" spans="1:10" x14ac:dyDescent="0.35">
      <c r="I122" s="38" t="s">
        <v>18</v>
      </c>
      <c r="J122" s="36" t="s">
        <v>4217</v>
      </c>
    </row>
    <row r="123" spans="1:10" x14ac:dyDescent="0.35">
      <c r="A123" s="33" t="s">
        <v>4413</v>
      </c>
      <c r="B123" t="s">
        <v>3</v>
      </c>
      <c r="C123" t="s">
        <v>43</v>
      </c>
      <c r="D123" t="s">
        <v>414</v>
      </c>
      <c r="E123" s="40" t="s">
        <v>327</v>
      </c>
      <c r="F123" s="33" t="s">
        <v>322</v>
      </c>
      <c r="G123" s="33" t="s">
        <v>482</v>
      </c>
      <c r="H123" t="s">
        <v>130</v>
      </c>
      <c r="I123" s="1" t="s">
        <v>324</v>
      </c>
      <c r="J123" s="3" t="s">
        <v>3622</v>
      </c>
    </row>
    <row r="124" spans="1:10" x14ac:dyDescent="0.35">
      <c r="E124" s="18"/>
      <c r="I124" t="s">
        <v>1951</v>
      </c>
      <c r="J124" t="s">
        <v>4209</v>
      </c>
    </row>
    <row r="125" spans="1:10" x14ac:dyDescent="0.35">
      <c r="I125" t="s">
        <v>325</v>
      </c>
      <c r="J125" t="s">
        <v>4210</v>
      </c>
    </row>
    <row r="126" spans="1:10" x14ac:dyDescent="0.35">
      <c r="I126" t="s">
        <v>16</v>
      </c>
      <c r="J126" t="s">
        <v>4410</v>
      </c>
    </row>
    <row r="127" spans="1:10" x14ac:dyDescent="0.35">
      <c r="I127" t="s">
        <v>17</v>
      </c>
      <c r="J127" t="s">
        <v>4411</v>
      </c>
    </row>
    <row r="128" spans="1:10" x14ac:dyDescent="0.35">
      <c r="I128" s="38" t="s">
        <v>1249</v>
      </c>
      <c r="J128" t="s">
        <v>4412</v>
      </c>
    </row>
    <row r="129" spans="1:10" x14ac:dyDescent="0.35">
      <c r="I129" s="37"/>
      <c r="J129" t="s">
        <v>4414</v>
      </c>
    </row>
    <row r="130" spans="1:10" x14ac:dyDescent="0.35">
      <c r="I130" s="37"/>
      <c r="J130" s="36" t="s">
        <v>4413</v>
      </c>
    </row>
    <row r="131" spans="1:10" x14ac:dyDescent="0.35">
      <c r="A131" s="33" t="s">
        <v>4415</v>
      </c>
      <c r="B131" t="s">
        <v>3</v>
      </c>
      <c r="C131" t="s">
        <v>43</v>
      </c>
      <c r="D131" t="s">
        <v>414</v>
      </c>
      <c r="E131" s="40" t="s">
        <v>169</v>
      </c>
      <c r="F131" s="33" t="s">
        <v>322</v>
      </c>
      <c r="G131" s="33" t="s">
        <v>482</v>
      </c>
      <c r="H131" t="s">
        <v>130</v>
      </c>
      <c r="I131" s="1" t="s">
        <v>324</v>
      </c>
      <c r="J131" s="3" t="s">
        <v>3622</v>
      </c>
    </row>
    <row r="132" spans="1:10" x14ac:dyDescent="0.35">
      <c r="E132" s="18"/>
      <c r="I132" t="s">
        <v>1951</v>
      </c>
      <c r="J132" t="s">
        <v>4209</v>
      </c>
    </row>
    <row r="133" spans="1:10" x14ac:dyDescent="0.35">
      <c r="I133" t="s">
        <v>325</v>
      </c>
      <c r="J133" t="s">
        <v>4210</v>
      </c>
    </row>
    <row r="134" spans="1:10" x14ac:dyDescent="0.35">
      <c r="I134" t="s">
        <v>16</v>
      </c>
      <c r="J134" t="s">
        <v>4410</v>
      </c>
    </row>
    <row r="135" spans="1:10" x14ac:dyDescent="0.35">
      <c r="I135" t="s">
        <v>17</v>
      </c>
      <c r="J135" t="s">
        <v>4411</v>
      </c>
    </row>
    <row r="136" spans="1:10" x14ac:dyDescent="0.35">
      <c r="I136" s="38" t="s">
        <v>1249</v>
      </c>
      <c r="J136" t="s">
        <v>4412</v>
      </c>
    </row>
    <row r="137" spans="1:10" x14ac:dyDescent="0.35">
      <c r="I137" s="37"/>
      <c r="J137" t="s">
        <v>4414</v>
      </c>
    </row>
    <row r="138" spans="1:10" x14ac:dyDescent="0.35">
      <c r="I138" s="37"/>
      <c r="J138" s="36" t="s">
        <v>4415</v>
      </c>
    </row>
    <row r="139" spans="1:10" x14ac:dyDescent="0.35">
      <c r="A139" s="33" t="s">
        <v>2612</v>
      </c>
      <c r="B139" t="s">
        <v>3</v>
      </c>
      <c r="C139" t="s">
        <v>43</v>
      </c>
      <c r="D139" t="s">
        <v>64</v>
      </c>
      <c r="E139" s="34" t="s">
        <v>340</v>
      </c>
      <c r="F139" s="33" t="s">
        <v>322</v>
      </c>
      <c r="G139" s="33" t="s">
        <v>482</v>
      </c>
      <c r="H139" t="s">
        <v>130</v>
      </c>
      <c r="I139" s="1" t="s">
        <v>324</v>
      </c>
      <c r="J139" s="3" t="s">
        <v>321</v>
      </c>
    </row>
    <row r="140" spans="1:10" x14ac:dyDescent="0.35">
      <c r="E140" s="20"/>
      <c r="I140" t="s">
        <v>1951</v>
      </c>
      <c r="J140" t="s">
        <v>320</v>
      </c>
    </row>
    <row r="141" spans="1:10" x14ac:dyDescent="0.35">
      <c r="I141" t="s">
        <v>325</v>
      </c>
      <c r="J141" t="s">
        <v>319</v>
      </c>
    </row>
    <row r="142" spans="1:10" x14ac:dyDescent="0.35">
      <c r="I142" t="s">
        <v>16</v>
      </c>
      <c r="J142" t="s">
        <v>319</v>
      </c>
    </row>
    <row r="143" spans="1:10" x14ac:dyDescent="0.35">
      <c r="I143" t="s">
        <v>17</v>
      </c>
      <c r="J143" t="s">
        <v>341</v>
      </c>
    </row>
    <row r="144" spans="1:10" x14ac:dyDescent="0.35">
      <c r="I144" s="38" t="s">
        <v>18</v>
      </c>
      <c r="J144" s="36" t="s">
        <v>342</v>
      </c>
    </row>
    <row r="145" spans="1:10" x14ac:dyDescent="0.35">
      <c r="A145" s="33" t="s">
        <v>1860</v>
      </c>
      <c r="B145" t="s">
        <v>3</v>
      </c>
      <c r="C145" t="s">
        <v>43</v>
      </c>
      <c r="D145" t="s">
        <v>30</v>
      </c>
      <c r="E145" s="40" t="s">
        <v>909</v>
      </c>
      <c r="F145" s="33" t="s">
        <v>323</v>
      </c>
      <c r="G145" s="33" t="s">
        <v>1861</v>
      </c>
      <c r="H145" t="s">
        <v>73</v>
      </c>
      <c r="I145" s="7" t="s">
        <v>325</v>
      </c>
      <c r="J145" s="3" t="s">
        <v>13</v>
      </c>
    </row>
    <row r="146" spans="1:10" x14ac:dyDescent="0.35">
      <c r="E146" s="34" t="s">
        <v>216</v>
      </c>
      <c r="I146" t="s">
        <v>16</v>
      </c>
      <c r="J146" t="s">
        <v>1862</v>
      </c>
    </row>
    <row r="147" spans="1:10" x14ac:dyDescent="0.35">
      <c r="I147" t="s">
        <v>17</v>
      </c>
      <c r="J147" t="s">
        <v>1863</v>
      </c>
    </row>
    <row r="148" spans="1:10" x14ac:dyDescent="0.35">
      <c r="I148" s="38" t="s">
        <v>18</v>
      </c>
      <c r="J148" t="s">
        <v>1864</v>
      </c>
    </row>
    <row r="149" spans="1:10" x14ac:dyDescent="0.35">
      <c r="J149" s="36" t="s">
        <v>1860</v>
      </c>
    </row>
    <row r="150" spans="1:10" x14ac:dyDescent="0.35">
      <c r="A150" s="33" t="s">
        <v>4208</v>
      </c>
      <c r="B150" t="s">
        <v>3</v>
      </c>
      <c r="C150" t="s">
        <v>43</v>
      </c>
      <c r="D150" t="s">
        <v>64</v>
      </c>
      <c r="E150" s="34" t="s">
        <v>909</v>
      </c>
      <c r="F150" s="33" t="s">
        <v>322</v>
      </c>
      <c r="G150" s="33" t="s">
        <v>482</v>
      </c>
      <c r="H150" t="s">
        <v>130</v>
      </c>
      <c r="I150" s="1" t="s">
        <v>324</v>
      </c>
      <c r="J150" s="3" t="s">
        <v>3622</v>
      </c>
    </row>
    <row r="151" spans="1:10" x14ac:dyDescent="0.35">
      <c r="E151" s="40" t="s">
        <v>353</v>
      </c>
      <c r="I151" t="s">
        <v>1951</v>
      </c>
      <c r="J151" t="s">
        <v>4209</v>
      </c>
    </row>
    <row r="152" spans="1:10" x14ac:dyDescent="0.35">
      <c r="I152" t="s">
        <v>325</v>
      </c>
      <c r="J152" t="s">
        <v>4210</v>
      </c>
    </row>
    <row r="153" spans="1:10" x14ac:dyDescent="0.35">
      <c r="I153" t="s">
        <v>16</v>
      </c>
      <c r="J153" t="s">
        <v>4211</v>
      </c>
    </row>
    <row r="154" spans="1:10" x14ac:dyDescent="0.35">
      <c r="I154" t="s">
        <v>17</v>
      </c>
      <c r="J154" t="s">
        <v>4212</v>
      </c>
    </row>
    <row r="155" spans="1:10" x14ac:dyDescent="0.35">
      <c r="I155" s="38" t="s">
        <v>18</v>
      </c>
      <c r="J155" t="s">
        <v>4213</v>
      </c>
    </row>
    <row r="156" spans="1:10" x14ac:dyDescent="0.35">
      <c r="I156" s="37"/>
      <c r="J156" s="36" t="s">
        <v>4214</v>
      </c>
    </row>
    <row r="157" spans="1:10" x14ac:dyDescent="0.35">
      <c r="A157" s="33" t="s">
        <v>606</v>
      </c>
      <c r="B157" s="1" t="s">
        <v>315</v>
      </c>
      <c r="C157" t="s">
        <v>607</v>
      </c>
      <c r="D157" t="s">
        <v>41</v>
      </c>
      <c r="E157" s="34" t="s">
        <v>608</v>
      </c>
      <c r="F157" s="33" t="s">
        <v>323</v>
      </c>
      <c r="G157" s="33" t="s">
        <v>1861</v>
      </c>
      <c r="H157" t="s">
        <v>73</v>
      </c>
      <c r="I157" s="1" t="s">
        <v>323</v>
      </c>
      <c r="J157" s="3" t="s">
        <v>612</v>
      </c>
    </row>
    <row r="158" spans="1:10" x14ac:dyDescent="0.35">
      <c r="E158" s="20"/>
      <c r="I158" t="s">
        <v>325</v>
      </c>
      <c r="J158" t="s">
        <v>611</v>
      </c>
    </row>
    <row r="159" spans="1:10" x14ac:dyDescent="0.35">
      <c r="I159" t="s">
        <v>16</v>
      </c>
      <c r="J159" t="s">
        <v>610</v>
      </c>
    </row>
    <row r="160" spans="1:10" x14ac:dyDescent="0.35">
      <c r="I160" t="s">
        <v>17</v>
      </c>
      <c r="J160" t="s">
        <v>609</v>
      </c>
    </row>
    <row r="161" spans="1:10" x14ac:dyDescent="0.35">
      <c r="I161" s="38" t="s">
        <v>18</v>
      </c>
      <c r="J161" s="36" t="s">
        <v>606</v>
      </c>
    </row>
    <row r="162" spans="1:10" x14ac:dyDescent="0.35">
      <c r="A162" s="33" t="s">
        <v>4218</v>
      </c>
      <c r="B162" t="s">
        <v>3</v>
      </c>
      <c r="C162" t="s">
        <v>43</v>
      </c>
      <c r="D162" t="s">
        <v>184</v>
      </c>
      <c r="E162" s="40" t="s">
        <v>179</v>
      </c>
      <c r="F162" s="33" t="s">
        <v>322</v>
      </c>
      <c r="G162" s="33" t="s">
        <v>482</v>
      </c>
      <c r="H162" t="s">
        <v>130</v>
      </c>
      <c r="I162" s="1" t="s">
        <v>324</v>
      </c>
      <c r="J162" s="3" t="s">
        <v>3622</v>
      </c>
    </row>
    <row r="163" spans="1:10" x14ac:dyDescent="0.35">
      <c r="E163" s="18"/>
      <c r="I163" t="s">
        <v>1951</v>
      </c>
      <c r="J163" t="s">
        <v>4209</v>
      </c>
    </row>
    <row r="164" spans="1:10" x14ac:dyDescent="0.35">
      <c r="I164" t="s">
        <v>325</v>
      </c>
      <c r="J164" t="s">
        <v>4210</v>
      </c>
    </row>
    <row r="165" spans="1:10" x14ac:dyDescent="0.35">
      <c r="I165" t="s">
        <v>16</v>
      </c>
      <c r="J165" t="s">
        <v>4216</v>
      </c>
    </row>
    <row r="166" spans="1:10" x14ac:dyDescent="0.35">
      <c r="I166" t="s">
        <v>17</v>
      </c>
      <c r="J166" t="s">
        <v>4216</v>
      </c>
    </row>
    <row r="167" spans="1:10" x14ac:dyDescent="0.35">
      <c r="I167" s="38" t="s">
        <v>18</v>
      </c>
      <c r="J167" s="36" t="s">
        <v>4217</v>
      </c>
    </row>
    <row r="168" spans="1:10" x14ac:dyDescent="0.35">
      <c r="A168" s="33" t="s">
        <v>3628</v>
      </c>
      <c r="B168" t="s">
        <v>3</v>
      </c>
      <c r="C168" t="s">
        <v>43</v>
      </c>
      <c r="D168" t="s">
        <v>414</v>
      </c>
      <c r="E168" s="34" t="s">
        <v>189</v>
      </c>
      <c r="F168" s="33" t="s">
        <v>322</v>
      </c>
      <c r="G168" s="33" t="s">
        <v>482</v>
      </c>
      <c r="H168" t="s">
        <v>130</v>
      </c>
      <c r="I168" s="1" t="s">
        <v>324</v>
      </c>
      <c r="J168" s="3" t="s">
        <v>3622</v>
      </c>
    </row>
    <row r="169" spans="1:10" x14ac:dyDescent="0.35">
      <c r="E169" s="20"/>
      <c r="I169" t="s">
        <v>1951</v>
      </c>
      <c r="J169" t="s">
        <v>3621</v>
      </c>
    </row>
    <row r="170" spans="1:10" x14ac:dyDescent="0.35">
      <c r="I170" t="s">
        <v>325</v>
      </c>
      <c r="J170" t="s">
        <v>3623</v>
      </c>
    </row>
    <row r="171" spans="1:10" x14ac:dyDescent="0.35">
      <c r="I171" t="s">
        <v>16</v>
      </c>
      <c r="J171" t="s">
        <v>3624</v>
      </c>
    </row>
    <row r="172" spans="1:10" x14ac:dyDescent="0.35">
      <c r="I172" t="s">
        <v>17</v>
      </c>
      <c r="J172" t="s">
        <v>3625</v>
      </c>
    </row>
    <row r="173" spans="1:10" x14ac:dyDescent="0.35">
      <c r="I173" s="38" t="s">
        <v>18</v>
      </c>
      <c r="J173" t="s">
        <v>3629</v>
      </c>
    </row>
    <row r="174" spans="1:10" x14ac:dyDescent="0.35">
      <c r="J174" s="36" t="s">
        <v>3628</v>
      </c>
    </row>
    <row r="175" spans="1:10" x14ac:dyDescent="0.35">
      <c r="A175" s="33" t="s">
        <v>3700</v>
      </c>
      <c r="B175" t="s">
        <v>3</v>
      </c>
      <c r="C175" t="s">
        <v>43</v>
      </c>
      <c r="D175" t="s">
        <v>951</v>
      </c>
      <c r="E175" s="34" t="s">
        <v>201</v>
      </c>
      <c r="F175" s="33" t="s">
        <v>322</v>
      </c>
      <c r="G175" s="33" t="s">
        <v>3701</v>
      </c>
      <c r="H175" t="s">
        <v>413</v>
      </c>
      <c r="I175" s="1" t="s">
        <v>612</v>
      </c>
      <c r="J175" s="3" t="s">
        <v>3702</v>
      </c>
    </row>
    <row r="176" spans="1:10" x14ac:dyDescent="0.35">
      <c r="E176" s="20"/>
      <c r="I176" t="s">
        <v>612</v>
      </c>
      <c r="J176" t="s">
        <v>3703</v>
      </c>
    </row>
    <row r="177" spans="1:10" x14ac:dyDescent="0.35">
      <c r="I177" t="s">
        <v>323</v>
      </c>
      <c r="J177" t="s">
        <v>3702</v>
      </c>
    </row>
    <row r="178" spans="1:10" x14ac:dyDescent="0.35">
      <c r="I178" t="s">
        <v>1951</v>
      </c>
      <c r="J178" t="s">
        <v>3704</v>
      </c>
    </row>
    <row r="179" spans="1:10" x14ac:dyDescent="0.35">
      <c r="I179" t="s">
        <v>325</v>
      </c>
      <c r="J179" t="s">
        <v>612</v>
      </c>
    </row>
    <row r="180" spans="1:10" x14ac:dyDescent="0.35">
      <c r="I180" t="s">
        <v>16</v>
      </c>
      <c r="J180" t="s">
        <v>3705</v>
      </c>
    </row>
    <row r="181" spans="1:10" x14ac:dyDescent="0.35">
      <c r="I181" t="s">
        <v>17</v>
      </c>
      <c r="J181" t="s">
        <v>3706</v>
      </c>
    </row>
    <row r="182" spans="1:10" x14ac:dyDescent="0.35">
      <c r="I182" s="38" t="s">
        <v>18</v>
      </c>
      <c r="J182" t="s">
        <v>3707</v>
      </c>
    </row>
    <row r="183" spans="1:10" x14ac:dyDescent="0.35">
      <c r="J183" s="36" t="s">
        <v>3700</v>
      </c>
    </row>
    <row r="184" spans="1:10" x14ac:dyDescent="0.35">
      <c r="A184" t="s">
        <v>1419</v>
      </c>
      <c r="B184" t="s">
        <v>3</v>
      </c>
      <c r="C184" t="s">
        <v>43</v>
      </c>
      <c r="D184" t="s">
        <v>282</v>
      </c>
      <c r="E184" s="34" t="s">
        <v>216</v>
      </c>
      <c r="F184" s="33" t="s">
        <v>323</v>
      </c>
      <c r="G184" s="33" t="s">
        <v>1861</v>
      </c>
      <c r="H184" t="s">
        <v>73</v>
      </c>
      <c r="I184" s="1" t="s">
        <v>323</v>
      </c>
      <c r="J184" s="3" t="s">
        <v>1420</v>
      </c>
    </row>
    <row r="185" spans="1:10" x14ac:dyDescent="0.35">
      <c r="E185" s="20"/>
      <c r="I185" t="s">
        <v>325</v>
      </c>
      <c r="J185" t="s">
        <v>1421</v>
      </c>
    </row>
    <row r="186" spans="1:10" x14ac:dyDescent="0.35">
      <c r="I186" t="s">
        <v>16</v>
      </c>
      <c r="J186" t="s">
        <v>1422</v>
      </c>
    </row>
    <row r="187" spans="1:10" x14ac:dyDescent="0.35">
      <c r="I187" t="s">
        <v>17</v>
      </c>
      <c r="J187" t="s">
        <v>1423</v>
      </c>
    </row>
    <row r="188" spans="1:10" x14ac:dyDescent="0.35">
      <c r="I188" s="38" t="s">
        <v>18</v>
      </c>
      <c r="J188" t="s">
        <v>1424</v>
      </c>
    </row>
    <row r="189" spans="1:10" x14ac:dyDescent="0.35">
      <c r="J189" t="s">
        <v>1425</v>
      </c>
    </row>
    <row r="190" spans="1:10" x14ac:dyDescent="0.35">
      <c r="J190" s="36" t="s">
        <v>1426</v>
      </c>
    </row>
    <row r="191" spans="1:10" x14ac:dyDescent="0.35">
      <c r="A191" s="33" t="s">
        <v>3714</v>
      </c>
      <c r="B191" t="s">
        <v>3</v>
      </c>
      <c r="C191" t="s">
        <v>43</v>
      </c>
      <c r="D191" t="s">
        <v>3718</v>
      </c>
      <c r="E191" s="34" t="s">
        <v>216</v>
      </c>
      <c r="F191" s="33" t="s">
        <v>322</v>
      </c>
      <c r="G191" s="33" t="s">
        <v>3701</v>
      </c>
      <c r="H191" t="s">
        <v>413</v>
      </c>
      <c r="I191" s="1" t="s">
        <v>612</v>
      </c>
      <c r="J191" s="3" t="s">
        <v>3622</v>
      </c>
    </row>
    <row r="192" spans="1:10" x14ac:dyDescent="0.35">
      <c r="E192" s="40" t="s">
        <v>179</v>
      </c>
      <c r="I192" t="s">
        <v>612</v>
      </c>
      <c r="J192" t="s">
        <v>612</v>
      </c>
    </row>
    <row r="193" spans="1:10" x14ac:dyDescent="0.35">
      <c r="I193" t="s">
        <v>323</v>
      </c>
      <c r="J193" t="s">
        <v>3715</v>
      </c>
    </row>
    <row r="194" spans="1:10" x14ac:dyDescent="0.35">
      <c r="I194" t="s">
        <v>1951</v>
      </c>
      <c r="J194" t="s">
        <v>3622</v>
      </c>
    </row>
    <row r="195" spans="1:10" x14ac:dyDescent="0.35">
      <c r="I195" t="s">
        <v>325</v>
      </c>
      <c r="J195" t="s">
        <v>13</v>
      </c>
    </row>
    <row r="196" spans="1:10" x14ac:dyDescent="0.35">
      <c r="I196" t="s">
        <v>16</v>
      </c>
      <c r="J196" t="s">
        <v>3716</v>
      </c>
    </row>
    <row r="197" spans="1:10" x14ac:dyDescent="0.35">
      <c r="I197" t="s">
        <v>17</v>
      </c>
      <c r="J197" s="36" t="s">
        <v>3717</v>
      </c>
    </row>
    <row r="198" spans="1:10" x14ac:dyDescent="0.35">
      <c r="I198" s="38" t="s">
        <v>18</v>
      </c>
      <c r="J198" s="37"/>
    </row>
    <row r="199" spans="1:10" x14ac:dyDescent="0.35">
      <c r="A199" s="33" t="s">
        <v>3910</v>
      </c>
      <c r="B199" t="s">
        <v>3</v>
      </c>
      <c r="C199" t="s">
        <v>43</v>
      </c>
      <c r="D199" t="s">
        <v>710</v>
      </c>
      <c r="E199" s="34" t="s">
        <v>216</v>
      </c>
      <c r="F199" s="33" t="s">
        <v>322</v>
      </c>
      <c r="G199" s="33" t="s">
        <v>3701</v>
      </c>
      <c r="H199" t="s">
        <v>413</v>
      </c>
      <c r="I199" s="1" t="s">
        <v>612</v>
      </c>
      <c r="J199" s="3" t="s">
        <v>3622</v>
      </c>
    </row>
    <row r="200" spans="1:10" x14ac:dyDescent="0.35">
      <c r="E200" s="40"/>
      <c r="I200" t="s">
        <v>612</v>
      </c>
      <c r="J200" t="s">
        <v>612</v>
      </c>
    </row>
    <row r="201" spans="1:10" x14ac:dyDescent="0.35">
      <c r="I201" t="s">
        <v>323</v>
      </c>
      <c r="J201" t="s">
        <v>3715</v>
      </c>
    </row>
    <row r="202" spans="1:10" x14ac:dyDescent="0.35">
      <c r="I202" t="s">
        <v>1951</v>
      </c>
      <c r="J202" t="s">
        <v>3622</v>
      </c>
    </row>
    <row r="203" spans="1:10" x14ac:dyDescent="0.35">
      <c r="I203" t="s">
        <v>325</v>
      </c>
      <c r="J203" t="s">
        <v>13</v>
      </c>
    </row>
    <row r="204" spans="1:10" x14ac:dyDescent="0.35">
      <c r="I204" t="s">
        <v>16</v>
      </c>
      <c r="J204" t="s">
        <v>3716</v>
      </c>
    </row>
    <row r="205" spans="1:10" x14ac:dyDescent="0.35">
      <c r="I205" t="s">
        <v>17</v>
      </c>
      <c r="J205" t="s">
        <v>3911</v>
      </c>
    </row>
    <row r="206" spans="1:10" x14ac:dyDescent="0.35">
      <c r="I206" s="38" t="s">
        <v>18</v>
      </c>
      <c r="J206" s="36" t="s">
        <v>3912</v>
      </c>
    </row>
    <row r="207" spans="1:10" x14ac:dyDescent="0.35">
      <c r="A207" s="33" t="s">
        <v>3719</v>
      </c>
      <c r="B207" t="s">
        <v>3</v>
      </c>
      <c r="C207" t="s">
        <v>43</v>
      </c>
      <c r="D207" t="s">
        <v>710</v>
      </c>
      <c r="E207" s="34" t="s">
        <v>216</v>
      </c>
      <c r="F207" s="33" t="s">
        <v>322</v>
      </c>
      <c r="G207" s="33" t="s">
        <v>3701</v>
      </c>
      <c r="H207" t="s">
        <v>413</v>
      </c>
      <c r="I207" s="1" t="s">
        <v>612</v>
      </c>
      <c r="J207" s="3" t="s">
        <v>3622</v>
      </c>
    </row>
    <row r="208" spans="1:10" x14ac:dyDescent="0.35">
      <c r="E208" s="40" t="s">
        <v>179</v>
      </c>
      <c r="I208" t="s">
        <v>612</v>
      </c>
      <c r="J208" t="s">
        <v>612</v>
      </c>
    </row>
    <row r="209" spans="1:10" x14ac:dyDescent="0.35">
      <c r="I209" t="s">
        <v>323</v>
      </c>
      <c r="J209" t="s">
        <v>3715</v>
      </c>
    </row>
    <row r="210" spans="1:10" x14ac:dyDescent="0.35">
      <c r="I210" t="s">
        <v>1951</v>
      </c>
      <c r="J210" t="s">
        <v>3622</v>
      </c>
    </row>
    <row r="211" spans="1:10" x14ac:dyDescent="0.35">
      <c r="I211" t="s">
        <v>325</v>
      </c>
      <c r="J211" t="s">
        <v>13</v>
      </c>
    </row>
    <row r="212" spans="1:10" x14ac:dyDescent="0.35">
      <c r="I212" t="s">
        <v>16</v>
      </c>
      <c r="J212" t="s">
        <v>3716</v>
      </c>
    </row>
    <row r="213" spans="1:10" x14ac:dyDescent="0.35">
      <c r="I213" t="s">
        <v>17</v>
      </c>
      <c r="J213" t="s">
        <v>3717</v>
      </c>
    </row>
    <row r="214" spans="1:10" x14ac:dyDescent="0.35">
      <c r="I214" s="38" t="s">
        <v>18</v>
      </c>
      <c r="J214" s="36" t="s">
        <v>3719</v>
      </c>
    </row>
    <row r="215" spans="1:10" x14ac:dyDescent="0.35">
      <c r="A215" s="33" t="s">
        <v>4417</v>
      </c>
      <c r="B215" t="s">
        <v>3</v>
      </c>
      <c r="C215" t="s">
        <v>43</v>
      </c>
      <c r="D215" t="s">
        <v>64</v>
      </c>
      <c r="E215" s="40" t="s">
        <v>216</v>
      </c>
      <c r="F215" s="33" t="s">
        <v>322</v>
      </c>
      <c r="G215" s="33" t="s">
        <v>482</v>
      </c>
      <c r="H215" t="s">
        <v>130</v>
      </c>
      <c r="I215" s="1" t="s">
        <v>324</v>
      </c>
      <c r="J215" s="3" t="s">
        <v>3622</v>
      </c>
    </row>
    <row r="216" spans="1:10" x14ac:dyDescent="0.35">
      <c r="E216" s="18"/>
      <c r="I216" t="s">
        <v>1951</v>
      </c>
      <c r="J216" t="s">
        <v>4209</v>
      </c>
    </row>
    <row r="217" spans="1:10" x14ac:dyDescent="0.35">
      <c r="I217" t="s">
        <v>325</v>
      </c>
      <c r="J217" t="s">
        <v>4210</v>
      </c>
    </row>
    <row r="218" spans="1:10" x14ac:dyDescent="0.35">
      <c r="I218" t="s">
        <v>16</v>
      </c>
      <c r="J218" t="s">
        <v>4410</v>
      </c>
    </row>
    <row r="219" spans="1:10" x14ac:dyDescent="0.35">
      <c r="I219" t="s">
        <v>17</v>
      </c>
      <c r="J219" t="s">
        <v>4411</v>
      </c>
    </row>
    <row r="220" spans="1:10" x14ac:dyDescent="0.35">
      <c r="I220" s="38" t="s">
        <v>1249</v>
      </c>
      <c r="J220" t="s">
        <v>4412</v>
      </c>
    </row>
    <row r="221" spans="1:10" x14ac:dyDescent="0.35">
      <c r="I221" s="37"/>
      <c r="J221" s="36" t="s">
        <v>4416</v>
      </c>
    </row>
    <row r="222" spans="1:10" x14ac:dyDescent="0.35">
      <c r="A222" s="33" t="s">
        <v>3494</v>
      </c>
      <c r="B222" t="s">
        <v>3</v>
      </c>
      <c r="C222" t="s">
        <v>43</v>
      </c>
      <c r="D222" t="s">
        <v>64</v>
      </c>
      <c r="E222" s="104" t="s">
        <v>216</v>
      </c>
      <c r="F222" s="33" t="s">
        <v>322</v>
      </c>
      <c r="G222" s="33" t="s">
        <v>482</v>
      </c>
      <c r="H222" t="s">
        <v>130</v>
      </c>
      <c r="I222" s="1" t="s">
        <v>323</v>
      </c>
      <c r="J222" s="3" t="s">
        <v>321</v>
      </c>
    </row>
    <row r="223" spans="1:10" x14ac:dyDescent="0.35">
      <c r="E223" s="20"/>
      <c r="I223" t="s">
        <v>1951</v>
      </c>
      <c r="J223" t="s">
        <v>1951</v>
      </c>
    </row>
    <row r="224" spans="1:10" x14ac:dyDescent="0.35">
      <c r="I224" t="s">
        <v>325</v>
      </c>
      <c r="J224" t="s">
        <v>1952</v>
      </c>
    </row>
    <row r="225" spans="1:10" x14ac:dyDescent="0.35">
      <c r="I225" t="s">
        <v>16</v>
      </c>
      <c r="J225" t="s">
        <v>3391</v>
      </c>
    </row>
    <row r="226" spans="1:10" x14ac:dyDescent="0.35">
      <c r="I226" t="s">
        <v>17</v>
      </c>
      <c r="J226" t="s">
        <v>3392</v>
      </c>
    </row>
    <row r="227" spans="1:10" x14ac:dyDescent="0.35">
      <c r="I227" s="38" t="s">
        <v>306</v>
      </c>
      <c r="J227" t="s">
        <v>3393</v>
      </c>
    </row>
    <row r="228" spans="1:10" x14ac:dyDescent="0.35">
      <c r="J228" s="36" t="s">
        <v>3493</v>
      </c>
    </row>
    <row r="229" spans="1:10" x14ac:dyDescent="0.35">
      <c r="A229" s="33" t="s">
        <v>3750</v>
      </c>
      <c r="B229" t="s">
        <v>3</v>
      </c>
      <c r="C229" t="s">
        <v>43</v>
      </c>
      <c r="D229" t="s">
        <v>710</v>
      </c>
      <c r="E229" s="104" t="s">
        <v>65</v>
      </c>
      <c r="F229" s="33" t="s">
        <v>322</v>
      </c>
      <c r="G229" s="33" t="s">
        <v>3701</v>
      </c>
      <c r="H229" t="s">
        <v>413</v>
      </c>
      <c r="I229" s="1" t="s">
        <v>612</v>
      </c>
      <c r="J229" s="3" t="s">
        <v>3744</v>
      </c>
    </row>
    <row r="230" spans="1:10" x14ac:dyDescent="0.35">
      <c r="E230" s="40"/>
      <c r="I230" t="s">
        <v>612</v>
      </c>
      <c r="J230" t="s">
        <v>3745</v>
      </c>
    </row>
    <row r="231" spans="1:10" x14ac:dyDescent="0.35">
      <c r="I231" t="s">
        <v>323</v>
      </c>
      <c r="J231" t="s">
        <v>3753</v>
      </c>
    </row>
    <row r="232" spans="1:10" x14ac:dyDescent="0.35">
      <c r="I232" t="s">
        <v>1951</v>
      </c>
      <c r="J232" t="s">
        <v>3746</v>
      </c>
    </row>
    <row r="233" spans="1:10" x14ac:dyDescent="0.35">
      <c r="I233" t="s">
        <v>325</v>
      </c>
      <c r="J233" t="s">
        <v>3747</v>
      </c>
    </row>
    <row r="234" spans="1:10" x14ac:dyDescent="0.35">
      <c r="I234" t="s">
        <v>3752</v>
      </c>
      <c r="J234" t="s">
        <v>3748</v>
      </c>
    </row>
    <row r="235" spans="1:10" x14ac:dyDescent="0.35">
      <c r="I235" t="s">
        <v>3751</v>
      </c>
      <c r="J235" t="s">
        <v>3749</v>
      </c>
    </row>
    <row r="236" spans="1:10" x14ac:dyDescent="0.35">
      <c r="I236" s="38" t="s">
        <v>306</v>
      </c>
      <c r="J236" s="36" t="s">
        <v>3750</v>
      </c>
    </row>
    <row r="237" spans="1:10" x14ac:dyDescent="0.35">
      <c r="A237" s="33" t="s">
        <v>4259</v>
      </c>
      <c r="B237" t="s">
        <v>3</v>
      </c>
      <c r="C237" t="s">
        <v>43</v>
      </c>
      <c r="D237" t="s">
        <v>64</v>
      </c>
      <c r="E237" s="34" t="s">
        <v>65</v>
      </c>
      <c r="F237" s="33" t="s">
        <v>322</v>
      </c>
      <c r="G237" s="33" t="s">
        <v>482</v>
      </c>
      <c r="H237" t="s">
        <v>130</v>
      </c>
      <c r="I237" s="1" t="s">
        <v>323</v>
      </c>
      <c r="J237" s="3" t="s">
        <v>321</v>
      </c>
    </row>
    <row r="238" spans="1:10" x14ac:dyDescent="0.35">
      <c r="E238" s="20"/>
      <c r="I238" t="s">
        <v>1951</v>
      </c>
      <c r="J238" t="s">
        <v>3621</v>
      </c>
    </row>
    <row r="239" spans="1:10" x14ac:dyDescent="0.35">
      <c r="I239" t="s">
        <v>325</v>
      </c>
      <c r="J239" t="s">
        <v>3623</v>
      </c>
    </row>
    <row r="240" spans="1:10" x14ac:dyDescent="0.35">
      <c r="I240" t="s">
        <v>16</v>
      </c>
      <c r="J240" t="s">
        <v>4260</v>
      </c>
    </row>
    <row r="241" spans="9:10" x14ac:dyDescent="0.35">
      <c r="I241" t="s">
        <v>17</v>
      </c>
      <c r="J241" t="s">
        <v>4261</v>
      </c>
    </row>
    <row r="242" spans="9:10" x14ac:dyDescent="0.35">
      <c r="I242" s="38" t="s">
        <v>306</v>
      </c>
      <c r="J242" t="s">
        <v>4262</v>
      </c>
    </row>
    <row r="243" spans="9:10" x14ac:dyDescent="0.35">
      <c r="J243" s="36" t="s">
        <v>4259</v>
      </c>
    </row>
  </sheetData>
  <hyperlinks>
    <hyperlink ref="A3" r:id="rId1" xr:uid="{BE02FC7A-CB2A-4A54-A884-ACBA1674DEDB}"/>
    <hyperlink ref="A11" r:id="rId2" xr:uid="{5BFB233F-9495-4E6C-97E5-DE8224EA84AA}"/>
    <hyperlink ref="A1" location="Summary!B3" tooltip="Return to Totals" display="Back to Totals" xr:uid="{AABEE698-1090-400B-934F-55E26CEA150D}"/>
    <hyperlink ref="I6" r:id="rId3" xr:uid="{396DE4D6-F65B-4108-8D23-8C1C0ABA1E89}"/>
    <hyperlink ref="I16" r:id="rId4" xr:uid="{6DD1A885-0B03-48D4-A81E-99DDFFAAE865}"/>
    <hyperlink ref="I20" r:id="rId5" xr:uid="{F0BCCA06-8F87-4A0C-9C5B-F3DC9BA68F7C}"/>
    <hyperlink ref="I25" r:id="rId6" xr:uid="{CB128C6A-7A03-4729-A708-2EA5633CDDD5}"/>
    <hyperlink ref="I57" r:id="rId7" xr:uid="{0919E227-EF54-4801-8318-17FA4C0F39CC}"/>
    <hyperlink ref="I63" r:id="rId8" xr:uid="{39BBFFE6-F07F-4650-BFE7-A5844B942D78}"/>
    <hyperlink ref="I94" r:id="rId9" xr:uid="{C259753A-3E07-4855-8266-25FF09BB05D7}"/>
    <hyperlink ref="I144" r:id="rId10" xr:uid="{6822EEF1-FB80-400B-BCBD-63FB90AF0E75}"/>
    <hyperlink ref="I148" r:id="rId11" xr:uid="{F2899526-2753-4B9A-B408-2DB7945A3AAA}"/>
    <hyperlink ref="I161" r:id="rId12" xr:uid="{F8FBE0A4-A050-4BB5-AD87-1096EE29207B}"/>
    <hyperlink ref="I188" r:id="rId13" xr:uid="{5245EB17-80B0-4C79-B16B-478ACDEBF3EE}"/>
    <hyperlink ref="I101" r:id="rId14" xr:uid="{8D17CC0F-FDAC-4ACA-84CE-B874B633A1F7}"/>
    <hyperlink ref="J6" r:id="rId15" xr:uid="{5121C409-1571-4D17-8BD3-1524D8C1AAD1}"/>
    <hyperlink ref="F3" r:id="rId16" xr:uid="{BDC75BFC-C85B-4FC7-82FA-DCE66D1E5FA1}"/>
    <hyperlink ref="F17" r:id="rId17" xr:uid="{398695D5-F33C-40AA-882F-4B9D080441D5}"/>
    <hyperlink ref="F22" r:id="rId18" xr:uid="{43668C9D-D5AF-41F9-BCEB-B4222B51D0E1}"/>
    <hyperlink ref="F54" r:id="rId19" xr:uid="{0F976EB0-DDB5-4C71-9653-564E66C50F4A}"/>
    <hyperlink ref="F60" r:id="rId20" xr:uid="{277C992E-1541-434E-9BE3-0D83C60342B1}"/>
    <hyperlink ref="F91" r:id="rId21" xr:uid="{1EA2DECA-799F-4DE7-B895-4F259C4D4118}"/>
    <hyperlink ref="F145" r:id="rId22" xr:uid="{55A0B566-05DD-41C9-8F5E-F4C55F0645EF}"/>
    <hyperlink ref="F157" r:id="rId23" xr:uid="{E2A2DAA8-65E4-456F-9B63-0C89903E2D3C}"/>
    <hyperlink ref="F184" r:id="rId24" xr:uid="{CFE55569-1017-4C42-929B-9EA9FFA929BA}"/>
    <hyperlink ref="G3" r:id="rId25" xr:uid="{76AC653D-C2D2-45E4-96C5-474B49CD9E32}"/>
    <hyperlink ref="G17" r:id="rId26" xr:uid="{BBCD8926-A0D3-4A2A-B7C9-3DE939D88599}"/>
    <hyperlink ref="G22" r:id="rId27" xr:uid="{6F094F88-928A-4B8F-B5E5-B2154621138E}"/>
    <hyperlink ref="G54" r:id="rId28" xr:uid="{C1152363-FA09-481D-83B6-E55FAC2BD3E8}"/>
    <hyperlink ref="G60" r:id="rId29" xr:uid="{F09D0380-499F-45F6-91DC-A58D0ED4CA84}"/>
    <hyperlink ref="G145" r:id="rId30" xr:uid="{4F00ABA4-2EDD-4076-9D7F-2711D3A9F93D}"/>
    <hyperlink ref="G157" r:id="rId31" xr:uid="{4F6EF879-EA2F-4F2A-A1C2-EEAA817F78BA}"/>
    <hyperlink ref="G184" r:id="rId32" xr:uid="{E540554F-7FFC-4827-85E5-16C7D7F14302}"/>
    <hyperlink ref="G91" r:id="rId33" xr:uid="{5B031172-EB65-486D-851E-15AAA6536735}"/>
    <hyperlink ref="F11" r:id="rId34" xr:uid="{CCDC2E3D-969D-4E9D-8B49-7CA627B03FB8}"/>
    <hyperlink ref="F96" r:id="rId35" xr:uid="{296D46AB-F116-4620-9A18-ECA2B795D286}"/>
    <hyperlink ref="F139" r:id="rId36" xr:uid="{136E2FCD-DBC9-4E19-B7F5-3CFFF11AA36B}"/>
    <hyperlink ref="G11" r:id="rId37" xr:uid="{37DD148D-57EF-41E9-841D-066805F2CDE7}"/>
    <hyperlink ref="G96" r:id="rId38" xr:uid="{D996C225-A608-44BA-9651-5E9E3D33E473}"/>
    <hyperlink ref="G139" r:id="rId39" xr:uid="{853253F2-F7AF-423D-9294-13B63CE589A4}"/>
    <hyperlink ref="J16" r:id="rId40" xr:uid="{CC3FF801-4105-48A5-B655-17E566D899F1}"/>
    <hyperlink ref="J21" r:id="rId41" xr:uid="{8E382BD1-82FD-4D46-80EC-646125B3D701}"/>
    <hyperlink ref="J25" r:id="rId42" xr:uid="{EDC392C1-D10A-41C6-B4C5-C0B367C5610E}"/>
    <hyperlink ref="J64" r:id="rId43" xr:uid="{FA9DCE40-B23D-4D42-9BEA-E8574FC9B543}"/>
    <hyperlink ref="J95" r:id="rId44" xr:uid="{5B8C4D39-47C1-41DD-9AAE-7ABBCBF8A7E5}"/>
    <hyperlink ref="J103" r:id="rId45" xr:uid="{AA505C46-D691-4C67-8239-CA741BC3FACB}"/>
    <hyperlink ref="J144" r:id="rId46" xr:uid="{B8CFFBD5-01CF-492E-BB6F-1549D74697A2}"/>
    <hyperlink ref="J149" r:id="rId47" xr:uid="{BE086E3F-D5B7-4178-9711-F41C4F1BC042}"/>
    <hyperlink ref="J161" r:id="rId48" xr:uid="{53562A11-2D36-406C-BB8F-496C4CA66E28}"/>
    <hyperlink ref="J190" r:id="rId49" xr:uid="{17FF6E95-C67C-4E41-B66C-FD41404A6577}"/>
    <hyperlink ref="A17" r:id="rId50" xr:uid="{79F37631-7EF0-45E3-9E9F-90F85D55F6AE}"/>
    <hyperlink ref="A22" r:id="rId51" xr:uid="{9FCB6EBF-DE4B-4E14-8262-9244DC572602}"/>
    <hyperlink ref="A54" r:id="rId52" xr:uid="{064B64EB-9264-446D-ADFF-E0BB5B4B1324}"/>
    <hyperlink ref="A60" r:id="rId53" xr:uid="{4154F10B-8FAC-458E-8391-A09F83FA7F4B}"/>
    <hyperlink ref="A91" r:id="rId54" xr:uid="{4FE49443-68DE-4358-8924-4B63CDB4EA61}"/>
    <hyperlink ref="A145" r:id="rId55" xr:uid="{1A5C0027-3305-4DFF-952C-2E92F9D3A6EE}"/>
    <hyperlink ref="A139" r:id="rId56" xr:uid="{DA31731A-BF01-451F-961F-E00B22D0906D}"/>
    <hyperlink ref="A96" r:id="rId57" xr:uid="{33025EF8-55B2-4C2A-B5F0-D4A9F5C90469}"/>
    <hyperlink ref="A157" r:id="rId58" xr:uid="{B72D7B9A-93B0-4F6C-B769-AE4FA059F8B8}"/>
    <hyperlink ref="E3" r:id="rId59" xr:uid="{A67D835C-09A3-497F-8859-ACF36CF6808D}"/>
    <hyperlink ref="E4" r:id="rId60" xr:uid="{B571A5C2-A5C1-4050-A649-6AFD41C1F338}"/>
    <hyperlink ref="E11" r:id="rId61" xr:uid="{B996CCD6-37C2-4EF6-8291-F86BFEB6BD28}"/>
    <hyperlink ref="E12" r:id="rId62" xr:uid="{02EC8E62-D3C0-4E42-836F-3FB0E92F42F7}"/>
    <hyperlink ref="E17" r:id="rId63" xr:uid="{8682F404-DA3A-4F4A-87E8-44745D7A8737}"/>
    <hyperlink ref="E18" r:id="rId64" xr:uid="{8A723CA6-A8B3-456E-AC5C-073E8B0582DE}"/>
    <hyperlink ref="E22" r:id="rId65" xr:uid="{2D9E2F00-1692-425B-9AA4-13016B278189}"/>
    <hyperlink ref="E23" r:id="rId66" xr:uid="{1D02B704-4F39-4359-8998-F1BE5540726D}"/>
    <hyperlink ref="E54" r:id="rId67" xr:uid="{B1A92BD3-E8B2-4631-B57F-534C554E51DA}"/>
    <hyperlink ref="E55" r:id="rId68" xr:uid="{53F806BB-D4F4-4217-A3AD-3E1260E3BDFF}"/>
    <hyperlink ref="E60" r:id="rId69" xr:uid="{C1B536E7-130E-418A-8A8E-2ABA0BCD68D3}"/>
    <hyperlink ref="E61" r:id="rId70" xr:uid="{D8DBD785-D855-46E9-B3D3-610F85EE9A76}"/>
    <hyperlink ref="E91" r:id="rId71" xr:uid="{5203A18F-8EC4-4DD1-89DA-BDDC4EDFEC2C}"/>
    <hyperlink ref="E92" r:id="rId72" xr:uid="{D0BD691F-E1AB-4A19-AC2A-693937B24212}"/>
    <hyperlink ref="E96" r:id="rId73" xr:uid="{609B9C50-8E1D-494D-B5E0-579192CCEB59}"/>
    <hyperlink ref="I88" r:id="rId74" xr:uid="{870A64BA-C338-478B-88A8-70254A90C131}"/>
    <hyperlink ref="F85" r:id="rId75" xr:uid="{1DC31CBB-CFA5-4316-98D8-A7DBB03FF48C}"/>
    <hyperlink ref="G85" r:id="rId76" xr:uid="{0350AFED-8145-472F-86DA-B6EAFB6D1600}"/>
    <hyperlink ref="A85" r:id="rId77" xr:uid="{428F86C8-30A8-4001-A928-32DDB93FEF0B}"/>
    <hyperlink ref="E85" r:id="rId78" xr:uid="{92EF1E86-ED2B-48AE-809B-7803C64640A7}"/>
    <hyperlink ref="J90" r:id="rId79" xr:uid="{DB13292F-5A93-4DDC-9E9A-263A8ABDBF23}"/>
    <hyperlink ref="I115" r:id="rId80" xr:uid="{AF9F532B-F8F1-4D5C-BE0A-EBCABC5A5B06}"/>
    <hyperlink ref="F110" r:id="rId81" xr:uid="{E25CE93A-9D4D-417C-BA3D-A240EA8251BD}"/>
    <hyperlink ref="G110" r:id="rId82" xr:uid="{C6647321-7448-4395-B2D5-CE61C03573E9}"/>
    <hyperlink ref="A110" r:id="rId83" xr:uid="{9DBE3843-4B03-481A-AB77-5DAB5248F8E3}"/>
    <hyperlink ref="E110" r:id="rId84" xr:uid="{C752DCEE-2DDB-406B-8DE2-CC9D2B01BFA4}"/>
    <hyperlink ref="J116" r:id="rId85" xr:uid="{7C768D66-2EE3-48E7-956B-CE802699508D}"/>
    <hyperlink ref="I227" r:id="rId86" xr:uid="{388BC4AC-DDB4-4F19-842A-AF3677502DEB}"/>
    <hyperlink ref="F222" r:id="rId87" xr:uid="{B3D704D3-AF8B-4729-BA75-A5AE4CE950C5}"/>
    <hyperlink ref="G222" r:id="rId88" xr:uid="{BF59C5B1-87AC-4FA4-BD24-B0905D80B3CE}"/>
    <hyperlink ref="A222" r:id="rId89" xr:uid="{8BB4BBE0-67DF-49C5-AF58-AA70F0D3E25B}"/>
    <hyperlink ref="J228" r:id="rId90" xr:uid="{B6C18850-42C6-4799-88A0-D908136D405C}"/>
    <hyperlink ref="E139" r:id="rId91" xr:uid="{FB795752-AB1F-4E1C-A1BA-89227E340F19}"/>
    <hyperlink ref="E145" r:id="rId92" xr:uid="{EECF1CA5-24E4-433D-B47B-6454C90AAA7F}"/>
    <hyperlink ref="E157" r:id="rId93" xr:uid="{A29D90DA-F518-4BA8-B686-4E2832440746}"/>
    <hyperlink ref="E184" r:id="rId94" xr:uid="{3152AFC8-F207-43F5-8D7F-5D216B0EFC8D}"/>
    <hyperlink ref="E146" r:id="rId95" xr:uid="{2387659F-8E3D-425B-A1E4-4A34FEFFE444}"/>
    <hyperlink ref="E222" r:id="rId96" xr:uid="{22EB54D8-68F8-4BCE-8227-AF0644494278}"/>
    <hyperlink ref="I38" r:id="rId97" xr:uid="{D901B2B7-DC8D-46C9-A0ED-3DACD70DC538}"/>
    <hyperlink ref="F33" r:id="rId98" xr:uid="{79579CD1-AF0F-412A-B262-F3314FD78270}"/>
    <hyperlink ref="G33" r:id="rId99" xr:uid="{EC2B325F-2911-429A-BD0E-8DC1B5F8B6F4}"/>
    <hyperlink ref="A33" r:id="rId100" display="Anthony Hume" xr:uid="{31B9C460-5A59-4205-9324-BBE81053DD67}"/>
    <hyperlink ref="E33" r:id="rId101" xr:uid="{5E7A8F02-9503-440B-B604-3549540CDDBA}"/>
    <hyperlink ref="J59" r:id="rId102" xr:uid="{BAE9CD25-10FA-438B-9252-C57FA3DD93C0}"/>
    <hyperlink ref="J38" r:id="rId103" xr:uid="{4B92089B-1584-4B1A-A9A9-2854805A421A}"/>
    <hyperlink ref="E34" r:id="rId104" xr:uid="{B50AC476-1990-4D48-BDF1-C3722EF7E0E8}"/>
    <hyperlink ref="F65" r:id="rId105" xr:uid="{B62B4AC7-CEDF-4170-8C07-7A1CC1CD5304}"/>
    <hyperlink ref="G65" r:id="rId106" xr:uid="{84F96666-10F0-4D74-8DBB-23E2FAA29BD5}"/>
    <hyperlink ref="J72" r:id="rId107" xr:uid="{67F88B79-73C3-4DFA-A7AE-BBB488E8F074}"/>
    <hyperlink ref="A65" r:id="rId108" xr:uid="{C2F34E89-4BF4-49EB-94E6-E9A7DDCF9EA2}"/>
    <hyperlink ref="E65" r:id="rId109" xr:uid="{13A8E7AB-34FA-4821-BC66-877CB49AF0EC}"/>
    <hyperlink ref="I70" r:id="rId110" xr:uid="{B9B99EF7-7AED-456D-8661-B971DF2CAE94}"/>
    <hyperlink ref="F168" r:id="rId111" xr:uid="{B15D1966-F52E-42C2-B274-FDEB2ACA742C}"/>
    <hyperlink ref="G168" r:id="rId112" xr:uid="{AE306AC2-950D-4670-89F2-38041369AE5E}"/>
    <hyperlink ref="A168" r:id="rId113" xr:uid="{5E73871C-FC6B-4EA3-9AD8-2BC0D72E1014}"/>
    <hyperlink ref="E168" r:id="rId114" xr:uid="{6CA49E6B-83A3-4DC1-AFA6-15979D101424}"/>
    <hyperlink ref="I173" r:id="rId115" xr:uid="{66B9EB1C-A8D9-4558-8AFB-FED8EB6A5C76}"/>
    <hyperlink ref="J174" r:id="rId116" xr:uid="{43BC6A46-91D3-4EDF-B57A-E7D425A0DC8F}"/>
    <hyperlink ref="A175" r:id="rId117" xr:uid="{6530CB76-15F2-407B-B5FE-B21554D683BE}"/>
    <hyperlink ref="E175" r:id="rId118" xr:uid="{63AB7FEC-5B9A-474A-AAA0-B11B5D830356}"/>
    <hyperlink ref="G175" r:id="rId119" xr:uid="{F1D799F0-3286-4D1C-8F1E-70F9FC5FF50A}"/>
    <hyperlink ref="F175" r:id="rId120" xr:uid="{467C7381-4F25-430D-B122-F907FCD29A8A}"/>
    <hyperlink ref="I182" r:id="rId121" xr:uid="{AEAF9CBF-EA60-4983-9630-F61720D6CFF6}"/>
    <hyperlink ref="J183" r:id="rId122" xr:uid="{D2BFC1E2-5197-4BF7-8217-9F963E0F71AA}"/>
    <hyperlink ref="J197" r:id="rId123" xr:uid="{34ADA682-CFB4-4BFC-B011-6394D4CC594A}"/>
    <hyperlink ref="E191" r:id="rId124" xr:uid="{05ECD1C2-5F4F-4477-99FA-48F9B1B72A19}"/>
    <hyperlink ref="F191" r:id="rId125" xr:uid="{67A87E84-6573-485E-9BB6-4BC8FC6356A3}"/>
    <hyperlink ref="G191" r:id="rId126" xr:uid="{31884473-7A4E-412B-8C74-25940A384287}"/>
    <hyperlink ref="I198" r:id="rId127" xr:uid="{E16EE263-9A1C-4C31-8361-428EA10ED174}"/>
    <hyperlink ref="A191" r:id="rId128" xr:uid="{553685F9-A0F8-45F0-A967-01302977A4F6}"/>
    <hyperlink ref="E207" r:id="rId129" xr:uid="{BC29D1BA-9CDC-43A3-9975-64A36D98BEA4}"/>
    <hyperlink ref="F207" r:id="rId130" xr:uid="{CA21D31D-C5CC-4508-86BF-D0344DC3F65F}"/>
    <hyperlink ref="G207" r:id="rId131" xr:uid="{EC0EB794-11E7-4DF2-B1AE-0AC0B69D4BB8}"/>
    <hyperlink ref="I214" r:id="rId132" xr:uid="{198554EF-EF2D-4276-AD1D-C448F533165C}"/>
    <hyperlink ref="A207" r:id="rId133" xr:uid="{E2EB1969-5A5A-4D61-A159-5891E6092DFA}"/>
    <hyperlink ref="J214" r:id="rId134" xr:uid="{94F74F6A-6AB3-41DB-922E-A0153F5987C6}"/>
    <hyperlink ref="E192" r:id="rId135" xr:uid="{8430B9B0-643D-4E2D-99C8-6792A44E51B1}"/>
    <hyperlink ref="E208" r:id="rId136" xr:uid="{3BE64B20-D7D0-4843-8C01-84F7AE82D5AB}"/>
    <hyperlink ref="I76" r:id="rId137" xr:uid="{948BA2B3-88B4-4483-B35E-47394DD4437F}"/>
    <hyperlink ref="F73" r:id="rId138" xr:uid="{B4D4303F-AD05-4A05-B90D-8636B092E00E}"/>
    <hyperlink ref="G73" r:id="rId139" xr:uid="{F0DE3AE4-7B35-483D-8D33-B5258F082BD4}"/>
    <hyperlink ref="A73" r:id="rId140" xr:uid="{2207E6F6-01FF-4DF3-913E-2281723AABED}"/>
    <hyperlink ref="E73" r:id="rId141" display="32cM" xr:uid="{0B838A32-C0BB-4746-9FE1-00F82A5B28D0}"/>
    <hyperlink ref="J78" r:id="rId142" xr:uid="{37FD4A21-E60C-42FF-BF5C-C89912F65B6B}"/>
    <hyperlink ref="E74" r:id="rId143" xr:uid="{E7919B0B-C889-4BE5-B3D9-7DD7B83558E9}"/>
    <hyperlink ref="F229" r:id="rId144" xr:uid="{68610584-5B11-4EBD-AF08-41881698793C}"/>
    <hyperlink ref="G229" r:id="rId145" xr:uid="{DD2A504F-4F7B-4815-921D-BA256CDCA9A2}"/>
    <hyperlink ref="A229" r:id="rId146" xr:uid="{9312CA13-DF2F-42D4-B97F-06A9C38E9796}"/>
    <hyperlink ref="E229" r:id="rId147" xr:uid="{F1B76756-8D55-4F2C-9664-E0BBCE5BA485}"/>
    <hyperlink ref="I236" r:id="rId148" xr:uid="{17189C53-889F-4684-9834-D65BDC0BC845}"/>
    <hyperlink ref="J236" r:id="rId149" xr:uid="{E0F8D7DA-43E8-4DCD-B41A-EB176724FECE}"/>
    <hyperlink ref="I44" r:id="rId150" xr:uid="{B29145F1-0EF6-4290-9BCE-8188C8E910DF}"/>
    <hyperlink ref="F39" r:id="rId151" xr:uid="{CD2BE88E-90F2-4CB4-81AF-47EC25ACDED7}"/>
    <hyperlink ref="G39" r:id="rId152" xr:uid="{EA614B37-2621-4CA1-B0D3-E2B48AFD8505}"/>
    <hyperlink ref="A39" r:id="rId153" xr:uid="{752E5F10-7125-45C4-8E84-5ED166D62511}"/>
    <hyperlink ref="E39" r:id="rId154" xr:uid="{B0C5C923-465F-4F9E-A8FA-E561E328DEDE}"/>
    <hyperlink ref="J45" r:id="rId155" xr:uid="{8DA694A5-0182-44D6-8FB0-8B5E0B38F58B}"/>
    <hyperlink ref="E199" r:id="rId156" xr:uid="{F4C625AC-CD16-4004-81C7-59A6F1977583}"/>
    <hyperlink ref="F199" r:id="rId157" xr:uid="{2EBC7770-2221-40BF-9B8E-B5C3E3C81F12}"/>
    <hyperlink ref="G199" r:id="rId158" xr:uid="{D5A41CB4-C698-4D5B-BC87-58C6B073DE2B}"/>
    <hyperlink ref="I206" r:id="rId159" xr:uid="{DF47FB7D-E1DC-4690-ACB5-8AFF38600770}"/>
    <hyperlink ref="A199" r:id="rId160" xr:uid="{1E638E4D-317F-43D5-935F-71DA251FC4C0}"/>
    <hyperlink ref="J206" r:id="rId161" xr:uid="{8B0CC68D-9315-461C-823A-514169BF803C}"/>
    <hyperlink ref="I82" r:id="rId162" xr:uid="{CA44FABB-47C9-497F-9C2D-8B0552F4CC0F}"/>
    <hyperlink ref="F79" r:id="rId163" xr:uid="{A36E26E5-8AAC-49E3-96CD-8F42178D0CAE}"/>
    <hyperlink ref="G79" r:id="rId164" xr:uid="{A82FE895-CA0E-46C3-9655-3E730F0CB7EE}"/>
    <hyperlink ref="A79" r:id="rId165" display="Finn Monteith" xr:uid="{9EB25B5B-E5EC-4C29-94B7-540FB127E722}"/>
    <hyperlink ref="E79" r:id="rId166" display="32cM" xr:uid="{82255795-1244-4B87-BF25-171843110ED5}"/>
    <hyperlink ref="J84" r:id="rId167" xr:uid="{17E59E74-C03E-4727-AE73-37F91F5B0921}"/>
    <hyperlink ref="I155" r:id="rId168" xr:uid="{DE42FFC6-996C-4553-9521-77BBC5301C91}"/>
    <hyperlink ref="F150" r:id="rId169" xr:uid="{4DFD3CA5-8B24-4EA7-A457-B41D1200AE38}"/>
    <hyperlink ref="G150" r:id="rId170" xr:uid="{B882267A-C3FD-4BB2-A1C1-F53A0A567A67}"/>
    <hyperlink ref="A150" r:id="rId171" xr:uid="{4D114884-7D29-42D1-B4E0-F9E382CE91E1}"/>
    <hyperlink ref="E150" r:id="rId172" xr:uid="{B5776CD1-B37F-4DCE-A74D-D004D1361B11}"/>
    <hyperlink ref="J156" r:id="rId173" xr:uid="{412F188C-2CE7-4052-B485-D05D7C839425}"/>
    <hyperlink ref="I122" r:id="rId174" xr:uid="{21453886-9BA5-4E73-8490-50109527FEB5}"/>
    <hyperlink ref="F117" r:id="rId175" xr:uid="{BE8C80E9-A69A-4138-B6AD-BE54F1AD9E3E}"/>
    <hyperlink ref="G117" r:id="rId176" xr:uid="{58AAAA25-4586-4505-9449-F2A18F64C4B4}"/>
    <hyperlink ref="A117" r:id="rId177" xr:uid="{31065AAA-AB8B-45BF-9268-21B6BD19F508}"/>
    <hyperlink ref="J122" r:id="rId178" xr:uid="{6E1AB741-02B1-42E5-BF23-A8AE729E3097}"/>
    <hyperlink ref="E118" r:id="rId179" xr:uid="{86B40069-C90B-46AA-B73F-7232D7D5961E}"/>
    <hyperlink ref="E117" r:id="rId180" xr:uid="{08C37435-ACD6-4D02-A72F-FE0715E0CB4E}"/>
    <hyperlink ref="E151" r:id="rId181" xr:uid="{6E60F305-2931-4951-A3E8-7FFF5C420A2E}"/>
    <hyperlink ref="I167" r:id="rId182" xr:uid="{FE10C034-5E60-4433-8318-4618B60E4C7C}"/>
    <hyperlink ref="F162" r:id="rId183" xr:uid="{87157C96-DB64-4F51-BC72-AFD4EFEAD33C}"/>
    <hyperlink ref="G162" r:id="rId184" xr:uid="{9990710C-C859-4AF3-8254-4023573E954B}"/>
    <hyperlink ref="A162" r:id="rId185" xr:uid="{CAC02CE9-9735-4B56-B4EF-669F4B74151D}"/>
    <hyperlink ref="J167" r:id="rId186" xr:uid="{F79B90D7-9E31-497A-9942-1659FB5D2133}"/>
    <hyperlink ref="E162" r:id="rId187" xr:uid="{48E863DC-8F64-476C-9315-19E0B864EEDC}"/>
    <hyperlink ref="I242" r:id="rId188" xr:uid="{1FCA0A43-8709-4983-959B-7C2F514D43A2}"/>
    <hyperlink ref="F237" r:id="rId189" xr:uid="{58E7A89B-8C4F-4F32-988C-EBDF97BC7317}"/>
    <hyperlink ref="G237" r:id="rId190" xr:uid="{B2677698-9EFA-4C15-947D-0A132F14EFA9}"/>
    <hyperlink ref="A237" r:id="rId191" xr:uid="{9BF49635-C104-44D9-A5E1-BB00E306AD8A}"/>
    <hyperlink ref="J243" r:id="rId192" xr:uid="{B65D78F4-85B6-4A6F-9D78-F18A2A2515D0}"/>
    <hyperlink ref="E237" r:id="rId193" xr:uid="{CEF2D85E-1E06-4E82-96E9-C46A2CEA5F3C}"/>
    <hyperlink ref="I51" r:id="rId194" xr:uid="{717C2B79-AB68-43E9-82DE-BC91A790532C}"/>
    <hyperlink ref="F46" r:id="rId195" xr:uid="{F41562E3-C749-4FC0-936F-944B4C516C94}"/>
    <hyperlink ref="G46" r:id="rId196" xr:uid="{2CA8516E-FFD0-48EB-9527-64C77BFE2100}"/>
    <hyperlink ref="A46" r:id="rId197" xr:uid="{A4840289-5063-43EE-9165-D121B25DC239}"/>
    <hyperlink ref="E46" r:id="rId198" xr:uid="{6B4576C6-98D9-4ED7-8362-49FF821F0942}"/>
    <hyperlink ref="J53" r:id="rId199" xr:uid="{88B9E549-F387-4928-B1F3-DD90A6720084}"/>
    <hyperlink ref="I31" r:id="rId200" xr:uid="{16CF3BF8-B179-479A-9EF1-B6C9060515B6}"/>
    <hyperlink ref="F26" r:id="rId201" xr:uid="{D7D5F130-DB7A-492E-826F-340570FB23C1}"/>
    <hyperlink ref="G26" r:id="rId202" xr:uid="{32F61639-27B3-4659-BAB5-60DECAEF57DE}"/>
    <hyperlink ref="A26" r:id="rId203" xr:uid="{78B8FAAB-672E-4DA5-BC86-F58AB9D2E559}"/>
    <hyperlink ref="E26" r:id="rId204" xr:uid="{3144F526-80B1-407D-891E-08BB639A0570}"/>
    <hyperlink ref="J32" r:id="rId205" xr:uid="{8517B86C-F5AD-40E2-9EC9-8AD0AE2DD42D}"/>
    <hyperlink ref="A7" r:id="rId206" xr:uid="{4AE1E655-BF53-452F-95B4-5F7DEB685D86}"/>
    <hyperlink ref="I10" r:id="rId207" xr:uid="{6D500240-447F-4467-B1E0-B6CB10A0D646}"/>
    <hyperlink ref="J10" r:id="rId208" xr:uid="{AFFA7B82-020B-4DF7-8324-96ECA2BE56C2}"/>
    <hyperlink ref="F7" r:id="rId209" xr:uid="{AEF2C98D-1E7A-47E5-B6B1-8ADB264D61C8}"/>
    <hyperlink ref="G7" r:id="rId210" xr:uid="{588CE453-C6AE-437B-9873-9253BB19BEDB}"/>
    <hyperlink ref="E7" r:id="rId211" xr:uid="{F9ACE623-B54F-44C7-A049-24B2A47EF039}"/>
    <hyperlink ref="I109" r:id="rId212" xr:uid="{5F84CF6C-F08B-42EF-BFBC-597645A4DFB9}"/>
    <hyperlink ref="F104" r:id="rId213" xr:uid="{76076F62-EE30-4A67-8EFB-DC59BD57BFA7}"/>
    <hyperlink ref="G104" r:id="rId214" xr:uid="{1C64D9E0-7087-488B-ADD5-2A47DB9000E6}"/>
    <hyperlink ref="A104" r:id="rId215" xr:uid="{FF745A9F-7619-45D7-99AC-429A015E4712}"/>
    <hyperlink ref="E104" r:id="rId216" xr:uid="{67C077A9-4958-41E6-9C77-37C5FF242448}"/>
    <hyperlink ref="J109" r:id="rId217" xr:uid="{04DA7AFA-AF29-4980-8CAF-EA29E9BDED2B}"/>
    <hyperlink ref="I128" r:id="rId218" xr:uid="{63D3FE93-D7BB-4AB6-94BA-1BD64E40862A}"/>
    <hyperlink ref="F123" r:id="rId219" xr:uid="{4F6E7F5F-FE02-466A-9E34-C921B00875F6}"/>
    <hyperlink ref="G123" r:id="rId220" xr:uid="{DFD8D68F-BBEC-4139-9A14-9E93F16ACE5F}"/>
    <hyperlink ref="A123" r:id="rId221" xr:uid="{54EF2552-F835-499A-BB13-2303E8E77D6E}"/>
    <hyperlink ref="E123" r:id="rId222" xr:uid="{F17220D2-D845-408C-B050-4D43F1546351}"/>
    <hyperlink ref="J130" r:id="rId223" xr:uid="{37A4D98E-ECD2-4895-B2C0-5CD9585A13CD}"/>
    <hyperlink ref="I136" r:id="rId224" xr:uid="{B0A7E4FA-4E12-479F-99F7-42B3E138E055}"/>
    <hyperlink ref="F131" r:id="rId225" xr:uid="{03B7E5AF-FD1A-4A7E-9FAC-6097B1414AFC}"/>
    <hyperlink ref="G131" r:id="rId226" xr:uid="{1AE50CCD-2C0A-4760-9EFE-BD8A7C158B16}"/>
    <hyperlink ref="A131" r:id="rId227" xr:uid="{5BEA57D8-4495-42C1-811B-39D16E7D4878}"/>
    <hyperlink ref="E131" r:id="rId228" xr:uid="{8665CD79-B849-4483-9301-B7D1EA091688}"/>
    <hyperlink ref="J138" r:id="rId229" xr:uid="{D7730231-94E4-4462-973F-314A385A11C0}"/>
    <hyperlink ref="I220" r:id="rId230" xr:uid="{CF6A0054-8487-48A2-8BBA-300CC21F7570}"/>
    <hyperlink ref="F215" r:id="rId231" xr:uid="{A35F3371-3A41-4C8A-BE27-58230C178298}"/>
    <hyperlink ref="G215" r:id="rId232" xr:uid="{D2D597FE-72C0-423D-A515-7DF3BB3B799E}"/>
    <hyperlink ref="A215" r:id="rId233" xr:uid="{8283D099-A8DA-4C55-8FB7-87181CE7C590}"/>
    <hyperlink ref="E215" r:id="rId234" xr:uid="{A8637898-7005-43C2-8055-09E77086E06A}"/>
    <hyperlink ref="J221" r:id="rId235" xr:uid="{D8F352B1-DCBE-47AD-B07F-7B4562E4A4EF}"/>
  </hyperlinks>
  <pageMargins left="0.7" right="0.7" top="0.75" bottom="0.75" header="0.3" footer="0.3"/>
  <pageSetup paperSize="9" orientation="portrait" horizontalDpi="0" verticalDpi="0" r:id="rId23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002060"/>
  </sheetPr>
  <dimension ref="A1:J259"/>
  <sheetViews>
    <sheetView zoomScaleNormal="100" workbookViewId="0"/>
  </sheetViews>
  <sheetFormatPr defaultRowHeight="14.5" x14ac:dyDescent="0.35"/>
  <cols>
    <col min="1" max="1" width="19.7265625" customWidth="1"/>
    <col min="2" max="2" width="9.453125" customWidth="1"/>
    <col min="3" max="3" width="14.7265625" customWidth="1"/>
    <col min="4" max="4" width="21.36328125" customWidth="1"/>
    <col min="5" max="5" width="6.36328125" style="8" customWidth="1"/>
    <col min="6" max="6" width="16.1796875" customWidth="1"/>
    <col min="7" max="7" width="15.54296875" customWidth="1"/>
    <col min="8" max="8" width="16.453125" customWidth="1"/>
    <col min="9" max="9" width="19.36328125" customWidth="1"/>
    <col min="10" max="10" width="22.26953125" customWidth="1"/>
  </cols>
  <sheetData>
    <row r="1" spans="1:10" x14ac:dyDescent="0.35">
      <c r="A1" s="34" t="s">
        <v>3196</v>
      </c>
      <c r="B1" s="16">
        <f>COUNTIF(I2:I1170,C1)+COUNTIF(I2:I1170,D1)</f>
        <v>35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48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118</v>
      </c>
      <c r="B3" t="s">
        <v>3</v>
      </c>
      <c r="C3" t="s">
        <v>25</v>
      </c>
      <c r="D3" t="s">
        <v>64</v>
      </c>
      <c r="E3" s="49" t="s">
        <v>119</v>
      </c>
      <c r="F3" s="33" t="s">
        <v>120</v>
      </c>
      <c r="G3" s="33" t="s">
        <v>121</v>
      </c>
      <c r="H3" t="s">
        <v>130</v>
      </c>
      <c r="I3" s="1" t="s">
        <v>122</v>
      </c>
      <c r="J3" s="3" t="s">
        <v>123</v>
      </c>
    </row>
    <row r="4" spans="1:10" x14ac:dyDescent="0.35">
      <c r="E4" s="51" t="s">
        <v>343</v>
      </c>
      <c r="I4" t="s">
        <v>112</v>
      </c>
      <c r="J4" t="s">
        <v>124</v>
      </c>
    </row>
    <row r="5" spans="1:10" x14ac:dyDescent="0.35">
      <c r="I5" t="s">
        <v>116</v>
      </c>
      <c r="J5" t="s">
        <v>125</v>
      </c>
    </row>
    <row r="6" spans="1:10" x14ac:dyDescent="0.35">
      <c r="I6" t="s">
        <v>117</v>
      </c>
      <c r="J6" t="s">
        <v>126</v>
      </c>
    </row>
    <row r="7" spans="1:10" x14ac:dyDescent="0.35">
      <c r="I7" t="s">
        <v>17</v>
      </c>
      <c r="J7" t="s">
        <v>127</v>
      </c>
    </row>
    <row r="8" spans="1:10" x14ac:dyDescent="0.35">
      <c r="I8" s="38" t="s">
        <v>18</v>
      </c>
      <c r="J8" t="s">
        <v>128</v>
      </c>
    </row>
    <row r="9" spans="1:10" x14ac:dyDescent="0.35">
      <c r="J9" s="36" t="s">
        <v>129</v>
      </c>
    </row>
    <row r="10" spans="1:10" x14ac:dyDescent="0.35">
      <c r="A10" s="33" t="s">
        <v>1511</v>
      </c>
      <c r="B10" t="s">
        <v>3</v>
      </c>
      <c r="C10" t="s">
        <v>25</v>
      </c>
      <c r="D10" t="s">
        <v>414</v>
      </c>
      <c r="E10" s="49" t="s">
        <v>556</v>
      </c>
      <c r="F10" s="33" t="s">
        <v>120</v>
      </c>
      <c r="G10" s="33" t="s">
        <v>121</v>
      </c>
      <c r="H10" t="s">
        <v>130</v>
      </c>
      <c r="I10" s="1" t="s">
        <v>122</v>
      </c>
      <c r="J10" s="3" t="s">
        <v>123</v>
      </c>
    </row>
    <row r="11" spans="1:10" x14ac:dyDescent="0.35">
      <c r="E11" s="51" t="s">
        <v>156</v>
      </c>
      <c r="I11" t="s">
        <v>112</v>
      </c>
      <c r="J11" t="s">
        <v>124</v>
      </c>
    </row>
    <row r="12" spans="1:10" x14ac:dyDescent="0.35">
      <c r="I12" t="s">
        <v>116</v>
      </c>
      <c r="J12" t="s">
        <v>125</v>
      </c>
    </row>
    <row r="13" spans="1:10" x14ac:dyDescent="0.35">
      <c r="I13" t="s">
        <v>117</v>
      </c>
      <c r="J13" t="s">
        <v>126</v>
      </c>
    </row>
    <row r="14" spans="1:10" x14ac:dyDescent="0.35">
      <c r="I14" t="s">
        <v>17</v>
      </c>
      <c r="J14" t="s">
        <v>127</v>
      </c>
    </row>
    <row r="15" spans="1:10" x14ac:dyDescent="0.35">
      <c r="I15" s="38" t="s">
        <v>18</v>
      </c>
      <c r="J15" t="s">
        <v>128</v>
      </c>
    </row>
    <row r="16" spans="1:10" x14ac:dyDescent="0.35">
      <c r="J16" t="s">
        <v>1512</v>
      </c>
    </row>
    <row r="17" spans="1:10" x14ac:dyDescent="0.35">
      <c r="J17" s="36" t="s">
        <v>2830</v>
      </c>
    </row>
    <row r="18" spans="1:10" x14ac:dyDescent="0.35">
      <c r="A18" s="33" t="s">
        <v>3764</v>
      </c>
      <c r="B18" t="s">
        <v>3</v>
      </c>
      <c r="C18" t="s">
        <v>43</v>
      </c>
      <c r="D18" t="s">
        <v>143</v>
      </c>
      <c r="E18" s="49" t="s">
        <v>89</v>
      </c>
      <c r="F18" s="33" t="s">
        <v>120</v>
      </c>
      <c r="G18" s="33" t="s">
        <v>485</v>
      </c>
      <c r="H18" t="s">
        <v>54</v>
      </c>
      <c r="I18" s="1" t="s">
        <v>122</v>
      </c>
      <c r="J18" s="3" t="s">
        <v>123</v>
      </c>
    </row>
    <row r="19" spans="1:10" x14ac:dyDescent="0.35">
      <c r="E19" s="54" t="s">
        <v>343</v>
      </c>
      <c r="I19" t="s">
        <v>112</v>
      </c>
      <c r="J19" t="s">
        <v>124</v>
      </c>
    </row>
    <row r="20" spans="1:10" x14ac:dyDescent="0.35">
      <c r="I20" t="s">
        <v>116</v>
      </c>
      <c r="J20" t="s">
        <v>125</v>
      </c>
    </row>
    <row r="21" spans="1:10" x14ac:dyDescent="0.35">
      <c r="I21" t="s">
        <v>117</v>
      </c>
      <c r="J21" t="s">
        <v>126</v>
      </c>
    </row>
    <row r="22" spans="1:10" x14ac:dyDescent="0.35">
      <c r="I22" t="s">
        <v>17</v>
      </c>
      <c r="J22" t="s">
        <v>127</v>
      </c>
    </row>
    <row r="23" spans="1:10" x14ac:dyDescent="0.35">
      <c r="I23" s="38" t="s">
        <v>18</v>
      </c>
      <c r="J23" t="s">
        <v>3765</v>
      </c>
    </row>
    <row r="24" spans="1:10" x14ac:dyDescent="0.35">
      <c r="I24" s="37"/>
      <c r="J24" s="36" t="s">
        <v>3766</v>
      </c>
    </row>
    <row r="25" spans="1:10" x14ac:dyDescent="0.35">
      <c r="A25" s="33" t="s">
        <v>2441</v>
      </c>
      <c r="B25" t="s">
        <v>3</v>
      </c>
      <c r="C25" t="s">
        <v>43</v>
      </c>
      <c r="D25" t="s">
        <v>41</v>
      </c>
      <c r="E25" s="49" t="s">
        <v>26</v>
      </c>
      <c r="F25" s="33" t="s">
        <v>122</v>
      </c>
      <c r="G25" s="33" t="s">
        <v>1478</v>
      </c>
      <c r="H25" t="s">
        <v>73</v>
      </c>
      <c r="I25" s="1" t="s">
        <v>112</v>
      </c>
      <c r="J25" s="3" t="s">
        <v>252</v>
      </c>
    </row>
    <row r="26" spans="1:10" x14ac:dyDescent="0.35">
      <c r="E26" s="20"/>
      <c r="I26" t="s">
        <v>116</v>
      </c>
      <c r="J26" t="s">
        <v>2442</v>
      </c>
    </row>
    <row r="27" spans="1:10" x14ac:dyDescent="0.35">
      <c r="I27" t="s">
        <v>117</v>
      </c>
      <c r="J27" t="s">
        <v>2443</v>
      </c>
    </row>
    <row r="28" spans="1:10" x14ac:dyDescent="0.35">
      <c r="I28" t="s">
        <v>17</v>
      </c>
      <c r="J28" t="s">
        <v>2444</v>
      </c>
    </row>
    <row r="29" spans="1:10" x14ac:dyDescent="0.35">
      <c r="I29" s="38" t="s">
        <v>18</v>
      </c>
      <c r="J29" s="36" t="s">
        <v>2445</v>
      </c>
    </row>
    <row r="30" spans="1:10" x14ac:dyDescent="0.35">
      <c r="A30" s="33" t="s">
        <v>1263</v>
      </c>
      <c r="B30" t="s">
        <v>3</v>
      </c>
      <c r="C30" t="s">
        <v>43</v>
      </c>
      <c r="D30" t="s">
        <v>143</v>
      </c>
      <c r="E30" s="49" t="s">
        <v>353</v>
      </c>
      <c r="F30" s="33" t="s">
        <v>120</v>
      </c>
      <c r="G30" s="33" t="s">
        <v>485</v>
      </c>
      <c r="H30" t="s">
        <v>54</v>
      </c>
      <c r="I30" s="1" t="s">
        <v>122</v>
      </c>
      <c r="J30" s="3" t="s">
        <v>773</v>
      </c>
    </row>
    <row r="31" spans="1:10" x14ac:dyDescent="0.35">
      <c r="E31" s="51" t="s">
        <v>179</v>
      </c>
      <c r="I31" t="s">
        <v>112</v>
      </c>
      <c r="J31" t="s">
        <v>505</v>
      </c>
    </row>
    <row r="32" spans="1:10" x14ac:dyDescent="0.35">
      <c r="I32" t="s">
        <v>116</v>
      </c>
      <c r="J32" t="s">
        <v>1264</v>
      </c>
    </row>
    <row r="33" spans="1:10" x14ac:dyDescent="0.35">
      <c r="I33" t="s">
        <v>117</v>
      </c>
      <c r="J33" t="s">
        <v>1265</v>
      </c>
    </row>
    <row r="34" spans="1:10" x14ac:dyDescent="0.35">
      <c r="I34" t="s">
        <v>17</v>
      </c>
      <c r="J34" t="s">
        <v>1266</v>
      </c>
    </row>
    <row r="35" spans="1:10" x14ac:dyDescent="0.35">
      <c r="I35" s="38" t="s">
        <v>18</v>
      </c>
      <c r="J35" s="36" t="s">
        <v>1263</v>
      </c>
    </row>
    <row r="36" spans="1:10" x14ac:dyDescent="0.35">
      <c r="A36" s="33" t="s">
        <v>483</v>
      </c>
      <c r="B36" s="1" t="s">
        <v>315</v>
      </c>
      <c r="C36" t="s">
        <v>316</v>
      </c>
      <c r="D36" t="s">
        <v>184</v>
      </c>
      <c r="E36" s="49" t="s">
        <v>484</v>
      </c>
      <c r="F36" s="33" t="s">
        <v>120</v>
      </c>
      <c r="G36" s="33" t="s">
        <v>485</v>
      </c>
      <c r="H36" t="s">
        <v>130</v>
      </c>
      <c r="I36" s="1" t="s">
        <v>122</v>
      </c>
      <c r="J36" s="3" t="s">
        <v>123</v>
      </c>
    </row>
    <row r="37" spans="1:10" x14ac:dyDescent="0.35">
      <c r="E37" s="20"/>
      <c r="I37" t="s">
        <v>112</v>
      </c>
      <c r="J37" t="s">
        <v>489</v>
      </c>
    </row>
    <row r="38" spans="1:10" x14ac:dyDescent="0.35">
      <c r="I38" t="s">
        <v>116</v>
      </c>
      <c r="J38" t="s">
        <v>488</v>
      </c>
    </row>
    <row r="39" spans="1:10" x14ac:dyDescent="0.35">
      <c r="I39" t="s">
        <v>16</v>
      </c>
      <c r="J39" t="s">
        <v>487</v>
      </c>
    </row>
    <row r="40" spans="1:10" x14ac:dyDescent="0.35">
      <c r="I40" t="s">
        <v>17</v>
      </c>
      <c r="J40" t="s">
        <v>486</v>
      </c>
    </row>
    <row r="41" spans="1:10" x14ac:dyDescent="0.35">
      <c r="I41" s="38" t="s">
        <v>18</v>
      </c>
      <c r="J41" s="36" t="s">
        <v>483</v>
      </c>
    </row>
    <row r="42" spans="1:10" x14ac:dyDescent="0.35">
      <c r="A42" s="33" t="s">
        <v>3771</v>
      </c>
      <c r="B42" t="s">
        <v>3</v>
      </c>
      <c r="C42" t="s">
        <v>43</v>
      </c>
      <c r="D42" t="s">
        <v>414</v>
      </c>
      <c r="E42" s="34" t="s">
        <v>327</v>
      </c>
      <c r="F42" s="33" t="s">
        <v>120</v>
      </c>
      <c r="G42" s="33" t="s">
        <v>485</v>
      </c>
      <c r="H42" t="s">
        <v>54</v>
      </c>
      <c r="I42" s="1" t="s">
        <v>122</v>
      </c>
      <c r="J42" s="3" t="s">
        <v>123</v>
      </c>
    </row>
    <row r="43" spans="1:10" x14ac:dyDescent="0.35">
      <c r="E43" s="20"/>
      <c r="I43" t="s">
        <v>112</v>
      </c>
      <c r="J43" t="s">
        <v>124</v>
      </c>
    </row>
    <row r="44" spans="1:10" x14ac:dyDescent="0.35">
      <c r="I44" t="s">
        <v>116</v>
      </c>
      <c r="J44" t="s">
        <v>125</v>
      </c>
    </row>
    <row r="45" spans="1:10" x14ac:dyDescent="0.35">
      <c r="I45" t="s">
        <v>117</v>
      </c>
      <c r="J45" t="s">
        <v>126</v>
      </c>
    </row>
    <row r="46" spans="1:10" x14ac:dyDescent="0.35">
      <c r="I46" t="s">
        <v>17</v>
      </c>
      <c r="J46" t="s">
        <v>127</v>
      </c>
    </row>
    <row r="47" spans="1:10" x14ac:dyDescent="0.35">
      <c r="I47" s="38" t="s">
        <v>18</v>
      </c>
      <c r="J47" t="s">
        <v>3772</v>
      </c>
    </row>
    <row r="48" spans="1:10" x14ac:dyDescent="0.35">
      <c r="J48" t="s">
        <v>3773</v>
      </c>
    </row>
    <row r="49" spans="1:10" x14ac:dyDescent="0.35">
      <c r="J49" s="36" t="s">
        <v>3774</v>
      </c>
    </row>
    <row r="50" spans="1:10" x14ac:dyDescent="0.35">
      <c r="A50" s="33" t="s">
        <v>638</v>
      </c>
      <c r="B50" t="s">
        <v>3</v>
      </c>
      <c r="C50" t="s">
        <v>43</v>
      </c>
      <c r="D50" t="s">
        <v>414</v>
      </c>
      <c r="E50" s="49" t="s">
        <v>169</v>
      </c>
      <c r="F50" s="33" t="s">
        <v>120</v>
      </c>
      <c r="G50" s="33" t="s">
        <v>485</v>
      </c>
      <c r="H50" t="s">
        <v>54</v>
      </c>
      <c r="I50" s="1" t="s">
        <v>122</v>
      </c>
      <c r="J50" s="3" t="s">
        <v>644</v>
      </c>
    </row>
    <row r="51" spans="1:10" x14ac:dyDescent="0.35">
      <c r="E51" s="20"/>
      <c r="I51" t="s">
        <v>112</v>
      </c>
      <c r="J51" t="s">
        <v>643</v>
      </c>
    </row>
    <row r="52" spans="1:10" x14ac:dyDescent="0.35">
      <c r="I52" t="s">
        <v>116</v>
      </c>
      <c r="J52" t="s">
        <v>642</v>
      </c>
    </row>
    <row r="53" spans="1:10" x14ac:dyDescent="0.35">
      <c r="I53" t="s">
        <v>117</v>
      </c>
      <c r="J53" t="s">
        <v>642</v>
      </c>
    </row>
    <row r="54" spans="1:10" x14ac:dyDescent="0.35">
      <c r="I54" t="s">
        <v>17</v>
      </c>
      <c r="J54" t="s">
        <v>641</v>
      </c>
    </row>
    <row r="55" spans="1:10" x14ac:dyDescent="0.35">
      <c r="I55" s="38" t="s">
        <v>18</v>
      </c>
      <c r="J55" t="s">
        <v>640</v>
      </c>
    </row>
    <row r="56" spans="1:10" x14ac:dyDescent="0.35">
      <c r="J56" t="s">
        <v>639</v>
      </c>
    </row>
    <row r="57" spans="1:10" x14ac:dyDescent="0.35">
      <c r="J57" s="36" t="s">
        <v>638</v>
      </c>
    </row>
    <row r="58" spans="1:10" x14ac:dyDescent="0.35">
      <c r="A58" s="33" t="s">
        <v>1255</v>
      </c>
      <c r="B58" t="s">
        <v>3</v>
      </c>
      <c r="C58" t="s">
        <v>43</v>
      </c>
      <c r="D58" t="s">
        <v>64</v>
      </c>
      <c r="E58" s="51" t="s">
        <v>169</v>
      </c>
      <c r="F58" s="33" t="s">
        <v>120</v>
      </c>
      <c r="G58" s="33" t="s">
        <v>485</v>
      </c>
      <c r="H58" t="s">
        <v>54</v>
      </c>
      <c r="I58" s="1" t="s">
        <v>122</v>
      </c>
      <c r="J58" s="3" t="s">
        <v>773</v>
      </c>
    </row>
    <row r="59" spans="1:10" x14ac:dyDescent="0.35">
      <c r="E59" s="18"/>
      <c r="I59" t="s">
        <v>112</v>
      </c>
      <c r="J59" t="s">
        <v>1256</v>
      </c>
    </row>
    <row r="60" spans="1:10" x14ac:dyDescent="0.35">
      <c r="I60" t="s">
        <v>116</v>
      </c>
      <c r="J60" t="s">
        <v>1257</v>
      </c>
    </row>
    <row r="61" spans="1:10" x14ac:dyDescent="0.35">
      <c r="I61" t="s">
        <v>117</v>
      </c>
      <c r="J61" t="s">
        <v>1258</v>
      </c>
    </row>
    <row r="62" spans="1:10" x14ac:dyDescent="0.35">
      <c r="I62" t="s">
        <v>17</v>
      </c>
      <c r="J62" t="s">
        <v>1259</v>
      </c>
    </row>
    <row r="63" spans="1:10" x14ac:dyDescent="0.35">
      <c r="I63" s="38" t="s">
        <v>1249</v>
      </c>
      <c r="J63" t="s">
        <v>1260</v>
      </c>
    </row>
    <row r="64" spans="1:10" x14ac:dyDescent="0.35">
      <c r="J64" s="36" t="s">
        <v>1255</v>
      </c>
    </row>
    <row r="65" spans="1:10" x14ac:dyDescent="0.35">
      <c r="A65" s="33" t="s">
        <v>3771</v>
      </c>
      <c r="B65" t="s">
        <v>3</v>
      </c>
      <c r="C65" t="s">
        <v>43</v>
      </c>
      <c r="D65" t="s">
        <v>414</v>
      </c>
      <c r="E65" s="54" t="s">
        <v>340</v>
      </c>
      <c r="F65" s="33" t="s">
        <v>120</v>
      </c>
      <c r="G65" s="33" t="s">
        <v>485</v>
      </c>
      <c r="H65" t="s">
        <v>54</v>
      </c>
      <c r="I65" s="1" t="s">
        <v>122</v>
      </c>
      <c r="J65" s="3" t="s">
        <v>123</v>
      </c>
    </row>
    <row r="66" spans="1:10" x14ac:dyDescent="0.35">
      <c r="E66" s="18"/>
      <c r="I66" t="s">
        <v>112</v>
      </c>
      <c r="J66" t="s">
        <v>124</v>
      </c>
    </row>
    <row r="67" spans="1:10" x14ac:dyDescent="0.35">
      <c r="I67" t="s">
        <v>116</v>
      </c>
      <c r="J67" t="s">
        <v>125</v>
      </c>
    </row>
    <row r="68" spans="1:10" x14ac:dyDescent="0.35">
      <c r="I68" t="s">
        <v>117</v>
      </c>
      <c r="J68" t="s">
        <v>126</v>
      </c>
    </row>
    <row r="69" spans="1:10" x14ac:dyDescent="0.35">
      <c r="I69" t="s">
        <v>17</v>
      </c>
      <c r="J69" t="s">
        <v>127</v>
      </c>
    </row>
    <row r="70" spans="1:10" x14ac:dyDescent="0.35">
      <c r="I70" s="38" t="s">
        <v>1249</v>
      </c>
      <c r="J70" t="s">
        <v>3772</v>
      </c>
    </row>
    <row r="71" spans="1:10" x14ac:dyDescent="0.35">
      <c r="J71" t="s">
        <v>3773</v>
      </c>
    </row>
    <row r="72" spans="1:10" x14ac:dyDescent="0.35">
      <c r="J72" s="36" t="s">
        <v>3774</v>
      </c>
    </row>
    <row r="73" spans="1:10" x14ac:dyDescent="0.35">
      <c r="A73" s="33" t="s">
        <v>4021</v>
      </c>
      <c r="B73" t="s">
        <v>3</v>
      </c>
      <c r="C73" t="s">
        <v>43</v>
      </c>
      <c r="D73" t="s">
        <v>64</v>
      </c>
      <c r="E73" s="34" t="s">
        <v>340</v>
      </c>
      <c r="F73" s="33" t="s">
        <v>120</v>
      </c>
      <c r="G73" s="33" t="s">
        <v>485</v>
      </c>
      <c r="H73" t="s">
        <v>54</v>
      </c>
      <c r="I73" s="1" t="s">
        <v>122</v>
      </c>
      <c r="J73" s="3" t="s">
        <v>123</v>
      </c>
    </row>
    <row r="74" spans="1:10" x14ac:dyDescent="0.35">
      <c r="E74" s="54" t="s">
        <v>340</v>
      </c>
      <c r="I74" t="s">
        <v>112</v>
      </c>
      <c r="J74" t="s">
        <v>4022</v>
      </c>
    </row>
    <row r="75" spans="1:10" x14ac:dyDescent="0.35">
      <c r="I75" t="s">
        <v>116</v>
      </c>
      <c r="J75" t="s">
        <v>4023</v>
      </c>
    </row>
    <row r="76" spans="1:10" x14ac:dyDescent="0.35">
      <c r="I76" t="s">
        <v>117</v>
      </c>
      <c r="J76" t="s">
        <v>4024</v>
      </c>
    </row>
    <row r="77" spans="1:10" x14ac:dyDescent="0.35">
      <c r="I77" t="s">
        <v>17</v>
      </c>
      <c r="J77" t="s">
        <v>4025</v>
      </c>
    </row>
    <row r="78" spans="1:10" x14ac:dyDescent="0.35">
      <c r="I78" s="38" t="s">
        <v>1249</v>
      </c>
      <c r="J78" t="s">
        <v>4026</v>
      </c>
    </row>
    <row r="79" spans="1:10" x14ac:dyDescent="0.35">
      <c r="J79" s="36" t="s">
        <v>4027</v>
      </c>
    </row>
    <row r="80" spans="1:10" x14ac:dyDescent="0.35">
      <c r="A80" s="33" t="s">
        <v>4306</v>
      </c>
      <c r="B80" s="1" t="s">
        <v>315</v>
      </c>
      <c r="C80" t="s">
        <v>43</v>
      </c>
      <c r="D80" t="s">
        <v>414</v>
      </c>
      <c r="E80" s="34" t="s">
        <v>909</v>
      </c>
      <c r="F80" s="33" t="s">
        <v>120</v>
      </c>
      <c r="G80" s="33" t="s">
        <v>485</v>
      </c>
      <c r="H80" t="s">
        <v>54</v>
      </c>
      <c r="I80" s="1" t="s">
        <v>122</v>
      </c>
      <c r="J80" s="3" t="s">
        <v>773</v>
      </c>
    </row>
    <row r="81" spans="1:10" x14ac:dyDescent="0.35">
      <c r="E81" s="20"/>
      <c r="I81" t="s">
        <v>112</v>
      </c>
      <c r="J81" t="s">
        <v>505</v>
      </c>
    </row>
    <row r="82" spans="1:10" x14ac:dyDescent="0.35">
      <c r="I82" t="s">
        <v>116</v>
      </c>
      <c r="J82" t="s">
        <v>1264</v>
      </c>
    </row>
    <row r="83" spans="1:10" x14ac:dyDescent="0.35">
      <c r="I83" t="s">
        <v>117</v>
      </c>
      <c r="J83" t="s">
        <v>1265</v>
      </c>
    </row>
    <row r="84" spans="1:10" x14ac:dyDescent="0.35">
      <c r="I84" t="s">
        <v>17</v>
      </c>
      <c r="J84" t="s">
        <v>4307</v>
      </c>
    </row>
    <row r="85" spans="1:10" x14ac:dyDescent="0.35">
      <c r="I85" s="38" t="s">
        <v>1249</v>
      </c>
      <c r="J85" t="s">
        <v>1263</v>
      </c>
    </row>
    <row r="86" spans="1:10" x14ac:dyDescent="0.35">
      <c r="I86" s="37"/>
      <c r="J86" t="s">
        <v>4308</v>
      </c>
    </row>
    <row r="87" spans="1:10" x14ac:dyDescent="0.35">
      <c r="I87" s="37"/>
      <c r="J87" s="36" t="s">
        <v>4309</v>
      </c>
    </row>
    <row r="88" spans="1:10" x14ac:dyDescent="0.35">
      <c r="A88" s="33" t="s">
        <v>3522</v>
      </c>
      <c r="B88" t="s">
        <v>3</v>
      </c>
      <c r="C88" t="s">
        <v>43</v>
      </c>
      <c r="D88" t="s">
        <v>143</v>
      </c>
      <c r="E88" s="54" t="s">
        <v>608</v>
      </c>
      <c r="F88" s="33" t="s">
        <v>120</v>
      </c>
      <c r="G88" s="33" t="s">
        <v>485</v>
      </c>
      <c r="H88" t="s">
        <v>54</v>
      </c>
      <c r="I88" s="1" t="s">
        <v>122</v>
      </c>
      <c r="J88" s="3" t="s">
        <v>773</v>
      </c>
    </row>
    <row r="89" spans="1:10" x14ac:dyDescent="0.35">
      <c r="E89" s="18"/>
      <c r="I89" t="s">
        <v>112</v>
      </c>
      <c r="J89" t="s">
        <v>1256</v>
      </c>
    </row>
    <row r="90" spans="1:10" x14ac:dyDescent="0.35">
      <c r="I90" t="s">
        <v>116</v>
      </c>
      <c r="J90" t="s">
        <v>1257</v>
      </c>
    </row>
    <row r="91" spans="1:10" x14ac:dyDescent="0.35">
      <c r="I91" t="s">
        <v>117</v>
      </c>
      <c r="J91" t="s">
        <v>1258</v>
      </c>
    </row>
    <row r="92" spans="1:10" x14ac:dyDescent="0.35">
      <c r="I92" t="s">
        <v>17</v>
      </c>
      <c r="J92" t="s">
        <v>1259</v>
      </c>
    </row>
    <row r="93" spans="1:10" x14ac:dyDescent="0.35">
      <c r="I93" s="38" t="s">
        <v>1249</v>
      </c>
      <c r="J93" s="36" t="s">
        <v>1260</v>
      </c>
    </row>
    <row r="94" spans="1:10" x14ac:dyDescent="0.35">
      <c r="A94" s="33" t="s">
        <v>4356</v>
      </c>
      <c r="B94" t="s">
        <v>3</v>
      </c>
      <c r="C94" t="s">
        <v>43</v>
      </c>
      <c r="D94" t="s">
        <v>64</v>
      </c>
      <c r="E94" s="34" t="s">
        <v>608</v>
      </c>
      <c r="F94" s="33" t="s">
        <v>120</v>
      </c>
      <c r="G94" s="33" t="s">
        <v>485</v>
      </c>
      <c r="H94" t="s">
        <v>54</v>
      </c>
      <c r="I94" s="1" t="s">
        <v>122</v>
      </c>
      <c r="J94" s="3" t="s">
        <v>497</v>
      </c>
    </row>
    <row r="95" spans="1:10" x14ac:dyDescent="0.35">
      <c r="E95" s="40" t="s">
        <v>608</v>
      </c>
      <c r="I95" t="s">
        <v>112</v>
      </c>
      <c r="J95" t="s">
        <v>498</v>
      </c>
    </row>
    <row r="96" spans="1:10" x14ac:dyDescent="0.35">
      <c r="I96" t="s">
        <v>116</v>
      </c>
      <c r="J96" t="s">
        <v>499</v>
      </c>
    </row>
    <row r="97" spans="1:10" x14ac:dyDescent="0.35">
      <c r="I97" t="s">
        <v>117</v>
      </c>
      <c r="J97" t="s">
        <v>3871</v>
      </c>
    </row>
    <row r="98" spans="1:10" x14ac:dyDescent="0.35">
      <c r="I98" t="s">
        <v>17</v>
      </c>
      <c r="J98" t="s">
        <v>3872</v>
      </c>
    </row>
    <row r="99" spans="1:10" x14ac:dyDescent="0.35">
      <c r="I99" s="38" t="s">
        <v>1249</v>
      </c>
      <c r="J99" t="s">
        <v>3873</v>
      </c>
    </row>
    <row r="100" spans="1:10" x14ac:dyDescent="0.35">
      <c r="I100" s="37"/>
      <c r="J100" s="36" t="s">
        <v>4355</v>
      </c>
    </row>
    <row r="101" spans="1:10" x14ac:dyDescent="0.35">
      <c r="A101" s="33" t="s">
        <v>3870</v>
      </c>
      <c r="B101" t="s">
        <v>3</v>
      </c>
      <c r="C101" t="s">
        <v>43</v>
      </c>
      <c r="D101" t="s">
        <v>64</v>
      </c>
      <c r="E101" s="34" t="s">
        <v>179</v>
      </c>
      <c r="F101" s="33" t="s">
        <v>120</v>
      </c>
      <c r="G101" s="33" t="s">
        <v>485</v>
      </c>
      <c r="H101" t="s">
        <v>54</v>
      </c>
      <c r="I101" s="1" t="s">
        <v>122</v>
      </c>
      <c r="J101" s="3" t="s">
        <v>497</v>
      </c>
    </row>
    <row r="102" spans="1:10" x14ac:dyDescent="0.35">
      <c r="E102" s="40" t="s">
        <v>179</v>
      </c>
      <c r="I102" t="s">
        <v>112</v>
      </c>
      <c r="J102" t="s">
        <v>498</v>
      </c>
    </row>
    <row r="103" spans="1:10" x14ac:dyDescent="0.35">
      <c r="I103" t="s">
        <v>116</v>
      </c>
      <c r="J103" t="s">
        <v>499</v>
      </c>
    </row>
    <row r="104" spans="1:10" x14ac:dyDescent="0.35">
      <c r="I104" t="s">
        <v>117</v>
      </c>
      <c r="J104" t="s">
        <v>3871</v>
      </c>
    </row>
    <row r="105" spans="1:10" x14ac:dyDescent="0.35">
      <c r="I105" t="s">
        <v>17</v>
      </c>
      <c r="J105" t="s">
        <v>3872</v>
      </c>
    </row>
    <row r="106" spans="1:10" x14ac:dyDescent="0.35">
      <c r="I106" s="38" t="s">
        <v>1249</v>
      </c>
      <c r="J106" t="s">
        <v>3873</v>
      </c>
    </row>
    <row r="107" spans="1:10" x14ac:dyDescent="0.35">
      <c r="I107" s="37"/>
      <c r="J107" s="36" t="s">
        <v>3874</v>
      </c>
    </row>
    <row r="108" spans="1:10" x14ac:dyDescent="0.35">
      <c r="A108" s="33" t="s">
        <v>3876</v>
      </c>
      <c r="B108" t="s">
        <v>3</v>
      </c>
      <c r="C108" t="s">
        <v>43</v>
      </c>
      <c r="D108" t="s">
        <v>64</v>
      </c>
      <c r="E108" s="34" t="s">
        <v>179</v>
      </c>
      <c r="F108" s="33" t="s">
        <v>120</v>
      </c>
      <c r="G108" s="33" t="s">
        <v>485</v>
      </c>
      <c r="H108" t="s">
        <v>54</v>
      </c>
      <c r="I108" s="1" t="s">
        <v>122</v>
      </c>
      <c r="J108" s="3" t="s">
        <v>497</v>
      </c>
    </row>
    <row r="109" spans="1:10" x14ac:dyDescent="0.35">
      <c r="E109" s="40" t="s">
        <v>179</v>
      </c>
      <c r="I109" t="s">
        <v>112</v>
      </c>
      <c r="J109" t="s">
        <v>498</v>
      </c>
    </row>
    <row r="110" spans="1:10" x14ac:dyDescent="0.35">
      <c r="I110" t="s">
        <v>116</v>
      </c>
      <c r="J110" t="s">
        <v>499</v>
      </c>
    </row>
    <row r="111" spans="1:10" x14ac:dyDescent="0.35">
      <c r="I111" t="s">
        <v>117</v>
      </c>
      <c r="J111" t="s">
        <v>3871</v>
      </c>
    </row>
    <row r="112" spans="1:10" x14ac:dyDescent="0.35">
      <c r="I112" t="s">
        <v>17</v>
      </c>
      <c r="J112" t="s">
        <v>3872</v>
      </c>
    </row>
    <row r="113" spans="1:10" x14ac:dyDescent="0.35">
      <c r="I113" s="38" t="s">
        <v>1249</v>
      </c>
      <c r="J113" t="s">
        <v>3873</v>
      </c>
    </row>
    <row r="114" spans="1:10" x14ac:dyDescent="0.35">
      <c r="I114" s="37"/>
      <c r="J114" s="36" t="s">
        <v>3876</v>
      </c>
    </row>
    <row r="115" spans="1:10" x14ac:dyDescent="0.35">
      <c r="A115" s="33" t="s">
        <v>4333</v>
      </c>
      <c r="B115" t="s">
        <v>3</v>
      </c>
      <c r="C115" t="s">
        <v>43</v>
      </c>
      <c r="D115" t="s">
        <v>414</v>
      </c>
      <c r="E115" s="34" t="s">
        <v>179</v>
      </c>
      <c r="F115" s="33" t="s">
        <v>120</v>
      </c>
      <c r="G115" s="33" t="s">
        <v>485</v>
      </c>
      <c r="H115" t="s">
        <v>54</v>
      </c>
      <c r="I115" s="1" t="s">
        <v>122</v>
      </c>
      <c r="J115" s="3" t="s">
        <v>773</v>
      </c>
    </row>
    <row r="116" spans="1:10" x14ac:dyDescent="0.35">
      <c r="E116" s="20"/>
      <c r="I116" t="s">
        <v>112</v>
      </c>
      <c r="J116" t="s">
        <v>505</v>
      </c>
    </row>
    <row r="117" spans="1:10" x14ac:dyDescent="0.35">
      <c r="I117" t="s">
        <v>116</v>
      </c>
      <c r="J117" t="s">
        <v>1264</v>
      </c>
    </row>
    <row r="118" spans="1:10" x14ac:dyDescent="0.35">
      <c r="I118" t="s">
        <v>117</v>
      </c>
      <c r="J118" t="s">
        <v>1265</v>
      </c>
    </row>
    <row r="119" spans="1:10" x14ac:dyDescent="0.35">
      <c r="I119" t="s">
        <v>17</v>
      </c>
      <c r="J119" t="s">
        <v>4307</v>
      </c>
    </row>
    <row r="120" spans="1:10" x14ac:dyDescent="0.35">
      <c r="I120" s="38" t="s">
        <v>1249</v>
      </c>
      <c r="J120" t="s">
        <v>1263</v>
      </c>
    </row>
    <row r="121" spans="1:10" x14ac:dyDescent="0.35">
      <c r="I121" s="37"/>
      <c r="J121" t="s">
        <v>4308</v>
      </c>
    </row>
    <row r="122" spans="1:10" x14ac:dyDescent="0.35">
      <c r="I122" s="37"/>
      <c r="J122" s="36" t="s">
        <v>4334</v>
      </c>
    </row>
    <row r="123" spans="1:10" x14ac:dyDescent="0.35">
      <c r="A123" t="s">
        <v>758</v>
      </c>
      <c r="B123" t="s">
        <v>3</v>
      </c>
      <c r="C123" t="s">
        <v>43</v>
      </c>
      <c r="D123" t="s">
        <v>760</v>
      </c>
      <c r="E123" s="49" t="s">
        <v>189</v>
      </c>
      <c r="F123" s="33" t="s">
        <v>251</v>
      </c>
      <c r="G123" s="33" t="s">
        <v>759</v>
      </c>
      <c r="H123" t="s">
        <v>771</v>
      </c>
      <c r="I123" s="1" t="s">
        <v>772</v>
      </c>
      <c r="J123" s="3" t="s">
        <v>504</v>
      </c>
    </row>
    <row r="124" spans="1:10" x14ac:dyDescent="0.35">
      <c r="E124" s="53"/>
      <c r="I124" t="s">
        <v>120</v>
      </c>
      <c r="J124" t="s">
        <v>770</v>
      </c>
    </row>
    <row r="125" spans="1:10" x14ac:dyDescent="0.35">
      <c r="I125" t="s">
        <v>773</v>
      </c>
      <c r="J125" t="s">
        <v>769</v>
      </c>
    </row>
    <row r="126" spans="1:10" x14ac:dyDescent="0.35">
      <c r="I126" t="s">
        <v>773</v>
      </c>
      <c r="J126" t="s">
        <v>768</v>
      </c>
    </row>
    <row r="127" spans="1:10" x14ac:dyDescent="0.35">
      <c r="I127" t="s">
        <v>120</v>
      </c>
      <c r="J127" t="s">
        <v>767</v>
      </c>
    </row>
    <row r="128" spans="1:10" x14ac:dyDescent="0.35">
      <c r="I128" t="s">
        <v>122</v>
      </c>
      <c r="J128" t="s">
        <v>766</v>
      </c>
    </row>
    <row r="129" spans="1:10" x14ac:dyDescent="0.35">
      <c r="I129" t="s">
        <v>112</v>
      </c>
      <c r="J129" t="s">
        <v>765</v>
      </c>
    </row>
    <row r="130" spans="1:10" x14ac:dyDescent="0.35">
      <c r="I130" t="s">
        <v>116</v>
      </c>
      <c r="J130" t="s">
        <v>764</v>
      </c>
    </row>
    <row r="131" spans="1:10" x14ac:dyDescent="0.35">
      <c r="I131" t="s">
        <v>117</v>
      </c>
      <c r="J131" t="s">
        <v>763</v>
      </c>
    </row>
    <row r="132" spans="1:10" x14ac:dyDescent="0.35">
      <c r="I132" t="s">
        <v>17</v>
      </c>
      <c r="J132" t="s">
        <v>762</v>
      </c>
    </row>
    <row r="133" spans="1:10" x14ac:dyDescent="0.35">
      <c r="I133" s="38" t="s">
        <v>18</v>
      </c>
      <c r="J133" s="36" t="s">
        <v>761</v>
      </c>
    </row>
    <row r="134" spans="1:10" x14ac:dyDescent="0.35">
      <c r="A134" s="33" t="s">
        <v>503</v>
      </c>
      <c r="B134" t="s">
        <v>3</v>
      </c>
      <c r="C134" t="s">
        <v>43</v>
      </c>
      <c r="D134" t="s">
        <v>184</v>
      </c>
      <c r="E134" s="51" t="s">
        <v>189</v>
      </c>
      <c r="F134" s="33" t="s">
        <v>120</v>
      </c>
      <c r="G134" s="33" t="s">
        <v>485</v>
      </c>
      <c r="H134" t="s">
        <v>130</v>
      </c>
      <c r="I134" s="1" t="s">
        <v>122</v>
      </c>
      <c r="J134" s="3" t="s">
        <v>504</v>
      </c>
    </row>
    <row r="135" spans="1:10" x14ac:dyDescent="0.35">
      <c r="E135" s="49" t="s">
        <v>216</v>
      </c>
      <c r="I135" t="s">
        <v>112</v>
      </c>
      <c r="J135" t="s">
        <v>505</v>
      </c>
    </row>
    <row r="136" spans="1:10" x14ac:dyDescent="0.35">
      <c r="I136" t="s">
        <v>116</v>
      </c>
      <c r="J136" t="s">
        <v>506</v>
      </c>
    </row>
    <row r="137" spans="1:10" x14ac:dyDescent="0.35">
      <c r="I137" t="s">
        <v>16</v>
      </c>
      <c r="J137" t="s">
        <v>507</v>
      </c>
    </row>
    <row r="138" spans="1:10" x14ac:dyDescent="0.35">
      <c r="I138" t="s">
        <v>17</v>
      </c>
      <c r="J138" t="s">
        <v>508</v>
      </c>
    </row>
    <row r="139" spans="1:10" x14ac:dyDescent="0.35">
      <c r="I139" s="38" t="s">
        <v>18</v>
      </c>
      <c r="J139" t="s">
        <v>509</v>
      </c>
    </row>
    <row r="140" spans="1:10" x14ac:dyDescent="0.35">
      <c r="J140" s="36" t="s">
        <v>510</v>
      </c>
    </row>
    <row r="141" spans="1:10" x14ac:dyDescent="0.35">
      <c r="A141" s="33" t="s">
        <v>208</v>
      </c>
      <c r="B141" t="s">
        <v>3</v>
      </c>
      <c r="C141" t="s">
        <v>43</v>
      </c>
      <c r="D141" t="s">
        <v>64</v>
      </c>
      <c r="E141" s="49" t="s">
        <v>201</v>
      </c>
      <c r="F141" s="33" t="s">
        <v>120</v>
      </c>
      <c r="G141" s="33" t="s">
        <v>121</v>
      </c>
      <c r="H141" t="s">
        <v>130</v>
      </c>
      <c r="I141" s="1" t="s">
        <v>122</v>
      </c>
      <c r="J141" s="3" t="s">
        <v>214</v>
      </c>
    </row>
    <row r="142" spans="1:10" x14ac:dyDescent="0.35">
      <c r="E142" s="53"/>
      <c r="I142" t="s">
        <v>112</v>
      </c>
      <c r="J142" t="s">
        <v>213</v>
      </c>
    </row>
    <row r="143" spans="1:10" x14ac:dyDescent="0.35">
      <c r="I143" t="s">
        <v>116</v>
      </c>
      <c r="J143" t="s">
        <v>212</v>
      </c>
    </row>
    <row r="144" spans="1:10" x14ac:dyDescent="0.35">
      <c r="I144" t="s">
        <v>117</v>
      </c>
      <c r="J144" t="s">
        <v>211</v>
      </c>
    </row>
    <row r="145" spans="1:10" x14ac:dyDescent="0.35">
      <c r="I145" t="s">
        <v>17</v>
      </c>
      <c r="J145" t="s">
        <v>210</v>
      </c>
    </row>
    <row r="146" spans="1:10" x14ac:dyDescent="0.35">
      <c r="I146" s="38" t="s">
        <v>18</v>
      </c>
      <c r="J146" t="s">
        <v>209</v>
      </c>
    </row>
    <row r="147" spans="1:10" x14ac:dyDescent="0.35">
      <c r="J147" s="36" t="s">
        <v>208</v>
      </c>
    </row>
    <row r="148" spans="1:10" x14ac:dyDescent="0.35">
      <c r="A148" s="33" t="s">
        <v>3894</v>
      </c>
      <c r="B148" t="s">
        <v>3</v>
      </c>
      <c r="C148" t="s">
        <v>43</v>
      </c>
      <c r="D148" t="s">
        <v>414</v>
      </c>
      <c r="E148" s="49" t="s">
        <v>201</v>
      </c>
      <c r="F148" s="33" t="s">
        <v>120</v>
      </c>
      <c r="G148" s="33" t="s">
        <v>121</v>
      </c>
      <c r="H148" t="s">
        <v>130</v>
      </c>
      <c r="I148" s="1" t="s">
        <v>122</v>
      </c>
      <c r="J148" s="3" t="s">
        <v>644</v>
      </c>
    </row>
    <row r="149" spans="1:10" x14ac:dyDescent="0.35">
      <c r="E149" s="53"/>
      <c r="I149" t="s">
        <v>112</v>
      </c>
      <c r="J149" t="s">
        <v>505</v>
      </c>
    </row>
    <row r="150" spans="1:10" x14ac:dyDescent="0.35">
      <c r="I150" t="s">
        <v>116</v>
      </c>
      <c r="J150" t="s">
        <v>3895</v>
      </c>
    </row>
    <row r="151" spans="1:10" x14ac:dyDescent="0.35">
      <c r="I151" t="s">
        <v>117</v>
      </c>
      <c r="J151" t="s">
        <v>3896</v>
      </c>
    </row>
    <row r="152" spans="1:10" x14ac:dyDescent="0.35">
      <c r="I152" t="s">
        <v>17</v>
      </c>
      <c r="J152" t="s">
        <v>3899</v>
      </c>
    </row>
    <row r="153" spans="1:10" x14ac:dyDescent="0.35">
      <c r="I153" s="38" t="s">
        <v>18</v>
      </c>
      <c r="J153" t="s">
        <v>3897</v>
      </c>
    </row>
    <row r="154" spans="1:10" x14ac:dyDescent="0.35">
      <c r="J154" t="s">
        <v>3898</v>
      </c>
    </row>
    <row r="155" spans="1:10" x14ac:dyDescent="0.35">
      <c r="J155" s="36" t="s">
        <v>3894</v>
      </c>
    </row>
    <row r="156" spans="1:10" x14ac:dyDescent="0.35">
      <c r="A156" s="33" t="s">
        <v>502</v>
      </c>
      <c r="B156" t="s">
        <v>3</v>
      </c>
      <c r="C156" t="s">
        <v>43</v>
      </c>
      <c r="D156" t="s">
        <v>414</v>
      </c>
      <c r="E156" s="49" t="s">
        <v>201</v>
      </c>
      <c r="F156" s="33" t="s">
        <v>120</v>
      </c>
      <c r="G156" s="33" t="s">
        <v>485</v>
      </c>
      <c r="H156" t="s">
        <v>130</v>
      </c>
      <c r="I156" s="1" t="s">
        <v>122</v>
      </c>
      <c r="J156" s="3" t="s">
        <v>497</v>
      </c>
    </row>
    <row r="157" spans="1:10" x14ac:dyDescent="0.35">
      <c r="E157" s="51" t="s">
        <v>201</v>
      </c>
      <c r="I157" t="s">
        <v>112</v>
      </c>
      <c r="J157" t="s">
        <v>498</v>
      </c>
    </row>
    <row r="158" spans="1:10" x14ac:dyDescent="0.35">
      <c r="I158" t="s">
        <v>116</v>
      </c>
      <c r="J158" t="s">
        <v>499</v>
      </c>
    </row>
    <row r="159" spans="1:10" x14ac:dyDescent="0.35">
      <c r="I159" t="s">
        <v>16</v>
      </c>
      <c r="J159" t="s">
        <v>500</v>
      </c>
    </row>
    <row r="160" spans="1:10" x14ac:dyDescent="0.35">
      <c r="I160" t="s">
        <v>17</v>
      </c>
      <c r="J160" t="s">
        <v>501</v>
      </c>
    </row>
    <row r="161" spans="1:10" x14ac:dyDescent="0.35">
      <c r="I161" s="38" t="s">
        <v>18</v>
      </c>
      <c r="J161" t="s">
        <v>2730</v>
      </c>
    </row>
    <row r="162" spans="1:10" x14ac:dyDescent="0.35">
      <c r="I162" s="37"/>
      <c r="J162" t="s">
        <v>2832</v>
      </c>
    </row>
    <row r="163" spans="1:10" x14ac:dyDescent="0.35">
      <c r="I163" s="37"/>
      <c r="J163" s="36" t="s">
        <v>2831</v>
      </c>
    </row>
    <row r="164" spans="1:10" x14ac:dyDescent="0.35">
      <c r="A164" s="33" t="s">
        <v>215</v>
      </c>
      <c r="B164" t="s">
        <v>3</v>
      </c>
      <c r="C164" t="s">
        <v>43</v>
      </c>
      <c r="D164" t="s">
        <v>64</v>
      </c>
      <c r="E164" s="49" t="s">
        <v>216</v>
      </c>
      <c r="F164" s="33" t="s">
        <v>120</v>
      </c>
      <c r="G164" s="33" t="s">
        <v>121</v>
      </c>
      <c r="H164" t="s">
        <v>130</v>
      </c>
      <c r="I164" s="1" t="s">
        <v>122</v>
      </c>
      <c r="J164" s="6" t="s">
        <v>222</v>
      </c>
    </row>
    <row r="165" spans="1:10" x14ac:dyDescent="0.35">
      <c r="E165" s="53"/>
      <c r="I165" t="s">
        <v>112</v>
      </c>
      <c r="J165" t="s">
        <v>221</v>
      </c>
    </row>
    <row r="166" spans="1:10" x14ac:dyDescent="0.35">
      <c r="I166" t="s">
        <v>116</v>
      </c>
      <c r="J166" t="s">
        <v>220</v>
      </c>
    </row>
    <row r="167" spans="1:10" x14ac:dyDescent="0.35">
      <c r="I167" t="s">
        <v>117</v>
      </c>
      <c r="J167" t="s">
        <v>219</v>
      </c>
    </row>
    <row r="168" spans="1:10" x14ac:dyDescent="0.35">
      <c r="I168" t="s">
        <v>17</v>
      </c>
      <c r="J168" t="s">
        <v>218</v>
      </c>
    </row>
    <row r="169" spans="1:10" x14ac:dyDescent="0.35">
      <c r="I169" s="38" t="s">
        <v>18</v>
      </c>
      <c r="J169" t="s">
        <v>217</v>
      </c>
    </row>
    <row r="170" spans="1:10" x14ac:dyDescent="0.35">
      <c r="J170" s="36" t="s">
        <v>215</v>
      </c>
    </row>
    <row r="171" spans="1:10" x14ac:dyDescent="0.35">
      <c r="A171" s="33" t="s">
        <v>3906</v>
      </c>
      <c r="B171" t="s">
        <v>3</v>
      </c>
      <c r="C171" t="s">
        <v>43</v>
      </c>
      <c r="D171" t="s">
        <v>64</v>
      </c>
      <c r="E171" s="49" t="s">
        <v>216</v>
      </c>
      <c r="F171" s="33" t="s">
        <v>120</v>
      </c>
      <c r="G171" s="33" t="s">
        <v>121</v>
      </c>
      <c r="H171" t="s">
        <v>130</v>
      </c>
      <c r="I171" s="1" t="s">
        <v>122</v>
      </c>
      <c r="J171" s="6" t="s">
        <v>644</v>
      </c>
    </row>
    <row r="172" spans="1:10" x14ac:dyDescent="0.35">
      <c r="E172" s="53"/>
      <c r="I172" t="s">
        <v>112</v>
      </c>
      <c r="J172" t="s">
        <v>643</v>
      </c>
    </row>
    <row r="173" spans="1:10" x14ac:dyDescent="0.35">
      <c r="I173" t="s">
        <v>116</v>
      </c>
      <c r="J173" t="s">
        <v>642</v>
      </c>
    </row>
    <row r="174" spans="1:10" x14ac:dyDescent="0.35">
      <c r="I174" t="s">
        <v>117</v>
      </c>
      <c r="J174" t="s">
        <v>642</v>
      </c>
    </row>
    <row r="175" spans="1:10" x14ac:dyDescent="0.35">
      <c r="I175" t="s">
        <v>17</v>
      </c>
      <c r="J175" t="s">
        <v>641</v>
      </c>
    </row>
    <row r="176" spans="1:10" x14ac:dyDescent="0.35">
      <c r="I176" s="38" t="s">
        <v>18</v>
      </c>
      <c r="J176" t="s">
        <v>640</v>
      </c>
    </row>
    <row r="177" spans="1:10" x14ac:dyDescent="0.35">
      <c r="J177" s="36" t="s">
        <v>3907</v>
      </c>
    </row>
    <row r="178" spans="1:10" x14ac:dyDescent="0.35">
      <c r="A178" s="33" t="s">
        <v>3421</v>
      </c>
      <c r="B178" t="s">
        <v>3</v>
      </c>
      <c r="C178" t="s">
        <v>43</v>
      </c>
      <c r="D178" t="s">
        <v>64</v>
      </c>
      <c r="E178" s="49" t="s">
        <v>216</v>
      </c>
      <c r="F178" s="33" t="s">
        <v>120</v>
      </c>
      <c r="G178" s="33" t="s">
        <v>121</v>
      </c>
      <c r="H178" t="s">
        <v>130</v>
      </c>
      <c r="I178" s="1" t="s">
        <v>122</v>
      </c>
      <c r="J178" s="6" t="s">
        <v>773</v>
      </c>
    </row>
    <row r="179" spans="1:10" x14ac:dyDescent="0.35">
      <c r="E179" s="53"/>
      <c r="I179" t="s">
        <v>112</v>
      </c>
      <c r="J179" t="s">
        <v>505</v>
      </c>
    </row>
    <row r="180" spans="1:10" x14ac:dyDescent="0.35">
      <c r="I180" t="s">
        <v>116</v>
      </c>
      <c r="J180" t="s">
        <v>1264</v>
      </c>
    </row>
    <row r="181" spans="1:10" x14ac:dyDescent="0.35">
      <c r="I181" t="s">
        <v>117</v>
      </c>
      <c r="J181" t="s">
        <v>3418</v>
      </c>
    </row>
    <row r="182" spans="1:10" x14ac:dyDescent="0.35">
      <c r="I182" t="s">
        <v>17</v>
      </c>
      <c r="J182" t="s">
        <v>3419</v>
      </c>
    </row>
    <row r="183" spans="1:10" x14ac:dyDescent="0.35">
      <c r="I183" s="38" t="s">
        <v>18</v>
      </c>
      <c r="J183" t="s">
        <v>3420</v>
      </c>
    </row>
    <row r="184" spans="1:10" x14ac:dyDescent="0.35">
      <c r="J184" s="36" t="s">
        <v>3421</v>
      </c>
    </row>
    <row r="185" spans="1:10" x14ac:dyDescent="0.35">
      <c r="A185" s="33" t="s">
        <v>774</v>
      </c>
      <c r="B185" t="s">
        <v>3</v>
      </c>
      <c r="C185" t="s">
        <v>43</v>
      </c>
      <c r="D185" t="s">
        <v>184</v>
      </c>
      <c r="E185" s="49" t="s">
        <v>216</v>
      </c>
      <c r="F185" s="33" t="s">
        <v>780</v>
      </c>
      <c r="G185" s="33" t="s">
        <v>485</v>
      </c>
      <c r="H185" t="s">
        <v>130</v>
      </c>
      <c r="I185" s="1" t="s">
        <v>122</v>
      </c>
      <c r="J185" s="3" t="s">
        <v>644</v>
      </c>
    </row>
    <row r="186" spans="1:10" x14ac:dyDescent="0.35">
      <c r="E186" s="51" t="s">
        <v>216</v>
      </c>
      <c r="I186" t="s">
        <v>112</v>
      </c>
      <c r="J186" t="s">
        <v>779</v>
      </c>
    </row>
    <row r="187" spans="1:10" x14ac:dyDescent="0.35">
      <c r="I187" t="s">
        <v>116</v>
      </c>
      <c r="J187" t="s">
        <v>778</v>
      </c>
    </row>
    <row r="188" spans="1:10" x14ac:dyDescent="0.35">
      <c r="I188" t="s">
        <v>117</v>
      </c>
      <c r="J188" t="s">
        <v>777</v>
      </c>
    </row>
    <row r="189" spans="1:10" x14ac:dyDescent="0.35">
      <c r="I189" t="s">
        <v>17</v>
      </c>
      <c r="J189" t="s">
        <v>776</v>
      </c>
    </row>
    <row r="190" spans="1:10" x14ac:dyDescent="0.35">
      <c r="I190" s="38" t="s">
        <v>18</v>
      </c>
      <c r="J190" t="s">
        <v>775</v>
      </c>
    </row>
    <row r="191" spans="1:10" x14ac:dyDescent="0.35">
      <c r="J191" s="36" t="s">
        <v>1290</v>
      </c>
    </row>
    <row r="192" spans="1:10" x14ac:dyDescent="0.35">
      <c r="A192" s="33" t="s">
        <v>1477</v>
      </c>
      <c r="B192" t="s">
        <v>3</v>
      </c>
      <c r="C192" t="s">
        <v>43</v>
      </c>
      <c r="D192" t="s">
        <v>879</v>
      </c>
      <c r="E192" s="51" t="s">
        <v>216</v>
      </c>
      <c r="F192" s="33" t="s">
        <v>122</v>
      </c>
      <c r="G192" s="33" t="s">
        <v>1478</v>
      </c>
      <c r="H192" t="s">
        <v>73</v>
      </c>
      <c r="I192" s="1" t="s">
        <v>112</v>
      </c>
      <c r="J192" s="3" t="s">
        <v>252</v>
      </c>
    </row>
    <row r="193" spans="1:10" x14ac:dyDescent="0.35">
      <c r="E193" s="49" t="s">
        <v>72</v>
      </c>
      <c r="I193" t="s">
        <v>116</v>
      </c>
      <c r="J193" t="s">
        <v>1479</v>
      </c>
    </row>
    <row r="194" spans="1:10" x14ac:dyDescent="0.35">
      <c r="I194" t="s">
        <v>117</v>
      </c>
      <c r="J194" t="s">
        <v>1480</v>
      </c>
    </row>
    <row r="195" spans="1:10" x14ac:dyDescent="0.35">
      <c r="I195" t="s">
        <v>17</v>
      </c>
      <c r="J195" t="s">
        <v>1481</v>
      </c>
    </row>
    <row r="196" spans="1:10" x14ac:dyDescent="0.35">
      <c r="I196" s="38" t="s">
        <v>18</v>
      </c>
      <c r="J196" t="s">
        <v>1482</v>
      </c>
    </row>
    <row r="197" spans="1:10" x14ac:dyDescent="0.35">
      <c r="J197" s="36" t="s">
        <v>1477</v>
      </c>
    </row>
    <row r="198" spans="1:10" x14ac:dyDescent="0.35">
      <c r="A198" s="33" t="s">
        <v>3423</v>
      </c>
      <c r="B198" t="s">
        <v>3</v>
      </c>
      <c r="C198" t="s">
        <v>43</v>
      </c>
      <c r="D198" t="s">
        <v>414</v>
      </c>
      <c r="E198" s="49" t="s">
        <v>72</v>
      </c>
      <c r="F198" s="33" t="s">
        <v>120</v>
      </c>
      <c r="G198" s="33" t="s">
        <v>121</v>
      </c>
      <c r="H198" t="s">
        <v>130</v>
      </c>
      <c r="I198" s="1" t="s">
        <v>122</v>
      </c>
      <c r="J198" s="3" t="s">
        <v>123</v>
      </c>
    </row>
    <row r="199" spans="1:10" x14ac:dyDescent="0.35">
      <c r="A199" s="31" t="s">
        <v>2619</v>
      </c>
      <c r="E199" s="53"/>
      <c r="I199" t="s">
        <v>112</v>
      </c>
      <c r="J199" t="s">
        <v>2032</v>
      </c>
    </row>
    <row r="200" spans="1:10" x14ac:dyDescent="0.35">
      <c r="I200" t="s">
        <v>116</v>
      </c>
      <c r="J200" t="s">
        <v>213</v>
      </c>
    </row>
    <row r="201" spans="1:10" x14ac:dyDescent="0.35">
      <c r="I201" t="s">
        <v>117</v>
      </c>
      <c r="J201" t="s">
        <v>2033</v>
      </c>
    </row>
    <row r="202" spans="1:10" x14ac:dyDescent="0.35">
      <c r="I202" t="s">
        <v>17</v>
      </c>
      <c r="J202" t="s">
        <v>2034</v>
      </c>
    </row>
    <row r="203" spans="1:10" x14ac:dyDescent="0.35">
      <c r="I203" s="38" t="s">
        <v>18</v>
      </c>
      <c r="J203" t="s">
        <v>2035</v>
      </c>
    </row>
    <row r="204" spans="1:10" x14ac:dyDescent="0.35">
      <c r="J204" s="36" t="s">
        <v>3422</v>
      </c>
    </row>
    <row r="205" spans="1:10" x14ac:dyDescent="0.35">
      <c r="A205" s="33" t="s">
        <v>2031</v>
      </c>
      <c r="B205" t="s">
        <v>3</v>
      </c>
      <c r="C205" t="s">
        <v>43</v>
      </c>
      <c r="D205" t="s">
        <v>414</v>
      </c>
      <c r="E205" s="49" t="s">
        <v>72</v>
      </c>
      <c r="F205" s="33" t="s">
        <v>120</v>
      </c>
      <c r="G205" s="33" t="s">
        <v>121</v>
      </c>
      <c r="H205" t="s">
        <v>130</v>
      </c>
      <c r="I205" s="1" t="s">
        <v>122</v>
      </c>
      <c r="J205" s="3" t="s">
        <v>123</v>
      </c>
    </row>
    <row r="206" spans="1:10" x14ac:dyDescent="0.35">
      <c r="A206" s="33" t="s">
        <v>2031</v>
      </c>
      <c r="B206" s="1" t="s">
        <v>315</v>
      </c>
      <c r="E206" s="53"/>
      <c r="I206" t="s">
        <v>112</v>
      </c>
      <c r="J206" t="s">
        <v>2032</v>
      </c>
    </row>
    <row r="207" spans="1:10" x14ac:dyDescent="0.35">
      <c r="A207" s="31" t="s">
        <v>2619</v>
      </c>
      <c r="I207" t="s">
        <v>116</v>
      </c>
      <c r="J207" t="s">
        <v>213</v>
      </c>
    </row>
    <row r="208" spans="1:10" x14ac:dyDescent="0.35">
      <c r="I208" t="s">
        <v>117</v>
      </c>
      <c r="J208" t="s">
        <v>2033</v>
      </c>
    </row>
    <row r="209" spans="1:10" x14ac:dyDescent="0.35">
      <c r="I209" t="s">
        <v>17</v>
      </c>
      <c r="J209" t="s">
        <v>2034</v>
      </c>
    </row>
    <row r="210" spans="1:10" x14ac:dyDescent="0.35">
      <c r="I210" s="38" t="s">
        <v>18</v>
      </c>
      <c r="J210" t="s">
        <v>2035</v>
      </c>
    </row>
    <row r="211" spans="1:10" x14ac:dyDescent="0.35">
      <c r="J211" t="s">
        <v>3422</v>
      </c>
    </row>
    <row r="212" spans="1:10" x14ac:dyDescent="0.35">
      <c r="J212" s="36" t="s">
        <v>2031</v>
      </c>
    </row>
    <row r="213" spans="1:10" x14ac:dyDescent="0.35">
      <c r="A213" s="33" t="s">
        <v>246</v>
      </c>
      <c r="B213" t="s">
        <v>3</v>
      </c>
      <c r="C213" t="s">
        <v>43</v>
      </c>
      <c r="D213" t="s">
        <v>64</v>
      </c>
      <c r="E213" s="51" t="s">
        <v>65</v>
      </c>
      <c r="F213" s="33" t="s">
        <v>120</v>
      </c>
      <c r="G213" s="33" t="s">
        <v>121</v>
      </c>
      <c r="H213" t="s">
        <v>130</v>
      </c>
      <c r="I213" s="1" t="s">
        <v>122</v>
      </c>
      <c r="J213" s="3" t="s">
        <v>252</v>
      </c>
    </row>
    <row r="214" spans="1:10" x14ac:dyDescent="0.35">
      <c r="E214" s="49" t="s">
        <v>89</v>
      </c>
      <c r="I214" t="s">
        <v>112</v>
      </c>
      <c r="J214" t="s">
        <v>251</v>
      </c>
    </row>
    <row r="215" spans="1:10" x14ac:dyDescent="0.35">
      <c r="I215" t="s">
        <v>116</v>
      </c>
      <c r="J215" t="s">
        <v>124</v>
      </c>
    </row>
    <row r="216" spans="1:10" x14ac:dyDescent="0.35">
      <c r="I216" t="s">
        <v>117</v>
      </c>
      <c r="J216" t="s">
        <v>250</v>
      </c>
    </row>
    <row r="217" spans="1:10" x14ac:dyDescent="0.35">
      <c r="I217" t="s">
        <v>17</v>
      </c>
      <c r="J217" t="s">
        <v>249</v>
      </c>
    </row>
    <row r="218" spans="1:10" x14ac:dyDescent="0.35">
      <c r="I218" s="38" t="s">
        <v>18</v>
      </c>
      <c r="J218" t="s">
        <v>248</v>
      </c>
    </row>
    <row r="219" spans="1:10" x14ac:dyDescent="0.35">
      <c r="J219" s="36" t="s">
        <v>247</v>
      </c>
    </row>
    <row r="220" spans="1:10" x14ac:dyDescent="0.35">
      <c r="A220" s="33" t="s">
        <v>3509</v>
      </c>
      <c r="B220" t="s">
        <v>3</v>
      </c>
      <c r="C220" t="s">
        <v>43</v>
      </c>
      <c r="D220" t="s">
        <v>64</v>
      </c>
      <c r="E220" s="49" t="s">
        <v>65</v>
      </c>
      <c r="F220" s="33" t="s">
        <v>120</v>
      </c>
      <c r="G220" s="33" t="s">
        <v>121</v>
      </c>
      <c r="H220" t="s">
        <v>130</v>
      </c>
      <c r="I220" s="1" t="s">
        <v>122</v>
      </c>
      <c r="J220" s="3" t="s">
        <v>123</v>
      </c>
    </row>
    <row r="221" spans="1:10" x14ac:dyDescent="0.35">
      <c r="E221" s="50"/>
      <c r="I221" t="s">
        <v>112</v>
      </c>
      <c r="J221" t="s">
        <v>3503</v>
      </c>
    </row>
    <row r="222" spans="1:10" x14ac:dyDescent="0.35">
      <c r="I222" t="s">
        <v>116</v>
      </c>
      <c r="J222" t="s">
        <v>3504</v>
      </c>
    </row>
    <row r="223" spans="1:10" x14ac:dyDescent="0.35">
      <c r="I223" t="s">
        <v>117</v>
      </c>
      <c r="J223" t="s">
        <v>3505</v>
      </c>
    </row>
    <row r="224" spans="1:10" x14ac:dyDescent="0.35">
      <c r="I224" t="s">
        <v>17</v>
      </c>
      <c r="J224" t="s">
        <v>3506</v>
      </c>
    </row>
    <row r="225" spans="1:10" x14ac:dyDescent="0.35">
      <c r="I225" s="38" t="s">
        <v>18</v>
      </c>
      <c r="J225" t="s">
        <v>3507</v>
      </c>
    </row>
    <row r="226" spans="1:10" x14ac:dyDescent="0.35">
      <c r="J226" s="36" t="s">
        <v>3508</v>
      </c>
    </row>
    <row r="227" spans="1:10" x14ac:dyDescent="0.35">
      <c r="A227" s="33" t="s">
        <v>2149</v>
      </c>
      <c r="B227" t="s">
        <v>3</v>
      </c>
      <c r="C227" t="s">
        <v>43</v>
      </c>
      <c r="D227" t="s">
        <v>3936</v>
      </c>
      <c r="E227" s="49" t="s">
        <v>65</v>
      </c>
      <c r="F227" s="33" t="s">
        <v>120</v>
      </c>
      <c r="G227" s="33" t="s">
        <v>121</v>
      </c>
      <c r="H227" t="s">
        <v>130</v>
      </c>
      <c r="I227" s="1" t="s">
        <v>122</v>
      </c>
      <c r="J227" s="3" t="s">
        <v>644</v>
      </c>
    </row>
    <row r="228" spans="1:10" x14ac:dyDescent="0.35">
      <c r="E228" s="50"/>
      <c r="I228" t="s">
        <v>112</v>
      </c>
      <c r="J228" t="s">
        <v>643</v>
      </c>
    </row>
    <row r="229" spans="1:10" x14ac:dyDescent="0.35">
      <c r="I229" t="s">
        <v>116</v>
      </c>
      <c r="J229" t="s">
        <v>642</v>
      </c>
    </row>
    <row r="230" spans="1:10" x14ac:dyDescent="0.35">
      <c r="I230" t="s">
        <v>117</v>
      </c>
      <c r="J230" t="s">
        <v>642</v>
      </c>
    </row>
    <row r="231" spans="1:10" x14ac:dyDescent="0.35">
      <c r="I231" t="s">
        <v>17</v>
      </c>
      <c r="J231" t="s">
        <v>641</v>
      </c>
    </row>
    <row r="232" spans="1:10" x14ac:dyDescent="0.35">
      <c r="I232" s="38" t="s">
        <v>18</v>
      </c>
      <c r="J232" t="s">
        <v>640</v>
      </c>
    </row>
    <row r="233" spans="1:10" x14ac:dyDescent="0.35">
      <c r="J233" t="s">
        <v>3907</v>
      </c>
    </row>
    <row r="234" spans="1:10" x14ac:dyDescent="0.35">
      <c r="J234" t="s">
        <v>3922</v>
      </c>
    </row>
    <row r="235" spans="1:10" x14ac:dyDescent="0.35">
      <c r="J235" s="36" t="s">
        <v>3932</v>
      </c>
    </row>
    <row r="236" spans="1:10" x14ac:dyDescent="0.35">
      <c r="A236" s="33" t="s">
        <v>3933</v>
      </c>
      <c r="B236" t="s">
        <v>3</v>
      </c>
      <c r="C236" t="s">
        <v>43</v>
      </c>
      <c r="D236" t="s">
        <v>414</v>
      </c>
      <c r="E236" s="34" t="s">
        <v>89</v>
      </c>
      <c r="F236" s="33" t="s">
        <v>120</v>
      </c>
      <c r="G236" s="33" t="s">
        <v>121</v>
      </c>
      <c r="H236" t="s">
        <v>130</v>
      </c>
      <c r="I236" s="1" t="s">
        <v>122</v>
      </c>
      <c r="J236" s="3" t="s">
        <v>252</v>
      </c>
    </row>
    <row r="237" spans="1:10" x14ac:dyDescent="0.35">
      <c r="E237" s="50"/>
      <c r="I237" t="s">
        <v>112</v>
      </c>
      <c r="J237" t="s">
        <v>3934</v>
      </c>
    </row>
    <row r="238" spans="1:10" x14ac:dyDescent="0.35">
      <c r="I238" t="s">
        <v>116</v>
      </c>
      <c r="J238" t="s">
        <v>124</v>
      </c>
    </row>
    <row r="239" spans="1:10" x14ac:dyDescent="0.35">
      <c r="I239" t="s">
        <v>117</v>
      </c>
      <c r="J239" t="s">
        <v>250</v>
      </c>
    </row>
    <row r="240" spans="1:10" x14ac:dyDescent="0.35">
      <c r="I240" t="s">
        <v>17</v>
      </c>
      <c r="J240" t="s">
        <v>249</v>
      </c>
    </row>
    <row r="241" spans="1:10" x14ac:dyDescent="0.35">
      <c r="I241" s="38" t="s">
        <v>18</v>
      </c>
      <c r="J241" t="s">
        <v>248</v>
      </c>
    </row>
    <row r="242" spans="1:10" x14ac:dyDescent="0.35">
      <c r="J242" t="s">
        <v>3935</v>
      </c>
    </row>
    <row r="243" spans="1:10" x14ac:dyDescent="0.35">
      <c r="J243" s="36" t="s">
        <v>3933</v>
      </c>
    </row>
    <row r="244" spans="1:10" x14ac:dyDescent="0.35">
      <c r="A244" s="33" t="s">
        <v>3937</v>
      </c>
      <c r="B244" t="s">
        <v>3</v>
      </c>
      <c r="C244" t="s">
        <v>43</v>
      </c>
      <c r="D244" t="s">
        <v>414</v>
      </c>
      <c r="E244" s="34" t="s">
        <v>89</v>
      </c>
      <c r="F244" s="33" t="s">
        <v>120</v>
      </c>
      <c r="G244" s="33" t="s">
        <v>121</v>
      </c>
      <c r="H244" t="s">
        <v>130</v>
      </c>
      <c r="I244" s="1" t="s">
        <v>122</v>
      </c>
      <c r="J244" s="3" t="s">
        <v>214</v>
      </c>
    </row>
    <row r="245" spans="1:10" x14ac:dyDescent="0.35">
      <c r="E245" s="50"/>
      <c r="I245" t="s">
        <v>112</v>
      </c>
      <c r="J245" t="s">
        <v>213</v>
      </c>
    </row>
    <row r="246" spans="1:10" x14ac:dyDescent="0.35">
      <c r="I246" t="s">
        <v>116</v>
      </c>
      <c r="J246" t="s">
        <v>3938</v>
      </c>
    </row>
    <row r="247" spans="1:10" x14ac:dyDescent="0.35">
      <c r="I247" t="s">
        <v>117</v>
      </c>
      <c r="J247" t="s">
        <v>3939</v>
      </c>
    </row>
    <row r="248" spans="1:10" x14ac:dyDescent="0.35">
      <c r="I248" t="s">
        <v>17</v>
      </c>
      <c r="J248" t="s">
        <v>210</v>
      </c>
    </row>
    <row r="249" spans="1:10" x14ac:dyDescent="0.35">
      <c r="I249" s="38" t="s">
        <v>18</v>
      </c>
      <c r="J249" t="s">
        <v>209</v>
      </c>
    </row>
    <row r="250" spans="1:10" x14ac:dyDescent="0.35">
      <c r="J250" t="s">
        <v>3940</v>
      </c>
    </row>
    <row r="251" spans="1:10" x14ac:dyDescent="0.35">
      <c r="J251" s="36" t="s">
        <v>3937</v>
      </c>
    </row>
    <row r="252" spans="1:10" x14ac:dyDescent="0.35">
      <c r="A252" s="33" t="s">
        <v>3965</v>
      </c>
      <c r="B252" t="s">
        <v>3</v>
      </c>
      <c r="C252" t="s">
        <v>43</v>
      </c>
      <c r="D252" t="s">
        <v>3936</v>
      </c>
      <c r="E252" s="34" t="s">
        <v>89</v>
      </c>
      <c r="F252" s="33" t="s">
        <v>120</v>
      </c>
      <c r="G252" s="33" t="s">
        <v>121</v>
      </c>
      <c r="H252" t="s">
        <v>130</v>
      </c>
      <c r="I252" s="1" t="s">
        <v>122</v>
      </c>
      <c r="J252" s="3" t="s">
        <v>644</v>
      </c>
    </row>
    <row r="253" spans="1:10" x14ac:dyDescent="0.35">
      <c r="E253" s="50"/>
      <c r="I253" t="s">
        <v>112</v>
      </c>
      <c r="J253" t="s">
        <v>643</v>
      </c>
    </row>
    <row r="254" spans="1:10" x14ac:dyDescent="0.35">
      <c r="I254" t="s">
        <v>116</v>
      </c>
      <c r="J254" t="s">
        <v>642</v>
      </c>
    </row>
    <row r="255" spans="1:10" x14ac:dyDescent="0.35">
      <c r="I255" t="s">
        <v>117</v>
      </c>
      <c r="J255" t="s">
        <v>3961</v>
      </c>
    </row>
    <row r="256" spans="1:10" x14ac:dyDescent="0.35">
      <c r="I256" t="s">
        <v>17</v>
      </c>
      <c r="J256" t="s">
        <v>3962</v>
      </c>
    </row>
    <row r="257" spans="9:10" x14ac:dyDescent="0.35">
      <c r="I257" s="38" t="s">
        <v>18</v>
      </c>
      <c r="J257" t="s">
        <v>3963</v>
      </c>
    </row>
    <row r="258" spans="9:10" x14ac:dyDescent="0.35">
      <c r="J258" t="s">
        <v>3964</v>
      </c>
    </row>
    <row r="259" spans="9:10" x14ac:dyDescent="0.35">
      <c r="J259" s="36" t="s">
        <v>3960</v>
      </c>
    </row>
  </sheetData>
  <autoFilter ref="A1:A259" xr:uid="{00000000-0001-0000-0200-000000000000}"/>
  <hyperlinks>
    <hyperlink ref="I8" r:id="rId1" xr:uid="{69FBAD79-73B5-40A4-88DE-341C8FB62A3F}"/>
    <hyperlink ref="I15" r:id="rId2" xr:uid="{3A3C34B1-100C-40F0-A00A-D2F8817F11CA}"/>
    <hyperlink ref="I29" r:id="rId3" xr:uid="{505123AE-8863-42C5-98A2-7CC9F622E181}"/>
    <hyperlink ref="I35" r:id="rId4" xr:uid="{31039AF6-BE96-442E-8F96-FC4F8ACC504E}"/>
    <hyperlink ref="I41" r:id="rId5" xr:uid="{0CF5B89B-7754-48C8-ADA5-FE8CD75F08BC}"/>
    <hyperlink ref="I55" r:id="rId6" xr:uid="{0F588BB1-E31D-4AEB-9886-51086A615852}"/>
    <hyperlink ref="I133" r:id="rId7" xr:uid="{00A49C97-9BA9-4AD3-A1A7-32C96BD16CB9}"/>
    <hyperlink ref="I139" r:id="rId8" xr:uid="{2A672E1E-652A-4B11-8859-2C9D9AE54252}"/>
    <hyperlink ref="I146" r:id="rId9" xr:uid="{A8A73A34-17C9-4CCD-9E58-1064E9563CA9}"/>
    <hyperlink ref="I161" r:id="rId10" xr:uid="{ECB15590-5353-40F5-B7D6-A70B20D9F52C}"/>
    <hyperlink ref="I169" r:id="rId11" xr:uid="{1D542962-D480-4D08-BFA5-666558CEC7D4}"/>
    <hyperlink ref="I190" r:id="rId12" xr:uid="{9B8A75BA-3C36-4051-878D-5373BAAE43E6}"/>
    <hyperlink ref="I196" r:id="rId13" xr:uid="{F3DE9715-2098-429D-B461-FEC622F3006E}"/>
    <hyperlink ref="I210" r:id="rId14" xr:uid="{EEBE450C-228E-44BC-B569-F9FCBC835EB6}"/>
    <hyperlink ref="I218" r:id="rId15" xr:uid="{E6AFDBB7-0DD7-47C6-9626-010416D1791D}"/>
    <hyperlink ref="I63" r:id="rId16" xr:uid="{1121D251-6F23-4712-AF34-293EB903F125}"/>
    <hyperlink ref="A1" location="Summary!B3" tooltip="Return to Totals" display="Back to Totals" xr:uid="{425B8F4A-3FA2-4236-B7A6-DDE8AD10C678}"/>
    <hyperlink ref="F3" r:id="rId17" xr:uid="{0CBE54C3-A79C-4C1F-89ED-4FC4DF8B66C8}"/>
    <hyperlink ref="F10" r:id="rId18" xr:uid="{13DC34D0-04AC-4182-BD3A-7D7AB6D4F19D}"/>
    <hyperlink ref="F30" r:id="rId19" xr:uid="{36EE5F92-DA2E-4315-A806-207B10896F68}"/>
    <hyperlink ref="F36" r:id="rId20" xr:uid="{6CEB68EE-3ADE-4DD7-85C7-1F47AF28393B}"/>
    <hyperlink ref="F50" r:id="rId21" xr:uid="{05DDA3E5-9F05-4669-877F-AD1894A61E21}"/>
    <hyperlink ref="F58" r:id="rId22" xr:uid="{85292718-A0EE-48A0-B926-4E40C49CD66B}"/>
    <hyperlink ref="F134" r:id="rId23" xr:uid="{49E7CE65-56F4-4C98-AE41-799B736E8029}"/>
    <hyperlink ref="F141" r:id="rId24" xr:uid="{D2DCC2E3-DB6D-42B2-8D00-AE34CCF4BAC1}"/>
    <hyperlink ref="F156" r:id="rId25" xr:uid="{5C9DC5F8-DE3F-4F79-862F-7BAEFCFEF87C}"/>
    <hyperlink ref="F164" r:id="rId26" xr:uid="{0DE02E1E-F5CC-46DB-92E6-B1F9AD0EE32A}"/>
    <hyperlink ref="F185" r:id="rId27" xr:uid="{66ADAE6B-03B5-4F98-A8FC-4F10C0D6FDD5}"/>
    <hyperlink ref="F205" r:id="rId28" xr:uid="{F17C3B0B-A399-41FA-9CC7-CC87846DA0E9}"/>
    <hyperlink ref="F213" r:id="rId29" xr:uid="{99B8013F-CCDC-428A-97B2-75109F548778}"/>
    <hyperlink ref="G3" r:id="rId30" xr:uid="{5FAC77EC-96FA-496C-9DB2-932689CC9A67}"/>
    <hyperlink ref="G10" r:id="rId31" xr:uid="{6B46712E-D383-4025-AFB6-61ACE4360BF6}"/>
    <hyperlink ref="G30" r:id="rId32" xr:uid="{3D8D1FED-21C7-481C-83B3-6FB5E7CB2263}"/>
    <hyperlink ref="G36" r:id="rId33" xr:uid="{AAFBB830-61A4-4ED1-A385-465FFA705DEB}"/>
    <hyperlink ref="G50" r:id="rId34" xr:uid="{21CAB338-223D-4A61-A2CB-3A8C20FD9114}"/>
    <hyperlink ref="G58" r:id="rId35" xr:uid="{BEEA200C-6C4A-4957-92B4-EBB3F4B2F8CC}"/>
    <hyperlink ref="G134" r:id="rId36" xr:uid="{E67D3353-BA8E-4BCD-BBA8-28A150E18DA9}"/>
    <hyperlink ref="G141" r:id="rId37" xr:uid="{B0AB5AB5-12B4-4423-9FA6-A74CCF9C64E7}"/>
    <hyperlink ref="G156" r:id="rId38" xr:uid="{4CF8B185-209A-460F-8F1E-3AFA946FA781}"/>
    <hyperlink ref="G164" r:id="rId39" xr:uid="{D76701A5-19BA-4E82-8332-4B289FAB85B4}"/>
    <hyperlink ref="G185" r:id="rId40" xr:uid="{53819FA5-8416-4730-AA74-4738B0A0D459}"/>
    <hyperlink ref="G205" r:id="rId41" xr:uid="{75BDBE79-8A79-4F42-A42C-401B010D2867}"/>
    <hyperlink ref="F25" r:id="rId42" xr:uid="{A3767C6E-5526-4CFB-992C-2B192496607B}"/>
    <hyperlink ref="F192" r:id="rId43" xr:uid="{8B3FA074-E1EF-41E4-965D-B54B1E623E85}"/>
    <hyperlink ref="G25" r:id="rId44" xr:uid="{C73FA12F-2300-4BFC-B88E-871EBC324575}"/>
    <hyperlink ref="G192" r:id="rId45" xr:uid="{84CD8A00-3D42-4EF3-8A8E-6F4DCADC66C4}"/>
    <hyperlink ref="F123" r:id="rId46" xr:uid="{FEA0C99B-4DF4-49AA-853C-6649D2876924}"/>
    <hyperlink ref="G123" r:id="rId47" xr:uid="{0C8BDA78-9612-496F-BA9B-257445B94C9F}"/>
    <hyperlink ref="J9" r:id="rId48" xr:uid="{B54172DF-3136-4298-81EA-C9EEF8982A05}"/>
    <hyperlink ref="A3" r:id="rId49" xr:uid="{49BB68C1-610B-4514-91CC-3611BF09F6E3}"/>
    <hyperlink ref="J17" r:id="rId50" xr:uid="{BE4A0B66-A644-4026-9E6C-D69588407277}"/>
    <hyperlink ref="A10" r:id="rId51" xr:uid="{28B4512C-431A-456B-89B8-0465B940DD19}"/>
    <hyperlink ref="J29" r:id="rId52" xr:uid="{3FC10264-0531-47F8-AC52-3AE7DDDF168E}"/>
    <hyperlink ref="A25" r:id="rId53" xr:uid="{83AE920C-7A31-46FD-8C51-A6A56BCF48B7}"/>
    <hyperlink ref="J35" r:id="rId54" xr:uid="{ADB3DB9C-9425-479C-B16D-DD5914D2380F}"/>
    <hyperlink ref="A30" r:id="rId55" xr:uid="{8B404702-B8AD-4CFE-BEC2-47E5BF771129}"/>
    <hyperlink ref="A36" r:id="rId56" xr:uid="{17BD4593-308A-4F13-9927-826942614E66}"/>
    <hyperlink ref="J41" r:id="rId57" xr:uid="{9FA915A3-3B5E-4606-8F3B-775A7272CC1D}"/>
    <hyperlink ref="J57" r:id="rId58" xr:uid="{F7C1E1E4-C9A3-4CD0-9731-5D34E264554E}"/>
    <hyperlink ref="A50" r:id="rId59" xr:uid="{1ACDF00B-E1F6-4E14-A203-97406544BEF7}"/>
    <hyperlink ref="J64" r:id="rId60" xr:uid="{841876B0-0DD3-42A3-A096-55DCDE0783C8}"/>
    <hyperlink ref="A58" r:id="rId61" xr:uid="{B5BA1A2A-4BC5-4EEE-AB95-F4DC72F5F036}"/>
    <hyperlink ref="J133" r:id="rId62" xr:uid="{2CC6A227-094D-4357-BB9F-8F5B9B2E69FB}"/>
    <hyperlink ref="J140" r:id="rId63" xr:uid="{C8C558C1-43AA-45C0-A52A-CB542BCD2DE2}"/>
    <hyperlink ref="A134" r:id="rId64" xr:uid="{FD1E56C7-4511-47AC-A3E3-B239103BF440}"/>
    <hyperlink ref="J147" r:id="rId65" xr:uid="{3EEA4202-C9C9-4A7B-B439-982A9D55EEB3}"/>
    <hyperlink ref="A141" r:id="rId66" xr:uid="{9075A241-F2C8-4D83-88DC-CA067999C18D}"/>
    <hyperlink ref="J163" r:id="rId67" xr:uid="{CD406500-4DF2-4CBE-9CA6-5184C196C684}"/>
    <hyperlink ref="A156" r:id="rId68" xr:uid="{48BA3C4B-B329-4CCC-94C9-FC77715881C0}"/>
    <hyperlink ref="J170" r:id="rId69" xr:uid="{D177EDAC-EDEE-4D18-AEE6-C203D4A3F7C9}"/>
    <hyperlink ref="A164" r:id="rId70" xr:uid="{724BA09B-AC2D-429E-A82E-1D7BA452D91C}"/>
    <hyperlink ref="J191" r:id="rId71" xr:uid="{F2F69965-6E4B-4B57-95CF-B0F6B7969338}"/>
    <hyperlink ref="A185" r:id="rId72" xr:uid="{25AED81D-FD78-474C-AD56-EE84B5602D8C}"/>
    <hyperlink ref="J197" r:id="rId73" xr:uid="{80BEF3D0-28D1-4BE7-A61E-06F954B7D6EF}"/>
    <hyperlink ref="A192" r:id="rId74" xr:uid="{D4F8E291-B9D4-4A9C-BA88-DD51A5BB2838}"/>
    <hyperlink ref="J212" r:id="rId75" xr:uid="{C7E41566-BD06-4F76-B827-A952225A17BC}"/>
    <hyperlink ref="A205" r:id="rId76" xr:uid="{4CB8A0FF-C060-4DBE-80F8-3C1DF28B7816}"/>
    <hyperlink ref="J219" r:id="rId77" xr:uid="{59F0CCDB-3338-43EA-8DBB-BF65D0F9382F}"/>
    <hyperlink ref="A213" r:id="rId78" xr:uid="{0405F85F-EA1B-40B9-A069-36361A76E887}"/>
    <hyperlink ref="G213" r:id="rId79" xr:uid="{900C69FF-9ADA-4990-A991-4F537FD3AE0A}"/>
    <hyperlink ref="E3" r:id="rId80" xr:uid="{32963F91-6481-4A53-9257-3887568AEC7A}"/>
    <hyperlink ref="E4" r:id="rId81" xr:uid="{B6AF1DD0-02A2-4383-B5FA-6999B6305CA3}"/>
    <hyperlink ref="E10" r:id="rId82" xr:uid="{110A3D45-3553-486C-903F-0C3657203979}"/>
    <hyperlink ref="E11" r:id="rId83" xr:uid="{D64B6890-3EBB-47BF-B4D2-31D43D61225F}"/>
    <hyperlink ref="E25" r:id="rId84" xr:uid="{4686D9B3-638E-4B35-B01F-58F229D0217C}"/>
    <hyperlink ref="E30" r:id="rId85" xr:uid="{25EB977C-16FD-4368-B803-A18DD7ACED68}"/>
    <hyperlink ref="E31" r:id="rId86" xr:uid="{32FF2EF8-A290-434B-8A3B-81D22EE93B89}"/>
    <hyperlink ref="E36" r:id="rId87" xr:uid="{15105FDE-2C18-495E-96C0-FE8054336C14}"/>
    <hyperlink ref="E50" r:id="rId88" xr:uid="{D89130D0-E27A-4F0C-AFD5-39CC33770D9D}"/>
    <hyperlink ref="E58" r:id="rId89" xr:uid="{F0CC183E-F7E0-4F5D-B9BE-D790C706898B}"/>
    <hyperlink ref="E123" r:id="rId90" xr:uid="{96FA94FB-5793-48BF-AAB2-6D8289090DC9}"/>
    <hyperlink ref="E134" r:id="rId91" xr:uid="{40D8B604-4599-40EA-8F20-49401174F16D}"/>
    <hyperlink ref="E135" r:id="rId92" xr:uid="{FE507770-F350-46B5-85CF-61D64C0A0C40}"/>
    <hyperlink ref="E164" r:id="rId93" xr:uid="{CF11BEEF-7690-46F4-92E0-266CE6B1D03D}"/>
    <hyperlink ref="E185" r:id="rId94" xr:uid="{10E007EF-0D2B-4AE8-8B4B-ED3772236A27}"/>
    <hyperlink ref="E186" r:id="rId95" xr:uid="{0FB24F28-837B-4884-93C3-BA8194157068}"/>
    <hyperlink ref="E192" r:id="rId96" xr:uid="{D7A1547E-8DA8-493A-BD30-CC761E0441F9}"/>
    <hyperlink ref="E141" r:id="rId97" xr:uid="{BA5A566E-5A9C-4CF6-B619-D9528B951639}"/>
    <hyperlink ref="E156" r:id="rId98" xr:uid="{984E0367-A58F-4166-A50B-376E4D28328B}"/>
    <hyperlink ref="E157" r:id="rId99" xr:uid="{06F27EDD-1269-4CD9-A687-F82E835F4221}"/>
    <hyperlink ref="E193" r:id="rId100" xr:uid="{332944FE-4E3E-4404-84D3-D89C5BF6E3D7}"/>
    <hyperlink ref="E205" r:id="rId101" xr:uid="{332A46A1-8792-43D4-9E0C-9062ACA035D3}"/>
    <hyperlink ref="E213" r:id="rId102" xr:uid="{49D8A800-3980-4628-BE13-B9AB83E8E5D5}"/>
    <hyperlink ref="E214" r:id="rId103" xr:uid="{7BA75B88-7E6B-4CB5-878B-A1A9DEBD2CA5}"/>
    <hyperlink ref="I183" r:id="rId104" xr:uid="{F3B16860-2C57-4D65-A276-1435088DD5F5}"/>
    <hyperlink ref="F178" r:id="rId105" xr:uid="{718447A6-BB4D-417F-9515-7758EAF842BB}"/>
    <hyperlink ref="G178" r:id="rId106" xr:uid="{2631F9B6-FC1C-413C-BB2B-877327DA962A}"/>
    <hyperlink ref="J184" r:id="rId107" xr:uid="{DA20FF83-F779-452F-B0A7-1047008AE6F9}"/>
    <hyperlink ref="A178" r:id="rId108" xr:uid="{B4993C67-1996-4CEE-B43F-B5B183F44D5C}"/>
    <hyperlink ref="E178" r:id="rId109" xr:uid="{9961C3B6-13BE-4464-993D-30C10A642D85}"/>
    <hyperlink ref="I203" r:id="rId110" xr:uid="{01066FBF-4A33-4ECE-9613-B5686390F303}"/>
    <hyperlink ref="F198" r:id="rId111" xr:uid="{FC21AB14-E243-4907-8E2E-6617D9A5F0B5}"/>
    <hyperlink ref="G198" r:id="rId112" xr:uid="{328FC7E1-3F3C-4B2C-9E1A-FD818A41A31D}"/>
    <hyperlink ref="A198" r:id="rId113" xr:uid="{9E5B1AF9-4EC4-433C-B3D9-9D6EA4C278AA}"/>
    <hyperlink ref="E198" r:id="rId114" xr:uid="{74D8DDD4-0F77-45BB-B6E3-0A549EA5399F}"/>
    <hyperlink ref="J204" r:id="rId115" xr:uid="{FE5EB76E-F126-4C9C-BC1A-D987D9300497}"/>
    <hyperlink ref="I225" r:id="rId116" xr:uid="{E71CA2DF-57E3-4027-8E61-D4B7CADF5E41}"/>
    <hyperlink ref="F220" r:id="rId117" xr:uid="{54402827-8119-4FCA-A777-AE379786020C}"/>
    <hyperlink ref="J226" r:id="rId118" xr:uid="{AB5BE906-E705-4DE1-88C4-51240B833094}"/>
    <hyperlink ref="A220" r:id="rId119" display="salmonpj" xr:uid="{43BF159F-D192-44D1-A93B-695B8F47DDB1}"/>
    <hyperlink ref="G220" r:id="rId120" xr:uid="{1C55C000-7AD8-4FBB-8936-CB86AC6640A4}"/>
    <hyperlink ref="E220" r:id="rId121" xr:uid="{0A60C7EC-6433-4C4F-94AB-4461BB08822D}"/>
    <hyperlink ref="I93" r:id="rId122" xr:uid="{C9530889-8A0A-4F7A-8DEE-10DB04BD7347}"/>
    <hyperlink ref="F88" r:id="rId123" xr:uid="{475B8B69-B66B-4C17-9ADA-0233AEB0F829}"/>
    <hyperlink ref="G88" r:id="rId124" xr:uid="{8B59E68E-70E4-4398-B68C-CBB80444BEC1}"/>
    <hyperlink ref="A88" r:id="rId125" display="Hannah Gravenor" xr:uid="{A920CD8A-337B-4EA6-BFAD-C9D45489C897}"/>
    <hyperlink ref="E88" r:id="rId126" xr:uid="{735169C9-3C4D-4EF1-A271-E689E2DF6EB6}"/>
    <hyperlink ref="J93" r:id="rId127" xr:uid="{52C65C01-58F8-4187-A616-D208C90E1DC6}"/>
    <hyperlink ref="I23" r:id="rId128" xr:uid="{7D7FCCED-0D0D-41E4-9FF6-8AD2D90E383D}"/>
    <hyperlink ref="F18" r:id="rId129" xr:uid="{A987A58D-F1E0-4716-80E0-C916E7CEC580}"/>
    <hyperlink ref="G18" r:id="rId130" xr:uid="{B416A907-F330-47C8-B56A-E9398C5076BD}"/>
    <hyperlink ref="A18" r:id="rId131" xr:uid="{FAD0DA0E-DF04-4EE5-8303-1E8358F480A6}"/>
    <hyperlink ref="E19" r:id="rId132" xr:uid="{9F0D4C1A-5C51-4F9D-99C9-894D1ED30BA0}"/>
    <hyperlink ref="J24" r:id="rId133" xr:uid="{58C37991-63A9-4BF0-81F6-3DBD51DE72E9}"/>
    <hyperlink ref="I70" r:id="rId134" xr:uid="{866AB48A-6273-440E-B5AF-4E4B7F89868A}"/>
    <hyperlink ref="F65" r:id="rId135" xr:uid="{47880CD9-6D95-4B49-A11A-4932B46831A5}"/>
    <hyperlink ref="G65" r:id="rId136" xr:uid="{B58B31B4-FD7F-46E1-BD78-8B0AB4D5A37E}"/>
    <hyperlink ref="A65" r:id="rId137" xr:uid="{3C9FA25B-D8C2-41E0-B54E-C643CA8A83D0}"/>
    <hyperlink ref="E65" r:id="rId138" xr:uid="{52366A87-9329-4AEB-8A7E-2B381C6009BC}"/>
    <hyperlink ref="J72" r:id="rId139" xr:uid="{4114C543-E7C1-4392-A227-D4F1CA9DA7C5}"/>
    <hyperlink ref="I106" r:id="rId140" xr:uid="{484B10CA-1F6B-410C-83E1-C27E8E48B986}"/>
    <hyperlink ref="F101" r:id="rId141" xr:uid="{A5D81E13-1A8C-424F-A967-924D437BE43B}"/>
    <hyperlink ref="G101" r:id="rId142" xr:uid="{48E4FAA5-A290-4068-B0F8-7D940AAA4430}"/>
    <hyperlink ref="A101" r:id="rId143" xr:uid="{6D2F68F0-7251-44FC-9E9E-3178FB10C1B1}"/>
    <hyperlink ref="E101" r:id="rId144" xr:uid="{A9B1D1D3-3841-494E-B8E5-158630EA03AF}"/>
    <hyperlink ref="J107" r:id="rId145" xr:uid="{F4574094-AE06-4BC2-A129-0646AA5B77FE}"/>
    <hyperlink ref="I113" r:id="rId146" xr:uid="{12023BFF-5615-4427-96B8-C25840D1A8C0}"/>
    <hyperlink ref="F108" r:id="rId147" xr:uid="{821B42BE-4C50-40A3-97DF-A3C4617508F5}"/>
    <hyperlink ref="G108" r:id="rId148" xr:uid="{AF6AF6B6-B427-4D3B-A35A-4FACBE2F8C7D}"/>
    <hyperlink ref="A108" r:id="rId149" xr:uid="{8594EBB1-304E-4909-8F97-73BBC20EA9A2}"/>
    <hyperlink ref="E108" r:id="rId150" xr:uid="{2EF8E5A8-9BC7-4760-A90C-A4A07ECF8DF0}"/>
    <hyperlink ref="J114" r:id="rId151" xr:uid="{9AEA258E-8160-45B1-86F8-BD1AE6B44D56}"/>
    <hyperlink ref="I153" r:id="rId152" xr:uid="{39ED7613-EE59-43DC-929B-C1F4062F527D}"/>
    <hyperlink ref="F148" r:id="rId153" xr:uid="{18CFE95F-3988-4750-A2CC-95D866A8197A}"/>
    <hyperlink ref="G148" r:id="rId154" xr:uid="{A31D727A-CC65-4A94-986B-DA052604E6BE}"/>
    <hyperlink ref="A148" r:id="rId155" xr:uid="{5E3B3C65-8FB6-4CA8-8EC4-69D16A1D3491}"/>
    <hyperlink ref="E148" r:id="rId156" xr:uid="{AF36FE3F-920C-4667-B8B7-1BCBEE53425E}"/>
    <hyperlink ref="J155" r:id="rId157" xr:uid="{C3880699-0D0B-4E0B-B638-44C629EDD44E}"/>
    <hyperlink ref="I176" r:id="rId158" xr:uid="{57C733ED-788E-4F41-9D09-46AC21B945E2}"/>
    <hyperlink ref="F171" r:id="rId159" xr:uid="{06E37C74-0821-4EC5-B8FB-2D2610D19D87}"/>
    <hyperlink ref="G171" r:id="rId160" xr:uid="{17EAE894-0F5B-40BA-9F16-BBC939CE9AC9}"/>
    <hyperlink ref="J177" r:id="rId161" xr:uid="{3FF73420-EDC4-480B-98C3-6F37082470EF}"/>
    <hyperlink ref="A171" r:id="rId162" xr:uid="{BF4B4F8E-FD10-4AFA-A6FF-FCAA60B1DA08}"/>
    <hyperlink ref="E171" r:id="rId163" xr:uid="{EBACFF49-26DC-43FA-9F2F-40D42B0A27BA}"/>
    <hyperlink ref="I232" r:id="rId164" xr:uid="{F918FCB0-8180-4DB9-AF0D-3236BE5B89E9}"/>
    <hyperlink ref="F227" r:id="rId165" xr:uid="{40881FE0-C39D-4809-86DA-3C54F92C82AD}"/>
    <hyperlink ref="A227" r:id="rId166" display="W pritchard" xr:uid="{08AD9F4A-6506-45FC-A420-44073703AB87}"/>
    <hyperlink ref="G227" r:id="rId167" xr:uid="{6FD7B7A1-46B8-4AF6-BC41-CD150BE999F0}"/>
    <hyperlink ref="E227" r:id="rId168" xr:uid="{DE9CB3A6-FC41-47B9-BDCB-6F7C2BFCF8B7}"/>
    <hyperlink ref="J235" r:id="rId169" display="W pritchard" xr:uid="{1EA0ED77-157B-44B6-9555-48A87756F804}"/>
    <hyperlink ref="I241" r:id="rId170" xr:uid="{D1FA0053-D1E4-44F4-B6DC-66B3CB327E61}"/>
    <hyperlink ref="F236" r:id="rId171" xr:uid="{A2E45766-1801-4071-A7EC-7A5F9FFEC7E9}"/>
    <hyperlink ref="A236" r:id="rId172" xr:uid="{666C8E46-878F-4E79-9EA1-B30F9070DC46}"/>
    <hyperlink ref="G236" r:id="rId173" xr:uid="{8EECBFA0-5138-44AF-A50C-4E64E91E5B11}"/>
    <hyperlink ref="E236" r:id="rId174" xr:uid="{D71484F0-6289-4029-AE28-90C311D19D7B}"/>
    <hyperlink ref="J243" r:id="rId175" xr:uid="{5EAC9788-2199-45E5-8186-1A4259D26491}"/>
    <hyperlink ref="I249" r:id="rId176" xr:uid="{3B5D5921-568E-4752-962E-0573CD64FEC9}"/>
    <hyperlink ref="F244" r:id="rId177" xr:uid="{A74A9B25-99B2-4F32-96F0-82C032ECD23E}"/>
    <hyperlink ref="A244" r:id="rId178" xr:uid="{B15052F1-2A56-42B7-A82F-122385EB1B14}"/>
    <hyperlink ref="G244" r:id="rId179" xr:uid="{1BC4C876-1036-44A2-8174-F29C43092630}"/>
    <hyperlink ref="E244" r:id="rId180" xr:uid="{11D1F499-90AA-42ED-AA66-42A81596D6D8}"/>
    <hyperlink ref="J251" r:id="rId181" xr:uid="{A8637C0B-0569-4235-BE41-083F1990A987}"/>
    <hyperlink ref="I257" r:id="rId182" xr:uid="{62AB7FF0-BFE4-4274-9A54-A7AA326EEF46}"/>
    <hyperlink ref="F252" r:id="rId183" xr:uid="{791C7039-33BA-4C5A-8CE3-260B5F0E8902}"/>
    <hyperlink ref="A252" r:id="rId184" xr:uid="{526F1935-D726-4BBC-A036-6F366DC570BB}"/>
    <hyperlink ref="G252" r:id="rId185" xr:uid="{B92B1C85-D0F1-4603-B9D6-0A2DEDAD986A}"/>
    <hyperlink ref="E252" r:id="rId186" xr:uid="{DFD3C333-ED3C-4FC3-AA3B-B3AAE0FEE23C}"/>
    <hyperlink ref="J259" r:id="rId187" xr:uid="{42858791-32DC-497B-A0E5-6E5DCCABB5B5}"/>
    <hyperlink ref="I78" r:id="rId188" xr:uid="{2723D609-EE97-4DBB-AE06-52F50E5F8BD4}"/>
    <hyperlink ref="F73" r:id="rId189" xr:uid="{F43DE4CC-FD73-4F2A-8DBF-03B087E106D0}"/>
    <hyperlink ref="G73" r:id="rId190" xr:uid="{C7AB00E9-EB79-43B8-B4F9-AD7233BFF774}"/>
    <hyperlink ref="A73" r:id="rId191" xr:uid="{4217C43E-45E7-49B6-A357-3A2FE7293AAA}"/>
    <hyperlink ref="E73" r:id="rId192" xr:uid="{723788BA-0AB1-4A6E-B1C3-80DC0DC18D87}"/>
    <hyperlink ref="J79" r:id="rId193" xr:uid="{4E2134DF-2C21-441E-9E93-0DF1F6CCF414}"/>
    <hyperlink ref="E74" r:id="rId194" xr:uid="{7D6F2755-863F-4FD6-BEFD-0112F8587DF5}"/>
    <hyperlink ref="I85" r:id="rId195" xr:uid="{7B6B400F-9FD4-46B1-AC69-68B80C2A3A09}"/>
    <hyperlink ref="F80" r:id="rId196" xr:uid="{8D10410E-99E1-4A04-B853-C06A58DEF9EB}"/>
    <hyperlink ref="G80" r:id="rId197" xr:uid="{4E079A88-BF28-4FE7-8DD3-F5A106AE6884}"/>
    <hyperlink ref="A80" r:id="rId198" xr:uid="{F51E2101-7406-4566-A32A-2D957D45C7D0}"/>
    <hyperlink ref="E80" r:id="rId199" xr:uid="{91702C0E-29DD-427F-88AE-05535A585A26}"/>
    <hyperlink ref="J87" r:id="rId200" xr:uid="{757C1340-CC9D-4F31-83FF-3BCEB4C68877}"/>
    <hyperlink ref="A206" r:id="rId201" xr:uid="{DC8FF504-36ED-4084-ABDE-DFBABFDF1A95}"/>
    <hyperlink ref="I120" r:id="rId202" xr:uid="{429274EB-3DC8-4EE2-9FE5-4B63F3D51C2D}"/>
    <hyperlink ref="F115" r:id="rId203" xr:uid="{E947FA25-1F4B-412D-899D-9C37A44B7FFE}"/>
    <hyperlink ref="G115" r:id="rId204" xr:uid="{213321E4-7A62-42C9-8239-8A0D4C11B72D}"/>
    <hyperlink ref="A115" r:id="rId205" xr:uid="{D101841B-7964-47A2-B781-C4815AE5EDD7}"/>
    <hyperlink ref="E115" r:id="rId206" xr:uid="{8FA15831-1E57-48BD-B7A9-A8DDB1163B33}"/>
    <hyperlink ref="J122" r:id="rId207" xr:uid="{F7BEF16E-74E4-43EB-8ED4-95A478AAF327}"/>
    <hyperlink ref="I99" r:id="rId208" xr:uid="{3BEDA4B8-1BFC-48B8-BCE5-0E80897FFE77}"/>
    <hyperlink ref="F94" r:id="rId209" xr:uid="{54256AD6-BD70-47A8-84E7-597D59F6C6B8}"/>
    <hyperlink ref="G94" r:id="rId210" xr:uid="{F11381FE-062B-4F91-B95C-D82081D15457}"/>
    <hyperlink ref="A94" r:id="rId211" xr:uid="{1AB267F2-D542-461A-93AE-8EAE9904F06F}"/>
    <hyperlink ref="E94" r:id="rId212" display="13cM" xr:uid="{F32C5AD9-7FFF-452E-A9FA-893AC1A89886}"/>
    <hyperlink ref="J100" r:id="rId213" xr:uid="{776D6ED9-B70F-4A47-92D5-7C591D96B5BB}"/>
    <hyperlink ref="E95" r:id="rId214" display="https://dnapainter.com/tools/sharedcmv4/14?fbclid=IwAR3wqfKWVRq1DI_x4i7OjYx5ayGhdwQu5Tj-9K3u_CVvBxgEWwX7fHipJPs" xr:uid="{BF5EF700-1F2C-4E2F-B74D-134594F40CE8}"/>
    <hyperlink ref="I47" r:id="rId215" xr:uid="{F9C1C424-1D54-4B87-9BBA-705909EEFB77}"/>
    <hyperlink ref="F42" r:id="rId216" xr:uid="{D8DAC918-61E9-430E-BC33-A66DB31B469C}"/>
    <hyperlink ref="G42" r:id="rId217" xr:uid="{BFD6C1D7-7DFE-494C-AF9C-9DAEFF3F9E3D}"/>
    <hyperlink ref="J49" r:id="rId218" xr:uid="{DC55FEAD-B576-4963-9006-018CB33FC1D9}"/>
    <hyperlink ref="A42" r:id="rId219" xr:uid="{C31D02EB-CF0B-46D7-87C2-731AC515BEEC}"/>
    <hyperlink ref="E42" r:id="rId220" xr:uid="{9B25CDB9-5F73-4C2A-8D88-157B641EDD63}"/>
    <hyperlink ref="E102" r:id="rId221" xr:uid="{78CFD91C-7E19-4C88-9151-C1AB7BA9A41C}"/>
    <hyperlink ref="E109" r:id="rId222" xr:uid="{1264FAD9-DA7C-4E29-9693-6E146688F30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EC181-636D-415E-84B6-50E37F50D54E}">
  <sheetPr codeName="Sheet5">
    <tabColor theme="2" tint="-0.499984740745262"/>
  </sheetPr>
  <dimension ref="A1:J15"/>
  <sheetViews>
    <sheetView topLeftCell="C1" workbookViewId="0">
      <selection activeCell="J15" sqref="J15"/>
    </sheetView>
  </sheetViews>
  <sheetFormatPr defaultRowHeight="14.5" x14ac:dyDescent="0.35"/>
  <cols>
    <col min="1" max="1" width="14.26953125" customWidth="1"/>
    <col min="2" max="2" width="16.6328125" customWidth="1"/>
    <col min="3" max="3" width="21.54296875" customWidth="1"/>
    <col min="4" max="4" width="23.36328125" customWidth="1"/>
    <col min="5" max="5" width="11.453125" style="8" customWidth="1"/>
    <col min="6" max="6" width="23.08984375" customWidth="1"/>
    <col min="7" max="7" width="21.36328125" customWidth="1"/>
    <col min="8" max="8" width="22.08984375" customWidth="1"/>
    <col min="9" max="9" width="22.36328125" customWidth="1"/>
    <col min="10" max="10" width="22.08984375" customWidth="1"/>
    <col min="11" max="11" width="14.08984375" customWidth="1"/>
  </cols>
  <sheetData>
    <row r="1" spans="1:10" x14ac:dyDescent="0.35">
      <c r="A1" s="34" t="s">
        <v>3196</v>
      </c>
      <c r="B1" s="16">
        <f>COUNTIF(I2:I1067,C1)+COUNTIF(I2:I1067,D1)</f>
        <v>1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48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1876</v>
      </c>
      <c r="B3" t="s">
        <v>3</v>
      </c>
      <c r="C3" t="s">
        <v>43</v>
      </c>
      <c r="D3" t="s">
        <v>2080</v>
      </c>
      <c r="E3" s="51" t="s">
        <v>189</v>
      </c>
      <c r="F3" s="33" t="s">
        <v>2070</v>
      </c>
      <c r="G3" s="33" t="s">
        <v>2071</v>
      </c>
      <c r="H3" t="s">
        <v>771</v>
      </c>
      <c r="I3" s="1" t="s">
        <v>2072</v>
      </c>
      <c r="J3" s="3" t="s">
        <v>2070</v>
      </c>
    </row>
    <row r="4" spans="1:10" x14ac:dyDescent="0.35">
      <c r="E4" s="49" t="s">
        <v>216</v>
      </c>
      <c r="I4" t="s">
        <v>2079</v>
      </c>
      <c r="J4" t="s">
        <v>2070</v>
      </c>
    </row>
    <row r="5" spans="1:10" x14ac:dyDescent="0.35">
      <c r="I5" t="s">
        <v>2079</v>
      </c>
      <c r="J5" t="s">
        <v>2072</v>
      </c>
    </row>
    <row r="6" spans="1:10" x14ac:dyDescent="0.35">
      <c r="I6" t="s">
        <v>1890</v>
      </c>
      <c r="J6" t="s">
        <v>2070</v>
      </c>
    </row>
    <row r="7" spans="1:10" x14ac:dyDescent="0.35">
      <c r="I7" t="s">
        <v>718</v>
      </c>
      <c r="J7" t="s">
        <v>2073</v>
      </c>
    </row>
    <row r="8" spans="1:10" x14ac:dyDescent="0.35">
      <c r="I8" t="s">
        <v>383</v>
      </c>
      <c r="J8" t="s">
        <v>2074</v>
      </c>
    </row>
    <row r="9" spans="1:10" x14ac:dyDescent="0.35">
      <c r="I9" t="s">
        <v>345</v>
      </c>
      <c r="J9" t="s">
        <v>2074</v>
      </c>
    </row>
    <row r="10" spans="1:10" x14ac:dyDescent="0.35">
      <c r="I10" t="s">
        <v>346</v>
      </c>
      <c r="J10" t="s">
        <v>2075</v>
      </c>
    </row>
    <row r="11" spans="1:10" x14ac:dyDescent="0.35">
      <c r="I11" t="s">
        <v>1555</v>
      </c>
      <c r="J11" t="s">
        <v>2076</v>
      </c>
    </row>
    <row r="12" spans="1:10" x14ac:dyDescent="0.35">
      <c r="I12" t="s">
        <v>104</v>
      </c>
      <c r="J12" t="s">
        <v>2077</v>
      </c>
    </row>
    <row r="13" spans="1:10" x14ac:dyDescent="0.35">
      <c r="I13" s="38" t="s">
        <v>18</v>
      </c>
      <c r="J13" t="s">
        <v>2078</v>
      </c>
    </row>
    <row r="14" spans="1:10" x14ac:dyDescent="0.35">
      <c r="J14" t="s">
        <v>1887</v>
      </c>
    </row>
    <row r="15" spans="1:10" x14ac:dyDescent="0.35">
      <c r="J15" s="36" t="s">
        <v>1888</v>
      </c>
    </row>
  </sheetData>
  <hyperlinks>
    <hyperlink ref="A1" location="Summary!B5" tooltip="Return to Totals" display="Back to Totals" xr:uid="{14CAFF8C-65EA-49B0-B494-997F13848FB7}"/>
    <hyperlink ref="I13" r:id="rId1" xr:uid="{B3D3C992-561D-4ECC-A190-EA564E06DDF2}"/>
    <hyperlink ref="J15" r:id="rId2" xr:uid="{AC7A8322-E5FF-4A8A-8603-B55BEE7BB21D}"/>
    <hyperlink ref="A3" r:id="rId3" xr:uid="{04417E5C-743E-4A9D-B252-1B09B8775D26}"/>
    <hyperlink ref="F3" r:id="rId4" xr:uid="{5377ED88-1B15-4A39-AF6C-C59AA87440AE}"/>
    <hyperlink ref="G3" r:id="rId5" xr:uid="{45E1FCA1-F105-46EF-9537-41BD0C567C53}"/>
    <hyperlink ref="E3" r:id="rId6" xr:uid="{11197758-4141-4BAF-A13F-6E2B790A3CEE}"/>
    <hyperlink ref="E4" r:id="rId7" xr:uid="{C66DE41D-B28E-447C-A69E-61A102BC7BD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148B5-F7E5-44D5-B721-C0095AA30C89}">
  <sheetPr codeName="Sheet6">
    <tabColor theme="7" tint="0.39997558519241921"/>
  </sheetPr>
  <dimension ref="A1:J193"/>
  <sheetViews>
    <sheetView topLeftCell="A119" workbookViewId="0">
      <selection activeCell="A128" sqref="A128"/>
    </sheetView>
  </sheetViews>
  <sheetFormatPr defaultRowHeight="14.5" x14ac:dyDescent="0.35"/>
  <cols>
    <col min="1" max="1" width="22" customWidth="1"/>
    <col min="2" max="2" width="16" customWidth="1"/>
    <col min="3" max="3" width="23.6328125" customWidth="1"/>
    <col min="4" max="4" width="25.7265625" customWidth="1"/>
    <col min="5" max="5" width="15.36328125" style="8" customWidth="1"/>
    <col min="6" max="6" width="20.7265625" customWidth="1"/>
    <col min="7" max="7" width="16.1796875" customWidth="1"/>
    <col min="8" max="8" width="21.6328125" customWidth="1"/>
    <col min="9" max="9" width="21.36328125" customWidth="1"/>
    <col min="10" max="10" width="22.36328125" customWidth="1"/>
  </cols>
  <sheetData>
    <row r="1" spans="1:10" x14ac:dyDescent="0.35">
      <c r="A1" s="34" t="s">
        <v>3196</v>
      </c>
      <c r="B1" s="16">
        <f>COUNTIF(I2:I1173,C1)+COUNTIF(I2:I1173,D1)</f>
        <v>22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48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2081</v>
      </c>
      <c r="B3" t="s">
        <v>3</v>
      </c>
      <c r="C3" t="s">
        <v>43</v>
      </c>
      <c r="D3" t="s">
        <v>1112</v>
      </c>
      <c r="E3" s="50" t="s">
        <v>156</v>
      </c>
      <c r="F3" s="33" t="s">
        <v>2082</v>
      </c>
      <c r="G3" s="33" t="s">
        <v>2083</v>
      </c>
      <c r="H3" t="s">
        <v>91</v>
      </c>
      <c r="I3" s="1" t="s">
        <v>2038</v>
      </c>
      <c r="J3" s="3" t="s">
        <v>2084</v>
      </c>
    </row>
    <row r="4" spans="1:10" x14ac:dyDescent="0.35">
      <c r="E4" s="49" t="s">
        <v>89</v>
      </c>
      <c r="I4" t="s">
        <v>2040</v>
      </c>
      <c r="J4" t="s">
        <v>2084</v>
      </c>
    </row>
    <row r="5" spans="1:10" x14ac:dyDescent="0.35">
      <c r="I5" t="s">
        <v>192</v>
      </c>
      <c r="J5" t="s">
        <v>2085</v>
      </c>
    </row>
    <row r="6" spans="1:10" x14ac:dyDescent="0.35">
      <c r="I6" t="s">
        <v>193</v>
      </c>
      <c r="J6" t="s">
        <v>2086</v>
      </c>
    </row>
    <row r="7" spans="1:10" x14ac:dyDescent="0.35">
      <c r="I7" t="s">
        <v>142</v>
      </c>
      <c r="J7" t="s">
        <v>2087</v>
      </c>
    </row>
    <row r="8" spans="1:10" x14ac:dyDescent="0.35">
      <c r="I8" t="s">
        <v>98</v>
      </c>
      <c r="J8" t="s">
        <v>2088</v>
      </c>
    </row>
    <row r="9" spans="1:10" x14ac:dyDescent="0.35">
      <c r="I9" t="s">
        <v>100</v>
      </c>
      <c r="J9" t="s">
        <v>2089</v>
      </c>
    </row>
    <row r="10" spans="1:10" x14ac:dyDescent="0.35">
      <c r="I10" t="s">
        <v>104</v>
      </c>
      <c r="J10" t="s">
        <v>2090</v>
      </c>
    </row>
    <row r="11" spans="1:10" x14ac:dyDescent="0.35">
      <c r="I11" s="38" t="s">
        <v>18</v>
      </c>
      <c r="J11" t="s">
        <v>2091</v>
      </c>
    </row>
    <row r="12" spans="1:10" x14ac:dyDescent="0.35">
      <c r="J12" s="36" t="s">
        <v>2092</v>
      </c>
    </row>
    <row r="13" spans="1:10" x14ac:dyDescent="0.35">
      <c r="A13" s="33" t="s">
        <v>2106</v>
      </c>
      <c r="B13" t="s">
        <v>3</v>
      </c>
      <c r="C13" t="s">
        <v>43</v>
      </c>
      <c r="D13" t="s">
        <v>710</v>
      </c>
      <c r="E13" s="49" t="s">
        <v>169</v>
      </c>
      <c r="F13" s="33" t="s">
        <v>2038</v>
      </c>
      <c r="G13" s="33" t="s">
        <v>2039</v>
      </c>
      <c r="H13" t="s">
        <v>413</v>
      </c>
      <c r="I13" s="1" t="s">
        <v>2040</v>
      </c>
      <c r="J13" s="3" t="s">
        <v>2041</v>
      </c>
    </row>
    <row r="14" spans="1:10" x14ac:dyDescent="0.35">
      <c r="E14" s="50" t="s">
        <v>189</v>
      </c>
      <c r="I14" t="s">
        <v>192</v>
      </c>
      <c r="J14" t="s">
        <v>2042</v>
      </c>
    </row>
    <row r="15" spans="1:10" x14ac:dyDescent="0.35">
      <c r="I15" t="s">
        <v>193</v>
      </c>
      <c r="J15" t="s">
        <v>2101</v>
      </c>
    </row>
    <row r="16" spans="1:10" x14ac:dyDescent="0.35">
      <c r="I16" t="s">
        <v>142</v>
      </c>
      <c r="J16" t="s">
        <v>66</v>
      </c>
    </row>
    <row r="17" spans="1:10" x14ac:dyDescent="0.35">
      <c r="I17" t="s">
        <v>98</v>
      </c>
      <c r="J17" t="s">
        <v>2107</v>
      </c>
    </row>
    <row r="18" spans="1:10" x14ac:dyDescent="0.35">
      <c r="I18" t="s">
        <v>100</v>
      </c>
      <c r="J18" t="s">
        <v>2109</v>
      </c>
    </row>
    <row r="19" spans="1:10" x14ac:dyDescent="0.35">
      <c r="I19" t="s">
        <v>104</v>
      </c>
      <c r="J19" t="s">
        <v>2108</v>
      </c>
    </row>
    <row r="20" spans="1:10" x14ac:dyDescent="0.35">
      <c r="I20" s="38" t="s">
        <v>18</v>
      </c>
      <c r="J20" s="36" t="s">
        <v>2110</v>
      </c>
    </row>
    <row r="21" spans="1:10" x14ac:dyDescent="0.35">
      <c r="A21" s="33" t="s">
        <v>3850</v>
      </c>
      <c r="B21" t="s">
        <v>3</v>
      </c>
      <c r="C21" t="s">
        <v>43</v>
      </c>
      <c r="D21" t="s">
        <v>710</v>
      </c>
      <c r="E21" s="49" t="s">
        <v>169</v>
      </c>
      <c r="F21" s="33" t="s">
        <v>2038</v>
      </c>
      <c r="G21" s="33" t="s">
        <v>2039</v>
      </c>
      <c r="H21" t="s">
        <v>413</v>
      </c>
      <c r="I21" s="1" t="s">
        <v>2040</v>
      </c>
      <c r="J21" s="3" t="s">
        <v>2041</v>
      </c>
    </row>
    <row r="22" spans="1:10" x14ac:dyDescent="0.35">
      <c r="E22" s="50"/>
      <c r="I22" t="s">
        <v>192</v>
      </c>
      <c r="J22" t="s">
        <v>2042</v>
      </c>
    </row>
    <row r="23" spans="1:10" x14ac:dyDescent="0.35">
      <c r="I23" t="s">
        <v>193</v>
      </c>
      <c r="J23" t="s">
        <v>2101</v>
      </c>
    </row>
    <row r="24" spans="1:10" x14ac:dyDescent="0.35">
      <c r="I24" t="s">
        <v>142</v>
      </c>
      <c r="J24" t="s">
        <v>66</v>
      </c>
    </row>
    <row r="25" spans="1:10" x14ac:dyDescent="0.35">
      <c r="I25" t="s">
        <v>98</v>
      </c>
      <c r="J25" t="s">
        <v>3851</v>
      </c>
    </row>
    <row r="26" spans="1:10" x14ac:dyDescent="0.35">
      <c r="I26" t="s">
        <v>100</v>
      </c>
      <c r="J26" t="s">
        <v>3852</v>
      </c>
    </row>
    <row r="27" spans="1:10" x14ac:dyDescent="0.35">
      <c r="I27" t="s">
        <v>104</v>
      </c>
      <c r="J27" t="s">
        <v>3851</v>
      </c>
    </row>
    <row r="28" spans="1:10" x14ac:dyDescent="0.35">
      <c r="I28" s="38" t="s">
        <v>18</v>
      </c>
      <c r="J28" s="36" t="s">
        <v>3853</v>
      </c>
    </row>
    <row r="29" spans="1:10" x14ac:dyDescent="0.35">
      <c r="A29" s="33" t="s">
        <v>3854</v>
      </c>
      <c r="B29" t="s">
        <v>3</v>
      </c>
      <c r="C29" t="s">
        <v>43</v>
      </c>
      <c r="D29" t="s">
        <v>710</v>
      </c>
      <c r="E29" s="49" t="s">
        <v>169</v>
      </c>
      <c r="F29" s="33" t="s">
        <v>2038</v>
      </c>
      <c r="G29" s="33" t="s">
        <v>2039</v>
      </c>
      <c r="H29" t="s">
        <v>413</v>
      </c>
      <c r="I29" s="1" t="s">
        <v>2040</v>
      </c>
      <c r="J29" s="3" t="s">
        <v>2041</v>
      </c>
    </row>
    <row r="30" spans="1:10" x14ac:dyDescent="0.35">
      <c r="E30" s="50"/>
      <c r="I30" t="s">
        <v>192</v>
      </c>
      <c r="J30" t="s">
        <v>2042</v>
      </c>
    </row>
    <row r="31" spans="1:10" x14ac:dyDescent="0.35">
      <c r="I31" t="s">
        <v>193</v>
      </c>
      <c r="J31" t="s">
        <v>2084</v>
      </c>
    </row>
    <row r="32" spans="1:10" x14ac:dyDescent="0.35">
      <c r="I32" t="s">
        <v>142</v>
      </c>
      <c r="J32" t="s">
        <v>3855</v>
      </c>
    </row>
    <row r="33" spans="1:10" x14ac:dyDescent="0.35">
      <c r="I33" t="s">
        <v>98</v>
      </c>
      <c r="J33" t="s">
        <v>3856</v>
      </c>
    </row>
    <row r="34" spans="1:10" x14ac:dyDescent="0.35">
      <c r="I34" t="s">
        <v>100</v>
      </c>
      <c r="J34" t="s">
        <v>3857</v>
      </c>
    </row>
    <row r="35" spans="1:10" x14ac:dyDescent="0.35">
      <c r="I35" t="s">
        <v>104</v>
      </c>
      <c r="J35" t="s">
        <v>3858</v>
      </c>
    </row>
    <row r="36" spans="1:10" x14ac:dyDescent="0.35">
      <c r="I36" s="38" t="s">
        <v>18</v>
      </c>
      <c r="J36" s="36" t="s">
        <v>3859</v>
      </c>
    </row>
    <row r="37" spans="1:10" x14ac:dyDescent="0.35">
      <c r="A37" s="33" t="s">
        <v>3860</v>
      </c>
      <c r="B37" t="s">
        <v>3</v>
      </c>
      <c r="C37" t="s">
        <v>43</v>
      </c>
      <c r="D37" t="s">
        <v>710</v>
      </c>
      <c r="E37" s="49" t="s">
        <v>169</v>
      </c>
      <c r="F37" s="33" t="s">
        <v>2038</v>
      </c>
      <c r="G37" s="33" t="s">
        <v>2039</v>
      </c>
      <c r="H37" t="s">
        <v>413</v>
      </c>
      <c r="I37" s="1" t="s">
        <v>2040</v>
      </c>
      <c r="J37" s="3" t="s">
        <v>2041</v>
      </c>
    </row>
    <row r="38" spans="1:10" x14ac:dyDescent="0.35">
      <c r="E38" s="50"/>
      <c r="I38" t="s">
        <v>192</v>
      </c>
      <c r="J38" t="s">
        <v>2042</v>
      </c>
    </row>
    <row r="39" spans="1:10" x14ac:dyDescent="0.35">
      <c r="I39" t="s">
        <v>193</v>
      </c>
      <c r="J39" t="s">
        <v>2101</v>
      </c>
    </row>
    <row r="40" spans="1:10" x14ac:dyDescent="0.35">
      <c r="I40" t="s">
        <v>142</v>
      </c>
      <c r="J40" t="s">
        <v>66</v>
      </c>
    </row>
    <row r="41" spans="1:10" x14ac:dyDescent="0.35">
      <c r="I41" t="s">
        <v>98</v>
      </c>
      <c r="J41" t="s">
        <v>2107</v>
      </c>
    </row>
    <row r="42" spans="1:10" x14ac:dyDescent="0.35">
      <c r="I42" t="s">
        <v>100</v>
      </c>
      <c r="J42" t="s">
        <v>2109</v>
      </c>
    </row>
    <row r="43" spans="1:10" x14ac:dyDescent="0.35">
      <c r="I43" t="s">
        <v>104</v>
      </c>
      <c r="J43" t="s">
        <v>2108</v>
      </c>
    </row>
    <row r="44" spans="1:10" x14ac:dyDescent="0.35">
      <c r="I44" s="38" t="s">
        <v>18</v>
      </c>
      <c r="J44" s="36" t="s">
        <v>3861</v>
      </c>
    </row>
    <row r="45" spans="1:10" x14ac:dyDescent="0.35">
      <c r="A45" s="33" t="s">
        <v>2100</v>
      </c>
      <c r="B45" t="s">
        <v>3</v>
      </c>
      <c r="C45" t="s">
        <v>43</v>
      </c>
      <c r="D45" t="s">
        <v>710</v>
      </c>
      <c r="E45" s="49" t="s">
        <v>340</v>
      </c>
      <c r="F45" s="33" t="s">
        <v>2038</v>
      </c>
      <c r="G45" s="33" t="s">
        <v>2039</v>
      </c>
      <c r="H45" t="s">
        <v>413</v>
      </c>
      <c r="I45" s="1" t="s">
        <v>2040</v>
      </c>
      <c r="J45" s="3" t="s">
        <v>2041</v>
      </c>
    </row>
    <row r="46" spans="1:10" x14ac:dyDescent="0.35">
      <c r="E46" s="50" t="s">
        <v>189</v>
      </c>
      <c r="I46" t="s">
        <v>192</v>
      </c>
      <c r="J46" t="s">
        <v>2042</v>
      </c>
    </row>
    <row r="47" spans="1:10" x14ac:dyDescent="0.35">
      <c r="I47" t="s">
        <v>193</v>
      </c>
      <c r="J47" t="s">
        <v>2101</v>
      </c>
    </row>
    <row r="48" spans="1:10" x14ac:dyDescent="0.35">
      <c r="I48" t="s">
        <v>142</v>
      </c>
      <c r="J48" t="s">
        <v>66</v>
      </c>
    </row>
    <row r="49" spans="1:10" x14ac:dyDescent="0.35">
      <c r="I49" t="s">
        <v>98</v>
      </c>
      <c r="J49" t="s">
        <v>2102</v>
      </c>
    </row>
    <row r="50" spans="1:10" x14ac:dyDescent="0.35">
      <c r="I50" t="s">
        <v>100</v>
      </c>
      <c r="J50" t="s">
        <v>2103</v>
      </c>
    </row>
    <row r="51" spans="1:10" x14ac:dyDescent="0.35">
      <c r="I51" t="s">
        <v>104</v>
      </c>
      <c r="J51" t="s">
        <v>2104</v>
      </c>
    </row>
    <row r="52" spans="1:10" x14ac:dyDescent="0.35">
      <c r="I52" s="38" t="s">
        <v>18</v>
      </c>
      <c r="J52" s="36" t="s">
        <v>2105</v>
      </c>
    </row>
    <row r="53" spans="1:10" x14ac:dyDescent="0.35">
      <c r="A53" s="33" t="s">
        <v>2093</v>
      </c>
      <c r="B53" t="s">
        <v>3</v>
      </c>
      <c r="C53" t="s">
        <v>43</v>
      </c>
      <c r="D53" t="s">
        <v>710</v>
      </c>
      <c r="E53" s="49" t="s">
        <v>909</v>
      </c>
      <c r="F53" s="33" t="s">
        <v>2038</v>
      </c>
      <c r="G53" s="33" t="s">
        <v>2039</v>
      </c>
      <c r="H53" t="s">
        <v>413</v>
      </c>
      <c r="I53" s="1" t="s">
        <v>2040</v>
      </c>
      <c r="J53" s="3" t="s">
        <v>2038</v>
      </c>
    </row>
    <row r="54" spans="1:10" x14ac:dyDescent="0.35">
      <c r="E54" s="50" t="s">
        <v>65</v>
      </c>
      <c r="I54" t="s">
        <v>192</v>
      </c>
      <c r="J54" t="s">
        <v>2094</v>
      </c>
    </row>
    <row r="55" spans="1:10" x14ac:dyDescent="0.35">
      <c r="I55" t="s">
        <v>193</v>
      </c>
      <c r="J55" t="s">
        <v>2084</v>
      </c>
    </row>
    <row r="56" spans="1:10" x14ac:dyDescent="0.35">
      <c r="I56" t="s">
        <v>142</v>
      </c>
      <c r="J56" t="s">
        <v>2095</v>
      </c>
    </row>
    <row r="57" spans="1:10" x14ac:dyDescent="0.35">
      <c r="I57" t="s">
        <v>98</v>
      </c>
      <c r="J57" t="s">
        <v>2096</v>
      </c>
    </row>
    <row r="58" spans="1:10" x14ac:dyDescent="0.35">
      <c r="I58" t="s">
        <v>100</v>
      </c>
      <c r="J58" t="s">
        <v>2097</v>
      </c>
    </row>
    <row r="59" spans="1:10" x14ac:dyDescent="0.35">
      <c r="I59" t="s">
        <v>104</v>
      </c>
      <c r="J59" t="s">
        <v>2098</v>
      </c>
    </row>
    <row r="60" spans="1:10" x14ac:dyDescent="0.35">
      <c r="I60" s="38" t="s">
        <v>18</v>
      </c>
      <c r="J60" s="36" t="s">
        <v>2099</v>
      </c>
    </row>
    <row r="61" spans="1:10" x14ac:dyDescent="0.35">
      <c r="A61" s="33" t="s">
        <v>3862</v>
      </c>
      <c r="B61" t="s">
        <v>3</v>
      </c>
      <c r="C61" t="s">
        <v>43</v>
      </c>
      <c r="D61" t="s">
        <v>710</v>
      </c>
      <c r="E61" s="49" t="s">
        <v>909</v>
      </c>
      <c r="F61" s="33" t="s">
        <v>2038</v>
      </c>
      <c r="G61" s="33" t="s">
        <v>2039</v>
      </c>
      <c r="H61" t="s">
        <v>413</v>
      </c>
      <c r="I61" s="1" t="s">
        <v>2040</v>
      </c>
      <c r="J61" s="3" t="s">
        <v>2041</v>
      </c>
    </row>
    <row r="62" spans="1:10" x14ac:dyDescent="0.35">
      <c r="E62" s="50"/>
      <c r="I62" t="s">
        <v>192</v>
      </c>
      <c r="J62" t="s">
        <v>2042</v>
      </c>
    </row>
    <row r="63" spans="1:10" x14ac:dyDescent="0.35">
      <c r="I63" t="s">
        <v>193</v>
      </c>
      <c r="J63" t="s">
        <v>2101</v>
      </c>
    </row>
    <row r="64" spans="1:10" x14ac:dyDescent="0.35">
      <c r="I64" t="s">
        <v>142</v>
      </c>
      <c r="J64" t="s">
        <v>66</v>
      </c>
    </row>
    <row r="65" spans="1:10" x14ac:dyDescent="0.35">
      <c r="I65" t="s">
        <v>98</v>
      </c>
      <c r="J65" t="s">
        <v>3709</v>
      </c>
    </row>
    <row r="66" spans="1:10" x14ac:dyDescent="0.35">
      <c r="I66" t="s">
        <v>100</v>
      </c>
      <c r="J66" t="s">
        <v>3863</v>
      </c>
    </row>
    <row r="67" spans="1:10" x14ac:dyDescent="0.35">
      <c r="I67" t="s">
        <v>104</v>
      </c>
      <c r="J67" t="s">
        <v>3864</v>
      </c>
    </row>
    <row r="68" spans="1:10" x14ac:dyDescent="0.35">
      <c r="I68" s="38" t="s">
        <v>18</v>
      </c>
      <c r="J68" s="36" t="s">
        <v>3865</v>
      </c>
    </row>
    <row r="69" spans="1:10" x14ac:dyDescent="0.35">
      <c r="A69" s="33" t="s">
        <v>3708</v>
      </c>
      <c r="B69" t="s">
        <v>3</v>
      </c>
      <c r="C69" t="s">
        <v>43</v>
      </c>
      <c r="D69" t="s">
        <v>951</v>
      </c>
      <c r="E69" s="49" t="s">
        <v>179</v>
      </c>
      <c r="F69" s="33" t="s">
        <v>2038</v>
      </c>
      <c r="G69" s="33" t="s">
        <v>2039</v>
      </c>
      <c r="H69" t="s">
        <v>413</v>
      </c>
      <c r="I69" s="1" t="s">
        <v>2040</v>
      </c>
      <c r="J69" s="3" t="s">
        <v>2041</v>
      </c>
    </row>
    <row r="70" spans="1:10" x14ac:dyDescent="0.35">
      <c r="E70" s="50"/>
      <c r="I70" t="s">
        <v>192</v>
      </c>
      <c r="J70" t="s">
        <v>2042</v>
      </c>
    </row>
    <row r="71" spans="1:10" x14ac:dyDescent="0.35">
      <c r="I71" t="s">
        <v>193</v>
      </c>
      <c r="J71" t="s">
        <v>2101</v>
      </c>
    </row>
    <row r="72" spans="1:10" x14ac:dyDescent="0.35">
      <c r="I72" t="s">
        <v>142</v>
      </c>
      <c r="J72" t="s">
        <v>66</v>
      </c>
    </row>
    <row r="73" spans="1:10" x14ac:dyDescent="0.35">
      <c r="I73" t="s">
        <v>98</v>
      </c>
      <c r="J73" t="s">
        <v>3709</v>
      </c>
    </row>
    <row r="74" spans="1:10" x14ac:dyDescent="0.35">
      <c r="I74" t="s">
        <v>100</v>
      </c>
      <c r="J74" t="s">
        <v>3710</v>
      </c>
    </row>
    <row r="75" spans="1:10" x14ac:dyDescent="0.35">
      <c r="I75" t="s">
        <v>104</v>
      </c>
      <c r="J75" t="s">
        <v>3711</v>
      </c>
    </row>
    <row r="76" spans="1:10" x14ac:dyDescent="0.35">
      <c r="I76" s="38" t="s">
        <v>18</v>
      </c>
      <c r="J76" t="s">
        <v>3712</v>
      </c>
    </row>
    <row r="77" spans="1:10" x14ac:dyDescent="0.35">
      <c r="I77" s="37"/>
      <c r="J77" s="36" t="s">
        <v>3713</v>
      </c>
    </row>
    <row r="78" spans="1:10" x14ac:dyDescent="0.35">
      <c r="A78" s="33" t="s">
        <v>3875</v>
      </c>
      <c r="B78" t="s">
        <v>3</v>
      </c>
      <c r="C78" t="s">
        <v>43</v>
      </c>
      <c r="D78" t="s">
        <v>710</v>
      </c>
      <c r="E78" s="49" t="s">
        <v>179</v>
      </c>
      <c r="F78" s="33" t="s">
        <v>2038</v>
      </c>
      <c r="G78" s="33" t="s">
        <v>2039</v>
      </c>
      <c r="H78" t="s">
        <v>413</v>
      </c>
      <c r="I78" s="1" t="s">
        <v>2040</v>
      </c>
      <c r="J78" s="3" t="s">
        <v>2041</v>
      </c>
    </row>
    <row r="79" spans="1:10" x14ac:dyDescent="0.35">
      <c r="E79" s="50"/>
      <c r="I79" t="s">
        <v>192</v>
      </c>
      <c r="J79" t="s">
        <v>2042</v>
      </c>
    </row>
    <row r="80" spans="1:10" x14ac:dyDescent="0.35">
      <c r="I80" t="s">
        <v>193</v>
      </c>
      <c r="J80" t="s">
        <v>2101</v>
      </c>
    </row>
    <row r="81" spans="1:10" x14ac:dyDescent="0.35">
      <c r="I81" t="s">
        <v>142</v>
      </c>
      <c r="J81" t="s">
        <v>66</v>
      </c>
    </row>
    <row r="82" spans="1:10" x14ac:dyDescent="0.35">
      <c r="I82" t="s">
        <v>98</v>
      </c>
      <c r="J82" t="s">
        <v>3851</v>
      </c>
    </row>
    <row r="83" spans="1:10" x14ac:dyDescent="0.35">
      <c r="I83" t="s">
        <v>100</v>
      </c>
      <c r="J83" t="s">
        <v>3852</v>
      </c>
    </row>
    <row r="84" spans="1:10" x14ac:dyDescent="0.35">
      <c r="I84" t="s">
        <v>104</v>
      </c>
      <c r="J84" t="s">
        <v>3851</v>
      </c>
    </row>
    <row r="85" spans="1:10" x14ac:dyDescent="0.35">
      <c r="I85" s="38" t="s">
        <v>18</v>
      </c>
      <c r="J85" t="s">
        <v>3853</v>
      </c>
    </row>
    <row r="86" spans="1:10" x14ac:dyDescent="0.35">
      <c r="I86" s="37"/>
      <c r="J86" s="36" t="s">
        <v>3875</v>
      </c>
    </row>
    <row r="87" spans="1:10" x14ac:dyDescent="0.35">
      <c r="A87" s="33" t="s">
        <v>3878</v>
      </c>
      <c r="B87" t="s">
        <v>3</v>
      </c>
      <c r="C87" t="s">
        <v>43</v>
      </c>
      <c r="D87" t="s">
        <v>710</v>
      </c>
      <c r="E87" s="49" t="s">
        <v>179</v>
      </c>
      <c r="F87" s="33" t="s">
        <v>2038</v>
      </c>
      <c r="G87" s="33" t="s">
        <v>2039</v>
      </c>
      <c r="H87" t="s">
        <v>413</v>
      </c>
      <c r="I87" s="1" t="s">
        <v>2040</v>
      </c>
      <c r="J87" s="3" t="s">
        <v>2041</v>
      </c>
    </row>
    <row r="88" spans="1:10" x14ac:dyDescent="0.35">
      <c r="E88" s="50"/>
      <c r="I88" t="s">
        <v>192</v>
      </c>
      <c r="J88" t="s">
        <v>2042</v>
      </c>
    </row>
    <row r="89" spans="1:10" x14ac:dyDescent="0.35">
      <c r="I89" t="s">
        <v>193</v>
      </c>
      <c r="J89" t="s">
        <v>2101</v>
      </c>
    </row>
    <row r="90" spans="1:10" x14ac:dyDescent="0.35">
      <c r="I90" t="s">
        <v>142</v>
      </c>
      <c r="J90" t="s">
        <v>66</v>
      </c>
    </row>
    <row r="91" spans="1:10" x14ac:dyDescent="0.35">
      <c r="I91" t="s">
        <v>98</v>
      </c>
      <c r="J91" t="s">
        <v>2107</v>
      </c>
    </row>
    <row r="92" spans="1:10" x14ac:dyDescent="0.35">
      <c r="I92" t="s">
        <v>100</v>
      </c>
      <c r="J92" t="s">
        <v>2109</v>
      </c>
    </row>
    <row r="93" spans="1:10" x14ac:dyDescent="0.35">
      <c r="I93" t="s">
        <v>104</v>
      </c>
      <c r="J93" t="s">
        <v>2108</v>
      </c>
    </row>
    <row r="94" spans="1:10" x14ac:dyDescent="0.35">
      <c r="I94" s="38" t="s">
        <v>18</v>
      </c>
      <c r="J94" s="36" t="s">
        <v>3879</v>
      </c>
    </row>
    <row r="95" spans="1:10" x14ac:dyDescent="0.35">
      <c r="A95" s="33" t="s">
        <v>3882</v>
      </c>
      <c r="B95" t="s">
        <v>3</v>
      </c>
      <c r="C95" t="s">
        <v>43</v>
      </c>
      <c r="D95" t="s">
        <v>710</v>
      </c>
      <c r="E95" s="49" t="s">
        <v>179</v>
      </c>
      <c r="F95" s="33" t="s">
        <v>2038</v>
      </c>
      <c r="G95" s="33" t="s">
        <v>2039</v>
      </c>
      <c r="H95" t="s">
        <v>413</v>
      </c>
      <c r="I95" s="1" t="s">
        <v>2040</v>
      </c>
      <c r="J95" s="3" t="s">
        <v>2041</v>
      </c>
    </row>
    <row r="96" spans="1:10" x14ac:dyDescent="0.35">
      <c r="E96" s="50"/>
      <c r="I96" t="s">
        <v>192</v>
      </c>
      <c r="J96" t="s">
        <v>2042</v>
      </c>
    </row>
    <row r="97" spans="1:10" x14ac:dyDescent="0.35">
      <c r="I97" t="s">
        <v>193</v>
      </c>
      <c r="J97" t="s">
        <v>2101</v>
      </c>
    </row>
    <row r="98" spans="1:10" x14ac:dyDescent="0.35">
      <c r="I98" t="s">
        <v>142</v>
      </c>
      <c r="J98" t="s">
        <v>66</v>
      </c>
    </row>
    <row r="99" spans="1:10" x14ac:dyDescent="0.35">
      <c r="I99" t="s">
        <v>98</v>
      </c>
      <c r="J99" t="s">
        <v>2107</v>
      </c>
    </row>
    <row r="100" spans="1:10" x14ac:dyDescent="0.35">
      <c r="I100" t="s">
        <v>100</v>
      </c>
      <c r="J100" t="s">
        <v>2109</v>
      </c>
    </row>
    <row r="101" spans="1:10" x14ac:dyDescent="0.35">
      <c r="I101" t="s">
        <v>104</v>
      </c>
      <c r="J101" t="s">
        <v>3883</v>
      </c>
    </row>
    <row r="102" spans="1:10" x14ac:dyDescent="0.35">
      <c r="I102" s="38" t="s">
        <v>18</v>
      </c>
      <c r="J102" s="36" t="s">
        <v>3882</v>
      </c>
    </row>
    <row r="103" spans="1:10" x14ac:dyDescent="0.35">
      <c r="A103" s="33" t="s">
        <v>2055</v>
      </c>
      <c r="B103" t="s">
        <v>3</v>
      </c>
      <c r="C103" t="s">
        <v>43</v>
      </c>
      <c r="D103" t="s">
        <v>951</v>
      </c>
      <c r="E103" s="49" t="s">
        <v>216</v>
      </c>
      <c r="F103" s="33" t="s">
        <v>2038</v>
      </c>
      <c r="G103" s="33" t="s">
        <v>2039</v>
      </c>
      <c r="H103" t="s">
        <v>413</v>
      </c>
      <c r="I103" s="1" t="s">
        <v>2040</v>
      </c>
      <c r="J103" s="3" t="s">
        <v>2038</v>
      </c>
    </row>
    <row r="104" spans="1:10" x14ac:dyDescent="0.35">
      <c r="E104" s="50" t="s">
        <v>72</v>
      </c>
      <c r="I104" t="s">
        <v>192</v>
      </c>
      <c r="J104" t="s">
        <v>2041</v>
      </c>
    </row>
    <row r="105" spans="1:10" x14ac:dyDescent="0.35">
      <c r="I105" t="s">
        <v>193</v>
      </c>
      <c r="J105" t="s">
        <v>2042</v>
      </c>
    </row>
    <row r="106" spans="1:10" x14ac:dyDescent="0.35">
      <c r="I106" t="s">
        <v>142</v>
      </c>
      <c r="J106" t="s">
        <v>2041</v>
      </c>
    </row>
    <row r="107" spans="1:10" x14ac:dyDescent="0.35">
      <c r="I107" t="s">
        <v>98</v>
      </c>
      <c r="J107" t="s">
        <v>2056</v>
      </c>
    </row>
    <row r="108" spans="1:10" x14ac:dyDescent="0.35">
      <c r="I108" t="s">
        <v>100</v>
      </c>
      <c r="J108" t="s">
        <v>2057</v>
      </c>
    </row>
    <row r="109" spans="1:10" x14ac:dyDescent="0.35">
      <c r="I109" t="s">
        <v>104</v>
      </c>
      <c r="J109" t="s">
        <v>2058</v>
      </c>
    </row>
    <row r="110" spans="1:10" x14ac:dyDescent="0.35">
      <c r="I110" s="38" t="s">
        <v>18</v>
      </c>
      <c r="J110" t="s">
        <v>2059</v>
      </c>
    </row>
    <row r="111" spans="1:10" x14ac:dyDescent="0.35">
      <c r="J111" s="36" t="s">
        <v>2060</v>
      </c>
    </row>
    <row r="112" spans="1:10" x14ac:dyDescent="0.35">
      <c r="A112" s="33" t="s">
        <v>3915</v>
      </c>
      <c r="B112" t="s">
        <v>3</v>
      </c>
      <c r="C112" t="s">
        <v>43</v>
      </c>
      <c r="D112" t="s">
        <v>951</v>
      </c>
      <c r="E112" s="49" t="s">
        <v>216</v>
      </c>
      <c r="F112" s="33" t="s">
        <v>2038</v>
      </c>
      <c r="G112" s="33" t="s">
        <v>2039</v>
      </c>
      <c r="H112" t="s">
        <v>413</v>
      </c>
      <c r="I112" s="1" t="s">
        <v>2040</v>
      </c>
      <c r="J112" s="3" t="s">
        <v>2038</v>
      </c>
    </row>
    <row r="113" spans="1:10" x14ac:dyDescent="0.35">
      <c r="E113" s="50"/>
      <c r="I113" t="s">
        <v>192</v>
      </c>
      <c r="J113" t="s">
        <v>2041</v>
      </c>
    </row>
    <row r="114" spans="1:10" x14ac:dyDescent="0.35">
      <c r="I114" t="s">
        <v>193</v>
      </c>
      <c r="J114" t="s">
        <v>2042</v>
      </c>
    </row>
    <row r="115" spans="1:10" x14ac:dyDescent="0.35">
      <c r="I115" t="s">
        <v>142</v>
      </c>
      <c r="J115" t="s">
        <v>2084</v>
      </c>
    </row>
    <row r="116" spans="1:10" x14ac:dyDescent="0.35">
      <c r="I116" t="s">
        <v>98</v>
      </c>
      <c r="J116" t="s">
        <v>3855</v>
      </c>
    </row>
    <row r="117" spans="1:10" x14ac:dyDescent="0.35">
      <c r="I117" t="s">
        <v>100</v>
      </c>
      <c r="J117" t="s">
        <v>3856</v>
      </c>
    </row>
    <row r="118" spans="1:10" x14ac:dyDescent="0.35">
      <c r="I118" t="s">
        <v>104</v>
      </c>
      <c r="J118" t="s">
        <v>3857</v>
      </c>
    </row>
    <row r="119" spans="1:10" x14ac:dyDescent="0.35">
      <c r="I119" s="38" t="s">
        <v>18</v>
      </c>
      <c r="J119" s="36" t="s">
        <v>3914</v>
      </c>
    </row>
    <row r="120" spans="1:10" x14ac:dyDescent="0.35">
      <c r="A120" s="33" t="s">
        <v>4390</v>
      </c>
      <c r="B120" t="s">
        <v>3</v>
      </c>
      <c r="C120" t="s">
        <v>43</v>
      </c>
      <c r="D120" t="s">
        <v>2069</v>
      </c>
      <c r="E120" s="34" t="s">
        <v>72</v>
      </c>
      <c r="F120" s="33" t="s">
        <v>2038</v>
      </c>
      <c r="G120" s="33" t="s">
        <v>2039</v>
      </c>
      <c r="H120" t="s">
        <v>413</v>
      </c>
      <c r="I120" s="1" t="s">
        <v>2040</v>
      </c>
      <c r="J120" s="3" t="s">
        <v>2038</v>
      </c>
    </row>
    <row r="121" spans="1:10" x14ac:dyDescent="0.35">
      <c r="E121" s="50"/>
      <c r="I121" t="s">
        <v>192</v>
      </c>
      <c r="J121" t="s">
        <v>2062</v>
      </c>
    </row>
    <row r="122" spans="1:10" x14ac:dyDescent="0.35">
      <c r="I122" t="s">
        <v>193</v>
      </c>
      <c r="J122" t="s">
        <v>4391</v>
      </c>
    </row>
    <row r="123" spans="1:10" x14ac:dyDescent="0.35">
      <c r="I123" t="s">
        <v>142</v>
      </c>
      <c r="J123" t="s">
        <v>4392</v>
      </c>
    </row>
    <row r="124" spans="1:10" x14ac:dyDescent="0.35">
      <c r="I124" t="s">
        <v>98</v>
      </c>
      <c r="J124" t="s">
        <v>4393</v>
      </c>
    </row>
    <row r="125" spans="1:10" x14ac:dyDescent="0.35">
      <c r="I125" t="s">
        <v>100</v>
      </c>
      <c r="J125" t="s">
        <v>4394</v>
      </c>
    </row>
    <row r="126" spans="1:10" x14ac:dyDescent="0.35">
      <c r="I126" t="s">
        <v>104</v>
      </c>
      <c r="J126" t="s">
        <v>4395</v>
      </c>
    </row>
    <row r="127" spans="1:10" x14ac:dyDescent="0.35">
      <c r="I127" s="38" t="s">
        <v>18</v>
      </c>
      <c r="J127" s="36" t="s">
        <v>4396</v>
      </c>
    </row>
    <row r="128" spans="1:10" x14ac:dyDescent="0.35">
      <c r="A128" s="33" t="s">
        <v>4398</v>
      </c>
      <c r="B128" t="s">
        <v>3</v>
      </c>
      <c r="C128" t="s">
        <v>43</v>
      </c>
      <c r="D128" t="s">
        <v>2069</v>
      </c>
      <c r="E128" s="49" t="s">
        <v>65</v>
      </c>
      <c r="F128" s="33" t="s">
        <v>2038</v>
      </c>
      <c r="G128" s="33" t="s">
        <v>2039</v>
      </c>
      <c r="H128" t="s">
        <v>413</v>
      </c>
      <c r="I128" s="1" t="s">
        <v>2040</v>
      </c>
      <c r="J128" s="3" t="s">
        <v>2038</v>
      </c>
    </row>
    <row r="129" spans="1:10" x14ac:dyDescent="0.35">
      <c r="E129" s="50"/>
      <c r="I129" t="s">
        <v>192</v>
      </c>
      <c r="J129" t="s">
        <v>2062</v>
      </c>
    </row>
    <row r="130" spans="1:10" x14ac:dyDescent="0.35">
      <c r="I130" t="s">
        <v>193</v>
      </c>
      <c r="J130" t="s">
        <v>4391</v>
      </c>
    </row>
    <row r="131" spans="1:10" x14ac:dyDescent="0.35">
      <c r="I131" t="s">
        <v>142</v>
      </c>
      <c r="J131" t="s">
        <v>4392</v>
      </c>
    </row>
    <row r="132" spans="1:10" x14ac:dyDescent="0.35">
      <c r="I132" t="s">
        <v>98</v>
      </c>
      <c r="J132" t="s">
        <v>4393</v>
      </c>
    </row>
    <row r="133" spans="1:10" x14ac:dyDescent="0.35">
      <c r="I133" t="s">
        <v>100</v>
      </c>
      <c r="J133" t="s">
        <v>4394</v>
      </c>
    </row>
    <row r="134" spans="1:10" x14ac:dyDescent="0.35">
      <c r="I134" t="s">
        <v>104</v>
      </c>
      <c r="J134" t="s">
        <v>4395</v>
      </c>
    </row>
    <row r="135" spans="1:10" x14ac:dyDescent="0.35">
      <c r="I135" s="38" t="s">
        <v>18</v>
      </c>
      <c r="J135" s="36" t="s">
        <v>4399</v>
      </c>
    </row>
    <row r="136" spans="1:10" x14ac:dyDescent="0.35">
      <c r="A136" s="33" t="s">
        <v>4397</v>
      </c>
      <c r="B136" t="s">
        <v>3</v>
      </c>
      <c r="C136" t="s">
        <v>43</v>
      </c>
      <c r="D136" t="s">
        <v>429</v>
      </c>
      <c r="E136" s="49" t="s">
        <v>65</v>
      </c>
      <c r="F136" s="33" t="s">
        <v>2038</v>
      </c>
      <c r="G136" s="33" t="s">
        <v>2039</v>
      </c>
      <c r="H136" t="s">
        <v>413</v>
      </c>
      <c r="I136" s="1" t="s">
        <v>2040</v>
      </c>
      <c r="J136" s="3" t="s">
        <v>2038</v>
      </c>
    </row>
    <row r="137" spans="1:10" x14ac:dyDescent="0.35">
      <c r="E137" s="50"/>
      <c r="I137" t="s">
        <v>192</v>
      </c>
      <c r="J137" t="s">
        <v>2062</v>
      </c>
    </row>
    <row r="138" spans="1:10" x14ac:dyDescent="0.35">
      <c r="I138" t="s">
        <v>193</v>
      </c>
      <c r="J138" t="s">
        <v>4391</v>
      </c>
    </row>
    <row r="139" spans="1:10" x14ac:dyDescent="0.35">
      <c r="I139" t="s">
        <v>142</v>
      </c>
      <c r="J139" t="s">
        <v>4392</v>
      </c>
    </row>
    <row r="140" spans="1:10" x14ac:dyDescent="0.35">
      <c r="I140" t="s">
        <v>98</v>
      </c>
      <c r="J140" t="s">
        <v>4393</v>
      </c>
    </row>
    <row r="141" spans="1:10" x14ac:dyDescent="0.35">
      <c r="I141" t="s">
        <v>100</v>
      </c>
      <c r="J141" t="s">
        <v>4394</v>
      </c>
    </row>
    <row r="142" spans="1:10" x14ac:dyDescent="0.35">
      <c r="I142" t="s">
        <v>104</v>
      </c>
      <c r="J142" s="36" t="s">
        <v>4395</v>
      </c>
    </row>
    <row r="143" spans="1:10" x14ac:dyDescent="0.35">
      <c r="I143" s="38" t="s">
        <v>18</v>
      </c>
    </row>
    <row r="144" spans="1:10" x14ac:dyDescent="0.35">
      <c r="A144" s="33" t="s">
        <v>2037</v>
      </c>
      <c r="B144" t="s">
        <v>3</v>
      </c>
      <c r="C144" t="s">
        <v>43</v>
      </c>
      <c r="D144" t="s">
        <v>429</v>
      </c>
      <c r="E144" s="49" t="s">
        <v>65</v>
      </c>
      <c r="F144" s="33" t="s">
        <v>2038</v>
      </c>
      <c r="G144" s="33" t="s">
        <v>2039</v>
      </c>
      <c r="H144" t="s">
        <v>413</v>
      </c>
      <c r="I144" s="1" t="s">
        <v>2040</v>
      </c>
      <c r="J144" s="3" t="s">
        <v>2041</v>
      </c>
    </row>
    <row r="145" spans="1:10" x14ac:dyDescent="0.35">
      <c r="E145" s="20"/>
      <c r="I145" t="s">
        <v>192</v>
      </c>
      <c r="J145" t="s">
        <v>2042</v>
      </c>
    </row>
    <row r="146" spans="1:10" x14ac:dyDescent="0.35">
      <c r="I146" t="s">
        <v>193</v>
      </c>
      <c r="J146" t="s">
        <v>2043</v>
      </c>
    </row>
    <row r="147" spans="1:10" x14ac:dyDescent="0.35">
      <c r="I147" t="s">
        <v>142</v>
      </c>
      <c r="J147" t="s">
        <v>2044</v>
      </c>
    </row>
    <row r="148" spans="1:10" x14ac:dyDescent="0.35">
      <c r="I148" t="s">
        <v>98</v>
      </c>
      <c r="J148" t="s">
        <v>2045</v>
      </c>
    </row>
    <row r="149" spans="1:10" x14ac:dyDescent="0.35">
      <c r="I149" t="s">
        <v>100</v>
      </c>
      <c r="J149" t="s">
        <v>2046</v>
      </c>
    </row>
    <row r="150" spans="1:10" x14ac:dyDescent="0.35">
      <c r="I150" t="s">
        <v>104</v>
      </c>
      <c r="J150" s="36" t="s">
        <v>2037</v>
      </c>
    </row>
    <row r="151" spans="1:10" x14ac:dyDescent="0.35">
      <c r="I151" s="38" t="s">
        <v>18</v>
      </c>
    </row>
    <row r="152" spans="1:10" x14ac:dyDescent="0.35">
      <c r="A152" s="33" t="s">
        <v>3920</v>
      </c>
      <c r="B152" t="s">
        <v>3</v>
      </c>
      <c r="C152" t="s">
        <v>43</v>
      </c>
      <c r="D152" t="s">
        <v>429</v>
      </c>
      <c r="E152" s="49" t="s">
        <v>65</v>
      </c>
      <c r="F152" s="33" t="s">
        <v>2038</v>
      </c>
      <c r="G152" s="33" t="s">
        <v>2039</v>
      </c>
      <c r="H152" t="s">
        <v>413</v>
      </c>
      <c r="I152" s="1" t="s">
        <v>2040</v>
      </c>
      <c r="J152" s="3" t="s">
        <v>2041</v>
      </c>
    </row>
    <row r="153" spans="1:10" x14ac:dyDescent="0.35">
      <c r="E153" s="20"/>
      <c r="I153" t="s">
        <v>192</v>
      </c>
      <c r="J153" t="s">
        <v>2042</v>
      </c>
    </row>
    <row r="154" spans="1:10" x14ac:dyDescent="0.35">
      <c r="I154" t="s">
        <v>193</v>
      </c>
      <c r="J154" t="s">
        <v>2043</v>
      </c>
    </row>
    <row r="155" spans="1:10" x14ac:dyDescent="0.35">
      <c r="I155" t="s">
        <v>142</v>
      </c>
      <c r="J155" t="s">
        <v>2044</v>
      </c>
    </row>
    <row r="156" spans="1:10" x14ac:dyDescent="0.35">
      <c r="I156" t="s">
        <v>98</v>
      </c>
      <c r="J156" t="s">
        <v>2045</v>
      </c>
    </row>
    <row r="157" spans="1:10" x14ac:dyDescent="0.35">
      <c r="I157" t="s">
        <v>100</v>
      </c>
      <c r="J157" t="s">
        <v>2046</v>
      </c>
    </row>
    <row r="158" spans="1:10" x14ac:dyDescent="0.35">
      <c r="I158" t="s">
        <v>104</v>
      </c>
      <c r="J158" s="36" t="s">
        <v>3921</v>
      </c>
    </row>
    <row r="159" spans="1:10" x14ac:dyDescent="0.35">
      <c r="I159" s="38" t="s">
        <v>18</v>
      </c>
    </row>
    <row r="160" spans="1:10" x14ac:dyDescent="0.35">
      <c r="A160" s="33" t="s">
        <v>2061</v>
      </c>
      <c r="B160" t="s">
        <v>3</v>
      </c>
      <c r="C160" t="s">
        <v>43</v>
      </c>
      <c r="D160" t="s">
        <v>2069</v>
      </c>
      <c r="E160" s="49" t="s">
        <v>65</v>
      </c>
      <c r="F160" s="33" t="s">
        <v>2038</v>
      </c>
      <c r="G160" s="33" t="s">
        <v>2039</v>
      </c>
      <c r="H160" t="s">
        <v>413</v>
      </c>
      <c r="I160" s="1" t="s">
        <v>2040</v>
      </c>
      <c r="J160" s="3" t="s">
        <v>2041</v>
      </c>
    </row>
    <row r="161" spans="1:10" x14ac:dyDescent="0.35">
      <c r="E161" s="20"/>
      <c r="I161" t="s">
        <v>192</v>
      </c>
      <c r="J161" t="s">
        <v>2062</v>
      </c>
    </row>
    <row r="162" spans="1:10" x14ac:dyDescent="0.35">
      <c r="I162" t="s">
        <v>193</v>
      </c>
      <c r="J162" t="s">
        <v>2063</v>
      </c>
    </row>
    <row r="163" spans="1:10" x14ac:dyDescent="0.35">
      <c r="I163" t="s">
        <v>142</v>
      </c>
      <c r="J163" t="s">
        <v>2064</v>
      </c>
    </row>
    <row r="164" spans="1:10" x14ac:dyDescent="0.35">
      <c r="I164" t="s">
        <v>98</v>
      </c>
      <c r="J164" t="s">
        <v>2065</v>
      </c>
    </row>
    <row r="165" spans="1:10" x14ac:dyDescent="0.35">
      <c r="I165" t="s">
        <v>100</v>
      </c>
      <c r="J165" t="s">
        <v>2066</v>
      </c>
    </row>
    <row r="166" spans="1:10" x14ac:dyDescent="0.35">
      <c r="I166" t="s">
        <v>104</v>
      </c>
      <c r="J166" t="s">
        <v>2068</v>
      </c>
    </row>
    <row r="167" spans="1:10" x14ac:dyDescent="0.35">
      <c r="I167" s="38" t="s">
        <v>18</v>
      </c>
      <c r="J167" s="36" t="s">
        <v>2067</v>
      </c>
    </row>
    <row r="168" spans="1:10" x14ac:dyDescent="0.35">
      <c r="A168" s="33" t="s">
        <v>3941</v>
      </c>
      <c r="B168" t="s">
        <v>3</v>
      </c>
      <c r="C168" t="s">
        <v>43</v>
      </c>
      <c r="D168" t="s">
        <v>760</v>
      </c>
      <c r="E168" s="34" t="s">
        <v>89</v>
      </c>
      <c r="F168" s="33" t="s">
        <v>3950</v>
      </c>
      <c r="G168" s="33" t="s">
        <v>3951</v>
      </c>
      <c r="H168" t="s">
        <v>3942</v>
      </c>
      <c r="I168" s="1" t="s">
        <v>2082</v>
      </c>
      <c r="J168" s="3" t="s">
        <v>3949</v>
      </c>
    </row>
    <row r="169" spans="1:10" x14ac:dyDescent="0.35">
      <c r="E169" s="20"/>
      <c r="I169" t="s">
        <v>2082</v>
      </c>
      <c r="J169" t="s">
        <v>3948</v>
      </c>
    </row>
    <row r="170" spans="1:10" x14ac:dyDescent="0.35">
      <c r="I170" t="s">
        <v>2038</v>
      </c>
      <c r="J170" t="s">
        <v>2084</v>
      </c>
    </row>
    <row r="171" spans="1:10" x14ac:dyDescent="0.35">
      <c r="I171" t="s">
        <v>2040</v>
      </c>
      <c r="J171" t="s">
        <v>3947</v>
      </c>
    </row>
    <row r="172" spans="1:10" x14ac:dyDescent="0.35">
      <c r="I172" t="s">
        <v>192</v>
      </c>
      <c r="J172" t="s">
        <v>2084</v>
      </c>
    </row>
    <row r="173" spans="1:10" x14ac:dyDescent="0.35">
      <c r="I173" t="s">
        <v>193</v>
      </c>
      <c r="J173" t="s">
        <v>2084</v>
      </c>
    </row>
    <row r="174" spans="1:10" x14ac:dyDescent="0.35">
      <c r="I174" t="s">
        <v>142</v>
      </c>
      <c r="J174" t="s">
        <v>3946</v>
      </c>
    </row>
    <row r="175" spans="1:10" x14ac:dyDescent="0.35">
      <c r="I175" t="s">
        <v>98</v>
      </c>
      <c r="J175" t="s">
        <v>3945</v>
      </c>
    </row>
    <row r="176" spans="1:10" x14ac:dyDescent="0.35">
      <c r="I176" t="s">
        <v>100</v>
      </c>
      <c r="J176" t="s">
        <v>3944</v>
      </c>
    </row>
    <row r="177" spans="1:10" x14ac:dyDescent="0.35">
      <c r="I177" t="s">
        <v>104</v>
      </c>
      <c r="J177" t="s">
        <v>3943</v>
      </c>
    </row>
    <row r="178" spans="1:10" x14ac:dyDescent="0.35">
      <c r="I178" s="38" t="s">
        <v>18</v>
      </c>
      <c r="J178" s="36" t="s">
        <v>3943</v>
      </c>
    </row>
    <row r="179" spans="1:10" x14ac:dyDescent="0.35">
      <c r="A179" s="33" t="s">
        <v>4341</v>
      </c>
      <c r="B179" s="1" t="s">
        <v>315</v>
      </c>
      <c r="C179" t="s">
        <v>184</v>
      </c>
      <c r="D179" t="s">
        <v>4354</v>
      </c>
      <c r="E179" s="18" t="s">
        <v>189</v>
      </c>
      <c r="F179" s="33" t="s">
        <v>4336</v>
      </c>
      <c r="G179" s="33" t="s">
        <v>4337</v>
      </c>
      <c r="H179" t="s">
        <v>4335</v>
      </c>
      <c r="I179" s="1" t="s">
        <v>4338</v>
      </c>
      <c r="J179" s="3" t="s">
        <v>4338</v>
      </c>
    </row>
    <row r="180" spans="1:10" x14ac:dyDescent="0.35">
      <c r="I180" t="s">
        <v>3950</v>
      </c>
      <c r="J180" t="s">
        <v>4342</v>
      </c>
    </row>
    <row r="181" spans="1:10" x14ac:dyDescent="0.35">
      <c r="I181" t="s">
        <v>3950</v>
      </c>
      <c r="J181" t="s">
        <v>4343</v>
      </c>
    </row>
    <row r="182" spans="1:10" x14ac:dyDescent="0.35">
      <c r="I182" t="s">
        <v>2082</v>
      </c>
      <c r="J182" t="s">
        <v>3950</v>
      </c>
    </row>
    <row r="183" spans="1:10" x14ac:dyDescent="0.35">
      <c r="I183" t="s">
        <v>2082</v>
      </c>
      <c r="J183" t="s">
        <v>4344</v>
      </c>
    </row>
    <row r="184" spans="1:10" x14ac:dyDescent="0.35">
      <c r="I184" t="s">
        <v>2038</v>
      </c>
      <c r="J184" t="s">
        <v>4345</v>
      </c>
    </row>
    <row r="185" spans="1:10" x14ac:dyDescent="0.35">
      <c r="I185" t="s">
        <v>2040</v>
      </c>
      <c r="J185" t="s">
        <v>4346</v>
      </c>
    </row>
    <row r="186" spans="1:10" x14ac:dyDescent="0.35">
      <c r="I186" t="s">
        <v>192</v>
      </c>
      <c r="J186" t="s">
        <v>4347</v>
      </c>
    </row>
    <row r="187" spans="1:10" x14ac:dyDescent="0.35">
      <c r="I187" t="s">
        <v>193</v>
      </c>
      <c r="J187" t="s">
        <v>4348</v>
      </c>
    </row>
    <row r="188" spans="1:10" x14ac:dyDescent="0.35">
      <c r="I188" t="s">
        <v>142</v>
      </c>
      <c r="J188" t="s">
        <v>4349</v>
      </c>
    </row>
    <row r="189" spans="1:10" x14ac:dyDescent="0.35">
      <c r="I189" t="s">
        <v>98</v>
      </c>
      <c r="J189" t="s">
        <v>4349</v>
      </c>
    </row>
    <row r="190" spans="1:10" x14ac:dyDescent="0.35">
      <c r="I190" t="s">
        <v>100</v>
      </c>
      <c r="J190" t="s">
        <v>4350</v>
      </c>
    </row>
    <row r="191" spans="1:10" x14ac:dyDescent="0.35">
      <c r="I191" t="s">
        <v>104</v>
      </c>
      <c r="J191" t="s">
        <v>4351</v>
      </c>
    </row>
    <row r="192" spans="1:10" x14ac:dyDescent="0.35">
      <c r="I192" s="38" t="s">
        <v>18</v>
      </c>
      <c r="J192" t="s">
        <v>4352</v>
      </c>
    </row>
    <row r="193" spans="10:10" x14ac:dyDescent="0.35">
      <c r="J193" s="36" t="s">
        <v>4353</v>
      </c>
    </row>
  </sheetData>
  <hyperlinks>
    <hyperlink ref="A1" location="Summary!B6" tooltip="Return to Totals" display="Back to Totals" xr:uid="{3C6BBD0B-1673-411B-AE2D-2817524DD55B}"/>
    <hyperlink ref="I11" r:id="rId1" xr:uid="{3C533FFD-791F-49C9-BC45-8F059BBCE89D}"/>
    <hyperlink ref="I20" r:id="rId2" xr:uid="{A1F9341C-2D72-4D55-AE8E-B21A4D2131F2}"/>
    <hyperlink ref="I52" r:id="rId3" xr:uid="{A2A8F79C-B9DA-4BE0-A255-6454310C246A}"/>
    <hyperlink ref="I60" r:id="rId4" xr:uid="{A0B9A8E7-A299-4219-9845-0EB876B5275A}"/>
    <hyperlink ref="I110" r:id="rId5" xr:uid="{5C1EC4F5-E01A-4840-AAF5-0E88B22610C6}"/>
    <hyperlink ref="I151" r:id="rId6" xr:uid="{0520B826-008B-45B6-B2E1-FB734AF8A791}"/>
    <hyperlink ref="I167" r:id="rId7" xr:uid="{9738F8BB-862B-41D9-83CB-9A44801C640D}"/>
    <hyperlink ref="F3" r:id="rId8" xr:uid="{2D15DF99-181D-4261-B745-D148ED29DA44}"/>
    <hyperlink ref="F13" r:id="rId9" xr:uid="{C9E5F74D-428B-4149-A012-C3D319AC9351}"/>
    <hyperlink ref="F45" r:id="rId10" xr:uid="{83333B93-993A-44B1-AE74-71A85B9AD561}"/>
    <hyperlink ref="F53" r:id="rId11" xr:uid="{AE0FE2C5-4E6A-480F-A9F0-39C5FD029DDE}"/>
    <hyperlink ref="F103" r:id="rId12" xr:uid="{1541474E-6776-4A1E-B081-C118FCD4FFD8}"/>
    <hyperlink ref="F144" r:id="rId13" xr:uid="{6400D4AE-D7E7-499B-99F5-049D697287C4}"/>
    <hyperlink ref="F160" r:id="rId14" xr:uid="{277B1451-917F-457E-AE65-D4252B0DAB7A}"/>
    <hyperlink ref="G13" r:id="rId15" xr:uid="{8A054DB0-CE9C-4636-9E00-99A9BE120598}"/>
    <hyperlink ref="G45" r:id="rId16" xr:uid="{549B9768-103D-46E9-971E-55B91979622A}"/>
    <hyperlink ref="G53" r:id="rId17" xr:uid="{E3361FE0-CC7D-4E84-8669-0846A1FFE263}"/>
    <hyperlink ref="G103" r:id="rId18" xr:uid="{BE13875F-81E4-41DA-B029-44A2ACC83C66}"/>
    <hyperlink ref="G144" r:id="rId19" xr:uid="{541A12F3-3B97-4DCC-87F7-8B8BA3FDBDFB}"/>
    <hyperlink ref="G160" r:id="rId20" xr:uid="{6746B136-F55D-4CF9-A2C2-DA22CE007BE9}"/>
    <hyperlink ref="G3" r:id="rId21" xr:uid="{B6BA5832-D2B3-4ED8-AA15-7C9C3677CD7F}"/>
    <hyperlink ref="J12" r:id="rId22" xr:uid="{AA2D72B5-691B-4A08-AA22-A5103A5E8D4C}"/>
    <hyperlink ref="A3" r:id="rId23" xr:uid="{120AC126-1B41-4FAD-A002-490FDF4B4499}"/>
    <hyperlink ref="J20" r:id="rId24" xr:uid="{20C9BB82-EB23-44E8-B73C-78D5CDE3C660}"/>
    <hyperlink ref="A13" r:id="rId25" xr:uid="{800960CC-F1D8-453A-9C9B-17A5730867D2}"/>
    <hyperlink ref="J52" r:id="rId26" xr:uid="{EB753A09-0A31-4574-972E-3B7973E0CC44}"/>
    <hyperlink ref="A45" r:id="rId27" xr:uid="{00C1CC9A-56B1-4D0E-BBE0-0F15DAEDDD92}"/>
    <hyperlink ref="J60" r:id="rId28" xr:uid="{7C4B791E-DEAF-40C5-B77A-9845CC186BB2}"/>
    <hyperlink ref="A53" r:id="rId29" xr:uid="{4BE442EE-8919-4888-B632-4C424C5F7B97}"/>
    <hyperlink ref="J111" r:id="rId30" xr:uid="{A90EB6F0-8700-42D9-9695-C4F45C095A06}"/>
    <hyperlink ref="A103" r:id="rId31" xr:uid="{DBFF5D41-5E17-47EA-8E2D-1911253D0CD2}"/>
    <hyperlink ref="J150" r:id="rId32" xr:uid="{17583B4B-8E92-4227-9FAF-4080D2828D23}"/>
    <hyperlink ref="A144" r:id="rId33" xr:uid="{28D81705-9145-4F1C-885F-08D9C1CBB1C9}"/>
    <hyperlink ref="J167" r:id="rId34" xr:uid="{25F98C2A-139B-45E6-A6EA-2D6D8CB05F3C}"/>
    <hyperlink ref="A160" r:id="rId35" xr:uid="{56E9F91F-7861-441D-AAD5-3CBA0931C733}"/>
    <hyperlink ref="E103" r:id="rId36" xr:uid="{529D6F6A-A4C3-4C8C-911B-505316EB8572}"/>
    <hyperlink ref="E160" r:id="rId37" xr:uid="{322FE14A-C183-477C-94E7-7F9CD7EA1700}"/>
    <hyperlink ref="E144" r:id="rId38" xr:uid="{1E122403-14D5-4BDB-AEF2-D836EF792FAE}"/>
    <hyperlink ref="E104" r:id="rId39" xr:uid="{15C57818-5274-42F6-817F-609C5B3150E4}"/>
    <hyperlink ref="E4" r:id="rId40" xr:uid="{905ED690-0609-4456-9BC7-488BE02B1D40}"/>
    <hyperlink ref="E3" r:id="rId41" xr:uid="{A1ABF267-FB9D-4A52-B1FB-2FEA47A19A7E}"/>
    <hyperlink ref="E13" r:id="rId42" xr:uid="{C7706FA1-F0A0-474A-87EE-D4AD29019B2A}"/>
    <hyperlink ref="E14" r:id="rId43" xr:uid="{B24A434B-1CFC-42EF-9CF0-2D96CDA05371}"/>
    <hyperlink ref="E46" r:id="rId44" xr:uid="{72CB0FBA-A645-4B72-AAF5-D50D217B2E34}"/>
    <hyperlink ref="E45" r:id="rId45" xr:uid="{F25FE32F-4E24-42DD-9051-07B040548073}"/>
    <hyperlink ref="E53" r:id="rId46" xr:uid="{25D595C2-157D-47DF-9692-5C3B5FCD3FDF}"/>
    <hyperlink ref="E54" r:id="rId47" xr:uid="{D663577F-A5D4-4221-BA9A-2C23B8F3CC5D}"/>
    <hyperlink ref="I76" r:id="rId48" xr:uid="{54EED877-FD97-4E73-BBFB-F954C63A4D7E}"/>
    <hyperlink ref="F69" r:id="rId49" xr:uid="{8551FCFC-CF98-4119-A2C2-39CD90FFFF1E}"/>
    <hyperlink ref="G69" r:id="rId50" xr:uid="{C88F1F4F-0B85-4A80-BD9B-38AEA8BAB030}"/>
    <hyperlink ref="A69" r:id="rId51" xr:uid="{91B3289B-43DA-496A-B2C6-82CF7C40D63F}"/>
    <hyperlink ref="E69" r:id="rId52" display="15cM" xr:uid="{BE5D1A0B-2717-48B1-B5BF-C70211FCFB40}"/>
    <hyperlink ref="J77" r:id="rId53" xr:uid="{0B559D44-5E62-44E9-8759-E0F97261931C}"/>
    <hyperlink ref="I28" r:id="rId54" xr:uid="{AB8A6CED-2CDC-4037-AEEC-3EAA123D3484}"/>
    <hyperlink ref="F21" r:id="rId55" xr:uid="{D5AB29F5-1FBB-4687-BB26-874C4B5320B0}"/>
    <hyperlink ref="G21" r:id="rId56" xr:uid="{0A27E35A-CC38-484B-B671-63B88912259B}"/>
    <hyperlink ref="J28" r:id="rId57" xr:uid="{B4A74840-3A4D-4B3F-9A84-03D69CDC54D9}"/>
    <hyperlink ref="A21" r:id="rId58" xr:uid="{DA4FB0C2-B88C-44EF-9DC0-681E15917677}"/>
    <hyperlink ref="E21" r:id="rId59" xr:uid="{193D02DC-99B2-40B4-80C5-E5AC8282D2ED}"/>
    <hyperlink ref="I36" r:id="rId60" xr:uid="{A8EBC777-2B23-42BC-BE9A-73FCBEC87B95}"/>
    <hyperlink ref="F29" r:id="rId61" xr:uid="{E9E577FF-2622-4E7A-B135-284F6C8E1171}"/>
    <hyperlink ref="G29" r:id="rId62" xr:uid="{38D91619-4B85-425A-AC9E-E7BA3C1B540F}"/>
    <hyperlink ref="J36" r:id="rId63" xr:uid="{49497579-66E7-46BF-9E4F-0E6CD9BBB3AF}"/>
    <hyperlink ref="A29" r:id="rId64" xr:uid="{C60A6155-39BD-4E8B-9D0D-7AF9AE8EC4F4}"/>
    <hyperlink ref="E29" r:id="rId65" xr:uid="{073D802A-CA75-4170-862F-DCFE2DB12153}"/>
    <hyperlink ref="I44" r:id="rId66" xr:uid="{353873C4-8906-4D55-81AC-34F216FF8BC1}"/>
    <hyperlink ref="F37" r:id="rId67" xr:uid="{08467F1A-6FAF-4642-904B-DACBDA37BDAA}"/>
    <hyperlink ref="G37" r:id="rId68" xr:uid="{B0D55C01-C6BA-4C8E-AF97-647B93004C4F}"/>
    <hyperlink ref="J44" r:id="rId69" xr:uid="{6BA7D8AB-CF07-4C6C-A96B-939AD6A2BB41}"/>
    <hyperlink ref="A37" r:id="rId70" xr:uid="{CBF0ECAB-9C86-4B9F-910E-AC1877F567B3}"/>
    <hyperlink ref="E37" r:id="rId71" xr:uid="{0BE8D6FD-BCCD-4989-B7D1-8D4A312B80A0}"/>
    <hyperlink ref="I68" r:id="rId72" xr:uid="{98EC734A-8115-49D2-BB74-C264A5911C41}"/>
    <hyperlink ref="F61" r:id="rId73" xr:uid="{C33264CD-F6D8-4BEA-B9F8-4A82837A929A}"/>
    <hyperlink ref="G61" r:id="rId74" xr:uid="{FF80F993-9A5E-4793-9D06-4BF3823147AD}"/>
    <hyperlink ref="J68" r:id="rId75" xr:uid="{902E6B6F-7677-445B-B293-5E8CF0D2B428}"/>
    <hyperlink ref="A61" r:id="rId76" xr:uid="{60FFD5FE-FDEC-46E9-A968-D246015468CE}"/>
    <hyperlink ref="E61" r:id="rId77" xr:uid="{9612D660-C7E1-4C20-AC86-4E7F4D03CBEA}"/>
    <hyperlink ref="I85" r:id="rId78" xr:uid="{7DF8F1BB-7D17-40A5-A10F-587CD7DD37AB}"/>
    <hyperlink ref="F78" r:id="rId79" xr:uid="{6F1DA28D-1853-42E5-8E49-42F1E4FC201B}"/>
    <hyperlink ref="G78" r:id="rId80" xr:uid="{4A6FA707-DC2F-4CF6-8939-00156F43971C}"/>
    <hyperlink ref="A78" r:id="rId81" xr:uid="{40C12B24-B942-4A97-84F1-D46F17EA5483}"/>
    <hyperlink ref="E78" r:id="rId82" display="15cM" xr:uid="{7E616741-7C85-47D9-B180-AC8CB8DEA4C6}"/>
    <hyperlink ref="J86" r:id="rId83" xr:uid="{2A6D1E30-EAE7-486F-BF44-1B5FD48F0E88}"/>
    <hyperlink ref="I94" r:id="rId84" xr:uid="{199E46EA-1433-4AF9-A583-21B3D443F646}"/>
    <hyperlink ref="F87" r:id="rId85" xr:uid="{D6342544-8751-491D-B1CC-3EC62D4A5B00}"/>
    <hyperlink ref="G87" r:id="rId86" xr:uid="{901E570B-F15C-429C-A7EC-C6FD69A10FBB}"/>
    <hyperlink ref="A87" r:id="rId87" xr:uid="{C91227C8-2413-41AC-85C3-EE65FD440E6B}"/>
    <hyperlink ref="E87" r:id="rId88" display="15cM" xr:uid="{1E970644-E1CE-4229-BD6E-1DC993CC6D67}"/>
    <hyperlink ref="J94" r:id="rId89" xr:uid="{9EA3F078-64A7-4605-8601-80C856C7BC6C}"/>
    <hyperlink ref="I102" r:id="rId90" xr:uid="{8EA8B0E6-2EF1-486B-B685-FEE8B8B06430}"/>
    <hyperlink ref="F95" r:id="rId91" xr:uid="{AEDB1AAC-58C1-4419-B9AE-B7591304648A}"/>
    <hyperlink ref="G95" r:id="rId92" xr:uid="{6E116090-C0D6-44D2-941C-85FB69D466C5}"/>
    <hyperlink ref="A95" r:id="rId93" xr:uid="{E14829C5-28ED-4252-9D08-F803EE2D16CA}"/>
    <hyperlink ref="E95" r:id="rId94" display="15cM" xr:uid="{F1A8C7E9-5799-48D9-AC9B-A4AFA6B34409}"/>
    <hyperlink ref="J102" r:id="rId95" xr:uid="{6DE082AB-48A5-4BA7-B5B3-2ACBA9AE67BA}"/>
    <hyperlink ref="I119" r:id="rId96" xr:uid="{DB7FF6B7-96BC-4C8C-BDF3-F6A3E29F26C3}"/>
    <hyperlink ref="F112" r:id="rId97" xr:uid="{661B4B39-82F4-49BF-BCCA-BC016AE07101}"/>
    <hyperlink ref="G112" r:id="rId98" xr:uid="{E358E465-8E4C-4B8D-9E1A-132D40805B31}"/>
    <hyperlink ref="A112" r:id="rId99" xr:uid="{F7A52FF1-B25F-42AC-B0FF-AB429D0AD0D5}"/>
    <hyperlink ref="E112" r:id="rId100" xr:uid="{636B8FD6-2DDD-4DF3-8A0F-4C54895DCE42}"/>
    <hyperlink ref="J119" r:id="rId101" xr:uid="{83A841D6-FB78-4F24-8384-B716E99335AD}"/>
    <hyperlink ref="I159" r:id="rId102" xr:uid="{FE3B0AD1-3072-42FC-A569-25AE03F0EB47}"/>
    <hyperlink ref="F152" r:id="rId103" xr:uid="{94888360-89CF-452E-A1F8-2FB20052A9E5}"/>
    <hyperlink ref="G152" r:id="rId104" xr:uid="{1362AFAD-A271-4468-B3C3-E58E16A19D66}"/>
    <hyperlink ref="J158" r:id="rId105" xr:uid="{F7278E16-4566-45D5-B1FF-87FAE271CCD9}"/>
    <hyperlink ref="A152" r:id="rId106" xr:uid="{35BB9133-A8D7-47D4-A4CC-9249EB8D0D27}"/>
    <hyperlink ref="E152" r:id="rId107" xr:uid="{E287D9DB-6C56-42E8-95D2-360DA40EF92E}"/>
    <hyperlink ref="I178" r:id="rId108" xr:uid="{702A324D-BB80-43D6-B2DD-E4AE8DB75AC7}"/>
    <hyperlink ref="J178" r:id="rId109" xr:uid="{FB9D5206-DF73-4840-90A5-EECA718127F6}"/>
    <hyperlink ref="A168" r:id="rId110" xr:uid="{07C7B917-B42A-4A4A-878D-66CD66B5E519}"/>
    <hyperlink ref="F168" r:id="rId111" xr:uid="{57653FC8-5C8B-450F-927F-BF58A63EFA7B}"/>
    <hyperlink ref="G168" r:id="rId112" xr:uid="{B6D9859C-0EC0-4236-B086-E5A48CC779A7}"/>
    <hyperlink ref="I192" r:id="rId113" xr:uid="{D5D22962-D5B4-481A-9D3D-C79504882227}"/>
    <hyperlink ref="F179" r:id="rId114" xr:uid="{3268222A-4DC5-41C2-A091-D921628147C1}"/>
    <hyperlink ref="G179" r:id="rId115" xr:uid="{A728A6FE-4E0C-4CB0-B493-7C6B053DF868}"/>
    <hyperlink ref="E168" r:id="rId116" xr:uid="{D705F603-4C96-4836-8601-C5674B9F1774}"/>
    <hyperlink ref="A179" r:id="rId117" xr:uid="{BA0D1408-090D-4C68-91BE-5735ACE4F10E}"/>
    <hyperlink ref="J193" r:id="rId118" xr:uid="{7B8BA98B-B786-4858-8BB3-CC1D53DE19CF}"/>
    <hyperlink ref="I127" r:id="rId119" xr:uid="{AC2598A0-F8CE-4813-A676-6E99D4020F27}"/>
    <hyperlink ref="F120" r:id="rId120" xr:uid="{52267BC1-1D63-456E-91BE-AA8F1E7A8DBB}"/>
    <hyperlink ref="G120" r:id="rId121" xr:uid="{C3BCAA3C-97D6-444C-8D48-0115940F57E6}"/>
    <hyperlink ref="A120" r:id="rId122" xr:uid="{8F418BDA-8C15-4A0B-9804-ACEF0CA8899E}"/>
    <hyperlink ref="E120" r:id="rId123" xr:uid="{7E1E5131-C1CD-49AD-8E5D-18BBFECD4A62}"/>
    <hyperlink ref="J127" r:id="rId124" xr:uid="{75809796-BEB1-421B-948E-A7C9495CA5C1}"/>
    <hyperlink ref="I143" r:id="rId125" xr:uid="{4A6DEEF2-60EB-49CE-8D0D-7ACD355410D6}"/>
    <hyperlink ref="F136" r:id="rId126" xr:uid="{B56D4276-5395-40FF-B02C-6D09242AEE93}"/>
    <hyperlink ref="G136" r:id="rId127" xr:uid="{C0FD7AB3-7A1A-40B0-8525-A1DEDAD2A1D0}"/>
    <hyperlink ref="A136" r:id="rId128" xr:uid="{32D8E48A-4E31-4D09-851F-BDB6C7ED03EF}"/>
    <hyperlink ref="E136" r:id="rId129" xr:uid="{BD25DBA0-3B34-4E9F-826E-48456D5D677A}"/>
    <hyperlink ref="J142" r:id="rId130" xr:uid="{5F9B16B1-14BB-4A81-9BFE-815ACEA82AEE}"/>
    <hyperlink ref="I135" r:id="rId131" xr:uid="{839B0466-82EB-49A6-A12F-68A0FFF69D70}"/>
    <hyperlink ref="F128" r:id="rId132" xr:uid="{0234E936-B7E9-4651-932D-D753DE6242D3}"/>
    <hyperlink ref="G128" r:id="rId133" xr:uid="{3E062F38-82FB-4876-B7C5-A0FDA0EEF298}"/>
    <hyperlink ref="A128" r:id="rId134" xr:uid="{CCDFDA31-7933-4913-91A8-DDF934D8D27D}"/>
    <hyperlink ref="J135" r:id="rId135" xr:uid="{F7D90486-9BD0-4F7C-8DA1-D68274468B36}"/>
    <hyperlink ref="E128" r:id="rId136" xr:uid="{9416B94A-8309-4E9D-B0BD-1EDFC145DDA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rgb="FF0070C0"/>
  </sheetPr>
  <dimension ref="A1:J104"/>
  <sheetViews>
    <sheetView topLeftCell="A88" workbookViewId="0">
      <selection activeCell="A91" sqref="A91"/>
    </sheetView>
  </sheetViews>
  <sheetFormatPr defaultRowHeight="14.5" x14ac:dyDescent="0.35"/>
  <cols>
    <col min="1" max="1" width="20.7265625" customWidth="1"/>
    <col min="2" max="2" width="17.7265625" customWidth="1"/>
    <col min="3" max="3" width="27.1796875" customWidth="1"/>
    <col min="4" max="4" width="21.54296875" customWidth="1"/>
    <col min="5" max="5" width="13.1796875" style="8" customWidth="1"/>
    <col min="6" max="6" width="23.54296875" customWidth="1"/>
    <col min="7" max="7" width="24.7265625" customWidth="1"/>
    <col min="8" max="8" width="16.36328125" customWidth="1"/>
    <col min="9" max="9" width="23.26953125" customWidth="1"/>
    <col min="10" max="10" width="26.453125" customWidth="1"/>
  </cols>
  <sheetData>
    <row r="1" spans="1:10" x14ac:dyDescent="0.35">
      <c r="A1" s="34" t="s">
        <v>3196</v>
      </c>
      <c r="B1" s="16">
        <f>COUNTIF(I2:I1093,C1)+COUNTIF(I2:I1093,D1)</f>
        <v>16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48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2833</v>
      </c>
      <c r="B3" s="1" t="s">
        <v>315</v>
      </c>
      <c r="C3" t="s">
        <v>6</v>
      </c>
      <c r="D3" t="s">
        <v>30</v>
      </c>
      <c r="E3" s="49" t="s">
        <v>2146</v>
      </c>
      <c r="F3" s="33" t="s">
        <v>33</v>
      </c>
      <c r="G3" s="33" t="s">
        <v>34</v>
      </c>
      <c r="H3" t="s">
        <v>73</v>
      </c>
      <c r="I3" s="1" t="s">
        <v>35</v>
      </c>
      <c r="J3" s="3" t="s">
        <v>589</v>
      </c>
    </row>
    <row r="4" spans="1:10" x14ac:dyDescent="0.35">
      <c r="E4" s="20"/>
      <c r="I4" t="s">
        <v>36</v>
      </c>
      <c r="J4" t="s">
        <v>2140</v>
      </c>
    </row>
    <row r="5" spans="1:10" x14ac:dyDescent="0.35">
      <c r="I5" t="s">
        <v>16</v>
      </c>
      <c r="J5" t="s">
        <v>2147</v>
      </c>
    </row>
    <row r="6" spans="1:10" x14ac:dyDescent="0.35">
      <c r="I6" t="s">
        <v>17</v>
      </c>
      <c r="J6" s="36" t="s">
        <v>2148</v>
      </c>
    </row>
    <row r="7" spans="1:10" x14ac:dyDescent="0.35">
      <c r="I7" s="38" t="s">
        <v>18</v>
      </c>
    </row>
    <row r="8" spans="1:10" x14ac:dyDescent="0.35">
      <c r="A8" s="33" t="s">
        <v>2139</v>
      </c>
      <c r="B8" s="1" t="s">
        <v>315</v>
      </c>
      <c r="C8" t="s">
        <v>316</v>
      </c>
      <c r="D8" t="s">
        <v>159</v>
      </c>
      <c r="E8" s="49" t="s">
        <v>2144</v>
      </c>
      <c r="F8" s="33" t="s">
        <v>33</v>
      </c>
      <c r="G8" s="33" t="s">
        <v>34</v>
      </c>
      <c r="H8" t="s">
        <v>73</v>
      </c>
      <c r="I8" s="1" t="s">
        <v>35</v>
      </c>
      <c r="J8" s="3" t="s">
        <v>589</v>
      </c>
    </row>
    <row r="9" spans="1:10" x14ac:dyDescent="0.35">
      <c r="E9" s="50" t="s">
        <v>216</v>
      </c>
      <c r="I9" t="s">
        <v>36</v>
      </c>
      <c r="J9" t="s">
        <v>2140</v>
      </c>
    </row>
    <row r="10" spans="1:10" x14ac:dyDescent="0.35">
      <c r="I10" t="s">
        <v>16</v>
      </c>
      <c r="J10" t="s">
        <v>2141</v>
      </c>
    </row>
    <row r="11" spans="1:10" x14ac:dyDescent="0.35">
      <c r="I11" t="s">
        <v>17</v>
      </c>
      <c r="J11" t="s">
        <v>2142</v>
      </c>
    </row>
    <row r="12" spans="1:10" x14ac:dyDescent="0.35">
      <c r="I12" s="38" t="s">
        <v>18</v>
      </c>
      <c r="J12" t="s">
        <v>2143</v>
      </c>
    </row>
    <row r="13" spans="1:10" x14ac:dyDescent="0.35">
      <c r="J13" s="36" t="s">
        <v>2139</v>
      </c>
    </row>
    <row r="14" spans="1:10" x14ac:dyDescent="0.35">
      <c r="A14" s="33" t="s">
        <v>2708</v>
      </c>
      <c r="B14" s="1" t="s">
        <v>315</v>
      </c>
      <c r="C14" t="s">
        <v>43</v>
      </c>
      <c r="D14" t="s">
        <v>184</v>
      </c>
      <c r="E14" s="49" t="s">
        <v>1430</v>
      </c>
      <c r="F14" s="33" t="s">
        <v>813</v>
      </c>
      <c r="G14" s="33" t="s">
        <v>53</v>
      </c>
      <c r="H14" t="s">
        <v>130</v>
      </c>
      <c r="I14" s="1" t="s">
        <v>33</v>
      </c>
      <c r="J14" s="3" t="s">
        <v>814</v>
      </c>
    </row>
    <row r="15" spans="1:10" x14ac:dyDescent="0.35">
      <c r="A15" s="33" t="s">
        <v>3762</v>
      </c>
      <c r="B15" t="s">
        <v>3</v>
      </c>
      <c r="E15" s="20"/>
      <c r="I15" t="s">
        <v>35</v>
      </c>
      <c r="J15" t="s">
        <v>815</v>
      </c>
    </row>
    <row r="16" spans="1:10" x14ac:dyDescent="0.35">
      <c r="I16" t="s">
        <v>36</v>
      </c>
      <c r="J16" t="s">
        <v>816</v>
      </c>
    </row>
    <row r="17" spans="1:10" x14ac:dyDescent="0.35">
      <c r="I17" t="s">
        <v>16</v>
      </c>
      <c r="J17" t="s">
        <v>817</v>
      </c>
    </row>
    <row r="18" spans="1:10" x14ac:dyDescent="0.35">
      <c r="I18" t="s">
        <v>17</v>
      </c>
      <c r="J18" s="36" t="s">
        <v>818</v>
      </c>
    </row>
    <row r="19" spans="1:10" x14ac:dyDescent="0.35">
      <c r="I19" s="38" t="s">
        <v>18</v>
      </c>
    </row>
    <row r="20" spans="1:10" x14ac:dyDescent="0.35">
      <c r="A20" s="33" t="s">
        <v>2492</v>
      </c>
      <c r="B20" s="1" t="s">
        <v>315</v>
      </c>
      <c r="C20" t="s">
        <v>43</v>
      </c>
      <c r="D20" t="s">
        <v>184</v>
      </c>
      <c r="E20" s="49" t="s">
        <v>353</v>
      </c>
      <c r="F20" s="33" t="s">
        <v>813</v>
      </c>
      <c r="G20" s="33" t="s">
        <v>53</v>
      </c>
      <c r="H20" t="s">
        <v>130</v>
      </c>
      <c r="I20" s="1" t="s">
        <v>33</v>
      </c>
      <c r="J20" s="3" t="s">
        <v>814</v>
      </c>
    </row>
    <row r="21" spans="1:10" x14ac:dyDescent="0.35">
      <c r="E21" s="20"/>
      <c r="I21" t="s">
        <v>35</v>
      </c>
      <c r="J21" t="s">
        <v>815</v>
      </c>
    </row>
    <row r="22" spans="1:10" x14ac:dyDescent="0.35">
      <c r="I22" t="s">
        <v>36</v>
      </c>
      <c r="J22" t="s">
        <v>816</v>
      </c>
    </row>
    <row r="23" spans="1:10" x14ac:dyDescent="0.35">
      <c r="I23" t="s">
        <v>16</v>
      </c>
      <c r="J23" t="s">
        <v>817</v>
      </c>
    </row>
    <row r="24" spans="1:10" x14ac:dyDescent="0.35">
      <c r="I24" t="s">
        <v>17</v>
      </c>
      <c r="J24" t="s">
        <v>2493</v>
      </c>
    </row>
    <row r="25" spans="1:10" x14ac:dyDescent="0.35">
      <c r="I25" s="38" t="s">
        <v>18</v>
      </c>
      <c r="J25" s="36" t="s">
        <v>2492</v>
      </c>
    </row>
    <row r="26" spans="1:10" x14ac:dyDescent="0.35">
      <c r="A26" s="33" t="s">
        <v>584</v>
      </c>
      <c r="B26" t="s">
        <v>3</v>
      </c>
      <c r="C26" t="s">
        <v>25</v>
      </c>
      <c r="D26" t="s">
        <v>30</v>
      </c>
      <c r="E26" s="49" t="s">
        <v>585</v>
      </c>
      <c r="F26" s="33" t="s">
        <v>33</v>
      </c>
      <c r="G26" s="33" t="s">
        <v>34</v>
      </c>
      <c r="H26" t="s">
        <v>73</v>
      </c>
      <c r="I26" s="1" t="s">
        <v>35</v>
      </c>
      <c r="J26" s="3" t="s">
        <v>589</v>
      </c>
    </row>
    <row r="27" spans="1:10" x14ac:dyDescent="0.35">
      <c r="E27" s="20"/>
      <c r="I27" t="s">
        <v>36</v>
      </c>
      <c r="J27" t="s">
        <v>588</v>
      </c>
    </row>
    <row r="28" spans="1:10" x14ac:dyDescent="0.35">
      <c r="I28" t="s">
        <v>16</v>
      </c>
      <c r="J28" t="s">
        <v>587</v>
      </c>
    </row>
    <row r="29" spans="1:10" x14ac:dyDescent="0.35">
      <c r="I29" t="s">
        <v>17</v>
      </c>
      <c r="J29" s="36" t="s">
        <v>586</v>
      </c>
    </row>
    <row r="30" spans="1:10" x14ac:dyDescent="0.35">
      <c r="I30" s="38" t="s">
        <v>18</v>
      </c>
    </row>
    <row r="31" spans="1:10" x14ac:dyDescent="0.35">
      <c r="A31" s="33" t="s">
        <v>1920</v>
      </c>
      <c r="B31" t="s">
        <v>3</v>
      </c>
      <c r="C31" t="s">
        <v>25</v>
      </c>
      <c r="D31" t="s">
        <v>159</v>
      </c>
      <c r="E31" s="49" t="s">
        <v>585</v>
      </c>
      <c r="F31" s="33" t="s">
        <v>33</v>
      </c>
      <c r="G31" s="33" t="s">
        <v>34</v>
      </c>
      <c r="H31" t="s">
        <v>73</v>
      </c>
      <c r="I31" s="1" t="s">
        <v>35</v>
      </c>
      <c r="J31" s="3" t="s">
        <v>589</v>
      </c>
    </row>
    <row r="32" spans="1:10" x14ac:dyDescent="0.35">
      <c r="E32" s="20"/>
      <c r="I32" t="s">
        <v>36</v>
      </c>
      <c r="J32" t="s">
        <v>1921</v>
      </c>
    </row>
    <row r="33" spans="1:10" x14ac:dyDescent="0.35">
      <c r="I33" t="s">
        <v>16</v>
      </c>
      <c r="J33" t="s">
        <v>1922</v>
      </c>
    </row>
    <row r="34" spans="1:10" x14ac:dyDescent="0.35">
      <c r="I34" t="s">
        <v>17</v>
      </c>
      <c r="J34" t="s">
        <v>1923</v>
      </c>
    </row>
    <row r="35" spans="1:10" x14ac:dyDescent="0.35">
      <c r="I35" s="38" t="s">
        <v>18</v>
      </c>
      <c r="J35" t="s">
        <v>1924</v>
      </c>
    </row>
    <row r="36" spans="1:10" x14ac:dyDescent="0.35">
      <c r="I36" s="37"/>
      <c r="J36" s="36" t="s">
        <v>1925</v>
      </c>
    </row>
    <row r="37" spans="1:10" x14ac:dyDescent="0.35">
      <c r="A37" s="33" t="s">
        <v>31</v>
      </c>
      <c r="B37" t="s">
        <v>3</v>
      </c>
      <c r="C37" t="s">
        <v>25</v>
      </c>
      <c r="D37" t="s">
        <v>41</v>
      </c>
      <c r="E37" s="49" t="s">
        <v>32</v>
      </c>
      <c r="F37" s="33" t="s">
        <v>33</v>
      </c>
      <c r="G37" s="33" t="s">
        <v>34</v>
      </c>
      <c r="H37" t="s">
        <v>73</v>
      </c>
      <c r="I37" s="1" t="s">
        <v>35</v>
      </c>
      <c r="J37" s="3" t="s">
        <v>37</v>
      </c>
    </row>
    <row r="38" spans="1:10" x14ac:dyDescent="0.35">
      <c r="E38" s="20"/>
      <c r="I38" t="s">
        <v>36</v>
      </c>
      <c r="J38" t="s">
        <v>38</v>
      </c>
    </row>
    <row r="39" spans="1:10" x14ac:dyDescent="0.35">
      <c r="I39" t="s">
        <v>16</v>
      </c>
      <c r="J39" t="s">
        <v>39</v>
      </c>
    </row>
    <row r="40" spans="1:10" x14ac:dyDescent="0.35">
      <c r="I40" t="s">
        <v>17</v>
      </c>
      <c r="J40" t="s">
        <v>40</v>
      </c>
    </row>
    <row r="41" spans="1:10" x14ac:dyDescent="0.35">
      <c r="I41" s="38" t="s">
        <v>18</v>
      </c>
      <c r="J41" s="36" t="s">
        <v>2834</v>
      </c>
    </row>
    <row r="42" spans="1:10" x14ac:dyDescent="0.35">
      <c r="A42" s="33" t="s">
        <v>4174</v>
      </c>
      <c r="B42" t="s">
        <v>3</v>
      </c>
      <c r="C42" t="s">
        <v>43</v>
      </c>
      <c r="D42" t="s">
        <v>55</v>
      </c>
      <c r="E42" s="34" t="s">
        <v>145</v>
      </c>
      <c r="F42" s="33" t="s">
        <v>813</v>
      </c>
      <c r="G42" s="33" t="s">
        <v>3520</v>
      </c>
      <c r="H42" t="s">
        <v>54</v>
      </c>
      <c r="I42" s="1" t="s">
        <v>813</v>
      </c>
      <c r="J42" s="3" t="s">
        <v>3521</v>
      </c>
    </row>
    <row r="43" spans="1:10" x14ac:dyDescent="0.35">
      <c r="I43" t="s">
        <v>33</v>
      </c>
      <c r="J43" t="s">
        <v>4153</v>
      </c>
    </row>
    <row r="44" spans="1:10" x14ac:dyDescent="0.35">
      <c r="I44" t="s">
        <v>35</v>
      </c>
      <c r="J44" t="s">
        <v>4175</v>
      </c>
    </row>
    <row r="45" spans="1:10" x14ac:dyDescent="0.35">
      <c r="I45" t="s">
        <v>36</v>
      </c>
      <c r="J45" t="s">
        <v>4176</v>
      </c>
    </row>
    <row r="46" spans="1:10" x14ac:dyDescent="0.35">
      <c r="I46" t="s">
        <v>16</v>
      </c>
      <c r="J46" t="s">
        <v>4177</v>
      </c>
    </row>
    <row r="47" spans="1:10" x14ac:dyDescent="0.35">
      <c r="I47" t="s">
        <v>17</v>
      </c>
      <c r="J47" t="s">
        <v>4178</v>
      </c>
    </row>
    <row r="48" spans="1:10" x14ac:dyDescent="0.35">
      <c r="I48" s="2" t="s">
        <v>1249</v>
      </c>
      <c r="J48" s="36" t="s">
        <v>4174</v>
      </c>
    </row>
    <row r="49" spans="1:10" x14ac:dyDescent="0.35">
      <c r="A49" s="33" t="s">
        <v>2482</v>
      </c>
      <c r="B49" s="2" t="s">
        <v>2485</v>
      </c>
      <c r="C49" t="s">
        <v>25</v>
      </c>
      <c r="D49" t="s">
        <v>30</v>
      </c>
      <c r="E49" s="49" t="s">
        <v>749</v>
      </c>
      <c r="F49" s="33" t="s">
        <v>33</v>
      </c>
      <c r="G49" s="33" t="s">
        <v>34</v>
      </c>
      <c r="H49" t="s">
        <v>73</v>
      </c>
      <c r="I49" s="1" t="s">
        <v>35</v>
      </c>
      <c r="J49" s="3" t="s">
        <v>37</v>
      </c>
    </row>
    <row r="50" spans="1:10" x14ac:dyDescent="0.35">
      <c r="I50" t="s">
        <v>36</v>
      </c>
      <c r="J50" t="s">
        <v>2483</v>
      </c>
    </row>
    <row r="51" spans="1:10" x14ac:dyDescent="0.35">
      <c r="I51" t="s">
        <v>16</v>
      </c>
      <c r="J51" t="s">
        <v>2484</v>
      </c>
    </row>
    <row r="52" spans="1:10" x14ac:dyDescent="0.35">
      <c r="I52" t="s">
        <v>17</v>
      </c>
      <c r="J52" s="36" t="s">
        <v>2482</v>
      </c>
    </row>
    <row r="53" spans="1:10" x14ac:dyDescent="0.35">
      <c r="I53" s="38" t="s">
        <v>18</v>
      </c>
    </row>
    <row r="54" spans="1:10" x14ac:dyDescent="0.35">
      <c r="A54" s="33" t="s">
        <v>1991</v>
      </c>
      <c r="B54" t="s">
        <v>3</v>
      </c>
      <c r="C54" t="s">
        <v>43</v>
      </c>
      <c r="D54" t="s">
        <v>184</v>
      </c>
      <c r="E54" s="49" t="s">
        <v>749</v>
      </c>
      <c r="F54" s="33" t="s">
        <v>813</v>
      </c>
      <c r="G54" s="33" t="s">
        <v>53</v>
      </c>
      <c r="H54" t="s">
        <v>130</v>
      </c>
      <c r="I54" s="1" t="s">
        <v>33</v>
      </c>
      <c r="J54" s="3" t="s">
        <v>1992</v>
      </c>
    </row>
    <row r="55" spans="1:10" x14ac:dyDescent="0.35">
      <c r="E55" s="20"/>
      <c r="I55" t="s">
        <v>35</v>
      </c>
      <c r="J55" t="s">
        <v>1992</v>
      </c>
    </row>
    <row r="56" spans="1:10" x14ac:dyDescent="0.35">
      <c r="I56" t="s">
        <v>36</v>
      </c>
      <c r="J56" t="s">
        <v>1993</v>
      </c>
    </row>
    <row r="57" spans="1:10" x14ac:dyDescent="0.35">
      <c r="I57" t="s">
        <v>16</v>
      </c>
      <c r="J57" t="s">
        <v>1994</v>
      </c>
    </row>
    <row r="58" spans="1:10" x14ac:dyDescent="0.35">
      <c r="I58" t="s">
        <v>17</v>
      </c>
      <c r="J58" t="s">
        <v>1995</v>
      </c>
    </row>
    <row r="59" spans="1:10" x14ac:dyDescent="0.35">
      <c r="I59" s="38" t="s">
        <v>18</v>
      </c>
      <c r="J59" s="36" t="s">
        <v>1991</v>
      </c>
    </row>
    <row r="60" spans="1:10" x14ac:dyDescent="0.35">
      <c r="A60" s="33" t="s">
        <v>3761</v>
      </c>
      <c r="B60" t="s">
        <v>3</v>
      </c>
      <c r="C60" t="s">
        <v>43</v>
      </c>
      <c r="D60" t="s">
        <v>184</v>
      </c>
      <c r="E60" s="49" t="s">
        <v>327</v>
      </c>
      <c r="F60" s="33" t="s">
        <v>813</v>
      </c>
      <c r="G60" s="33" t="s">
        <v>53</v>
      </c>
      <c r="H60" t="s">
        <v>130</v>
      </c>
      <c r="I60" s="1" t="s">
        <v>33</v>
      </c>
      <c r="J60" s="3" t="s">
        <v>814</v>
      </c>
    </row>
    <row r="61" spans="1:10" x14ac:dyDescent="0.35">
      <c r="A61" s="33" t="s">
        <v>2835</v>
      </c>
      <c r="B61" s="1" t="s">
        <v>315</v>
      </c>
      <c r="E61" s="20"/>
      <c r="I61" t="s">
        <v>35</v>
      </c>
      <c r="J61" t="s">
        <v>815</v>
      </c>
    </row>
    <row r="62" spans="1:10" x14ac:dyDescent="0.35">
      <c r="I62" t="s">
        <v>36</v>
      </c>
      <c r="J62" t="s">
        <v>816</v>
      </c>
    </row>
    <row r="63" spans="1:10" x14ac:dyDescent="0.35">
      <c r="I63" t="s">
        <v>16</v>
      </c>
      <c r="J63" t="s">
        <v>817</v>
      </c>
    </row>
    <row r="64" spans="1:10" x14ac:dyDescent="0.35">
      <c r="I64" t="s">
        <v>17</v>
      </c>
      <c r="J64" t="s">
        <v>818</v>
      </c>
    </row>
    <row r="65" spans="1:10" x14ac:dyDescent="0.35">
      <c r="I65" s="38" t="s">
        <v>18</v>
      </c>
      <c r="J65" s="36" t="s">
        <v>819</v>
      </c>
    </row>
    <row r="66" spans="1:10" x14ac:dyDescent="0.35">
      <c r="A66" s="33" t="s">
        <v>2456</v>
      </c>
      <c r="B66" s="1" t="s">
        <v>315</v>
      </c>
      <c r="C66" t="s">
        <v>316</v>
      </c>
      <c r="D66" t="s">
        <v>2133</v>
      </c>
      <c r="E66" s="49" t="s">
        <v>161</v>
      </c>
      <c r="F66" s="33" t="s">
        <v>33</v>
      </c>
      <c r="G66" s="33" t="s">
        <v>34</v>
      </c>
      <c r="H66" t="s">
        <v>73</v>
      </c>
      <c r="I66" s="1" t="s">
        <v>35</v>
      </c>
      <c r="J66" s="3" t="s">
        <v>2457</v>
      </c>
    </row>
    <row r="67" spans="1:10" x14ac:dyDescent="0.35">
      <c r="E67" s="20"/>
      <c r="I67" t="s">
        <v>36</v>
      </c>
      <c r="J67" t="s">
        <v>2458</v>
      </c>
    </row>
    <row r="68" spans="1:10" x14ac:dyDescent="0.35">
      <c r="I68" t="s">
        <v>16</v>
      </c>
      <c r="J68" t="s">
        <v>2459</v>
      </c>
    </row>
    <row r="69" spans="1:10" x14ac:dyDescent="0.35">
      <c r="I69" t="s">
        <v>17</v>
      </c>
      <c r="J69" t="s">
        <v>2460</v>
      </c>
    </row>
    <row r="70" spans="1:10" x14ac:dyDescent="0.35">
      <c r="I70" s="38" t="s">
        <v>18</v>
      </c>
      <c r="J70" s="4" t="s">
        <v>2461</v>
      </c>
    </row>
    <row r="71" spans="1:10" x14ac:dyDescent="0.35">
      <c r="A71" s="33" t="s">
        <v>3527</v>
      </c>
      <c r="B71" t="s">
        <v>3</v>
      </c>
      <c r="C71" t="s">
        <v>43</v>
      </c>
      <c r="D71" t="s">
        <v>55</v>
      </c>
      <c r="E71" s="50" t="s">
        <v>327</v>
      </c>
      <c r="F71" s="33" t="s">
        <v>813</v>
      </c>
      <c r="G71" s="33" t="s">
        <v>3520</v>
      </c>
      <c r="H71" t="s">
        <v>54</v>
      </c>
      <c r="I71" s="1" t="s">
        <v>813</v>
      </c>
      <c r="J71" s="3" t="s">
        <v>3521</v>
      </c>
    </row>
    <row r="72" spans="1:10" x14ac:dyDescent="0.35">
      <c r="I72" t="s">
        <v>33</v>
      </c>
      <c r="J72" t="s">
        <v>3521</v>
      </c>
    </row>
    <row r="73" spans="1:10" x14ac:dyDescent="0.35">
      <c r="I73" t="s">
        <v>35</v>
      </c>
      <c r="J73" t="s">
        <v>3528</v>
      </c>
    </row>
    <row r="74" spans="1:10" x14ac:dyDescent="0.35">
      <c r="I74" t="s">
        <v>36</v>
      </c>
      <c r="J74" t="s">
        <v>3529</v>
      </c>
    </row>
    <row r="75" spans="1:10" x14ac:dyDescent="0.35">
      <c r="I75" t="s">
        <v>16</v>
      </c>
      <c r="J75" t="s">
        <v>3530</v>
      </c>
    </row>
    <row r="76" spans="1:10" x14ac:dyDescent="0.35">
      <c r="I76" t="s">
        <v>17</v>
      </c>
      <c r="J76" t="s">
        <v>3531</v>
      </c>
    </row>
    <row r="77" spans="1:10" x14ac:dyDescent="0.35">
      <c r="I77" s="2" t="s">
        <v>1249</v>
      </c>
      <c r="J77" s="36" t="s">
        <v>3532</v>
      </c>
    </row>
    <row r="78" spans="1:10" x14ac:dyDescent="0.35">
      <c r="A78" s="33" t="s">
        <v>2145</v>
      </c>
      <c r="B78" s="1" t="s">
        <v>315</v>
      </c>
      <c r="C78" t="s">
        <v>316</v>
      </c>
      <c r="D78" t="s">
        <v>282</v>
      </c>
      <c r="E78" s="49" t="s">
        <v>189</v>
      </c>
      <c r="F78" s="33" t="s">
        <v>33</v>
      </c>
      <c r="G78" s="33" t="s">
        <v>34</v>
      </c>
      <c r="H78" t="s">
        <v>73</v>
      </c>
      <c r="I78" s="1" t="s">
        <v>35</v>
      </c>
      <c r="J78" s="3" t="s">
        <v>589</v>
      </c>
    </row>
    <row r="79" spans="1:10" x14ac:dyDescent="0.35">
      <c r="E79" s="20"/>
      <c r="I79" t="s">
        <v>36</v>
      </c>
      <c r="J79" t="s">
        <v>2140</v>
      </c>
    </row>
    <row r="80" spans="1:10" x14ac:dyDescent="0.35">
      <c r="I80" t="s">
        <v>16</v>
      </c>
      <c r="J80" t="s">
        <v>2141</v>
      </c>
    </row>
    <row r="81" spans="1:10" x14ac:dyDescent="0.35">
      <c r="I81" t="s">
        <v>17</v>
      </c>
      <c r="J81" t="s">
        <v>2142</v>
      </c>
    </row>
    <row r="82" spans="1:10" x14ac:dyDescent="0.35">
      <c r="I82" s="38" t="s">
        <v>18</v>
      </c>
      <c r="J82" t="s">
        <v>2143</v>
      </c>
    </row>
    <row r="83" spans="1:10" x14ac:dyDescent="0.35">
      <c r="J83" t="s">
        <v>2139</v>
      </c>
    </row>
    <row r="84" spans="1:10" x14ac:dyDescent="0.35">
      <c r="J84" s="36" t="s">
        <v>3313</v>
      </c>
    </row>
    <row r="85" spans="1:10" x14ac:dyDescent="0.35">
      <c r="A85" s="33" t="s">
        <v>3308</v>
      </c>
      <c r="B85" t="s">
        <v>3</v>
      </c>
      <c r="C85" t="s">
        <v>25</v>
      </c>
      <c r="D85" t="s">
        <v>41</v>
      </c>
      <c r="E85" s="104" t="s">
        <v>201</v>
      </c>
      <c r="F85" s="33" t="s">
        <v>33</v>
      </c>
      <c r="G85" s="33" t="s">
        <v>34</v>
      </c>
      <c r="H85" t="s">
        <v>73</v>
      </c>
      <c r="I85" s="1" t="s">
        <v>35</v>
      </c>
      <c r="J85" s="3" t="s">
        <v>589</v>
      </c>
    </row>
    <row r="86" spans="1:10" x14ac:dyDescent="0.35">
      <c r="I86" t="s">
        <v>36</v>
      </c>
      <c r="J86" t="s">
        <v>3309</v>
      </c>
    </row>
    <row r="87" spans="1:10" x14ac:dyDescent="0.35">
      <c r="I87" t="s">
        <v>16</v>
      </c>
      <c r="J87" t="s">
        <v>3310</v>
      </c>
    </row>
    <row r="88" spans="1:10" x14ac:dyDescent="0.35">
      <c r="I88" t="s">
        <v>17</v>
      </c>
      <c r="J88" t="s">
        <v>3311</v>
      </c>
    </row>
    <row r="89" spans="1:10" x14ac:dyDescent="0.35">
      <c r="I89" s="38" t="s">
        <v>3307</v>
      </c>
      <c r="J89" s="36" t="s">
        <v>3312</v>
      </c>
    </row>
    <row r="90" spans="1:10" x14ac:dyDescent="0.35">
      <c r="A90" s="33" t="s">
        <v>4278</v>
      </c>
      <c r="B90" t="s">
        <v>3</v>
      </c>
      <c r="C90" t="s">
        <v>43</v>
      </c>
      <c r="D90" t="s">
        <v>55</v>
      </c>
      <c r="E90" s="34" t="s">
        <v>72</v>
      </c>
      <c r="F90" s="33" t="s">
        <v>813</v>
      </c>
      <c r="G90" s="33" t="s">
        <v>3520</v>
      </c>
      <c r="H90" t="s">
        <v>54</v>
      </c>
      <c r="I90" s="1" t="s">
        <v>813</v>
      </c>
      <c r="J90" s="3" t="s">
        <v>3521</v>
      </c>
    </row>
    <row r="91" spans="1:10" x14ac:dyDescent="0.35">
      <c r="I91" t="s">
        <v>33</v>
      </c>
      <c r="J91" t="s">
        <v>4153</v>
      </c>
    </row>
    <row r="92" spans="1:10" x14ac:dyDescent="0.35">
      <c r="I92" t="s">
        <v>35</v>
      </c>
      <c r="J92" t="s">
        <v>4274</v>
      </c>
    </row>
    <row r="93" spans="1:10" x14ac:dyDescent="0.35">
      <c r="I93" t="s">
        <v>36</v>
      </c>
      <c r="J93" t="s">
        <v>4275</v>
      </c>
    </row>
    <row r="94" spans="1:10" x14ac:dyDescent="0.35">
      <c r="I94" t="s">
        <v>16</v>
      </c>
      <c r="J94" t="s">
        <v>4276</v>
      </c>
    </row>
    <row r="95" spans="1:10" x14ac:dyDescent="0.35">
      <c r="I95" t="s">
        <v>17</v>
      </c>
      <c r="J95" t="s">
        <v>4277</v>
      </c>
    </row>
    <row r="96" spans="1:10" x14ac:dyDescent="0.35">
      <c r="I96" s="38" t="s">
        <v>18</v>
      </c>
      <c r="J96" s="36" t="s">
        <v>4278</v>
      </c>
    </row>
    <row r="97" spans="1:10" x14ac:dyDescent="0.35">
      <c r="A97" s="33" t="s">
        <v>4152</v>
      </c>
      <c r="B97" t="s">
        <v>3</v>
      </c>
      <c r="C97" t="s">
        <v>43</v>
      </c>
      <c r="D97" t="s">
        <v>429</v>
      </c>
      <c r="E97" s="49" t="s">
        <v>44</v>
      </c>
      <c r="F97" s="33" t="s">
        <v>813</v>
      </c>
      <c r="G97" s="33" t="s">
        <v>3520</v>
      </c>
      <c r="H97" t="s">
        <v>54</v>
      </c>
      <c r="I97" s="1" t="s">
        <v>813</v>
      </c>
      <c r="J97" s="3" t="s">
        <v>3521</v>
      </c>
    </row>
    <row r="98" spans="1:10" x14ac:dyDescent="0.35">
      <c r="I98" t="s">
        <v>33</v>
      </c>
      <c r="J98" t="s">
        <v>4153</v>
      </c>
    </row>
    <row r="99" spans="1:10" x14ac:dyDescent="0.35">
      <c r="I99" t="s">
        <v>35</v>
      </c>
      <c r="J99" t="s">
        <v>4154</v>
      </c>
    </row>
    <row r="100" spans="1:10" x14ac:dyDescent="0.35">
      <c r="I100" t="s">
        <v>36</v>
      </c>
      <c r="J100" t="s">
        <v>4155</v>
      </c>
    </row>
    <row r="101" spans="1:10" x14ac:dyDescent="0.35">
      <c r="I101" t="s">
        <v>16</v>
      </c>
      <c r="J101" t="s">
        <v>4156</v>
      </c>
    </row>
    <row r="102" spans="1:10" x14ac:dyDescent="0.35">
      <c r="I102" t="s">
        <v>17</v>
      </c>
      <c r="J102" t="s">
        <v>4157</v>
      </c>
    </row>
    <row r="103" spans="1:10" x14ac:dyDescent="0.35">
      <c r="I103" s="38" t="s">
        <v>18</v>
      </c>
      <c r="J103" t="s">
        <v>4158</v>
      </c>
    </row>
    <row r="104" spans="1:10" x14ac:dyDescent="0.35">
      <c r="J104" s="36" t="s">
        <v>4159</v>
      </c>
    </row>
  </sheetData>
  <hyperlinks>
    <hyperlink ref="A1" location="Summary!B7" tooltip="Return to Totals" display="Back to Totals" xr:uid="{BF5C9228-2006-4EB9-B198-F497D6F7EFC0}"/>
    <hyperlink ref="I7" r:id="rId1" xr:uid="{1CFFEC65-1417-4BBE-8681-DEA34AF7EE0F}"/>
    <hyperlink ref="I12" r:id="rId2" xr:uid="{C8040127-F21B-4F1E-8919-E68BEED08FBB}"/>
    <hyperlink ref="I19" r:id="rId3" xr:uid="{6B3CF431-A541-4FDB-9A48-7F4F7938C474}"/>
    <hyperlink ref="I25" r:id="rId4" xr:uid="{98EC7361-0853-4166-A18B-5F986A9FE425}"/>
    <hyperlink ref="I30" r:id="rId5" xr:uid="{016060FB-7A20-47EE-A3E1-25260A788B46}"/>
    <hyperlink ref="I35" r:id="rId6" xr:uid="{DF3B7D8D-3DDF-4262-80EB-5D0428B719B2}"/>
    <hyperlink ref="I41" r:id="rId7" xr:uid="{5ABDEFBE-D7C6-4503-9059-59B03F977711}"/>
    <hyperlink ref="I53" r:id="rId8" xr:uid="{E9D9545B-5231-48F3-9344-87807C0C2E82}"/>
    <hyperlink ref="I59" r:id="rId9" xr:uid="{E63A3934-DC2A-4A1A-9FF8-53D56FD10BE0}"/>
    <hyperlink ref="I65" r:id="rId10" xr:uid="{DAE14ABA-D301-4331-92FC-5E652A60739B}"/>
    <hyperlink ref="I70" r:id="rId11" xr:uid="{99C55A61-4513-4A31-8BBF-22A2199099B6}"/>
    <hyperlink ref="I82" r:id="rId12" xr:uid="{F3D6304C-F43B-4190-BB8B-C8442A9EBF9E}"/>
    <hyperlink ref="F3" r:id="rId13" xr:uid="{ED25D55A-5E79-48A3-8B7A-9469874B9B40}"/>
    <hyperlink ref="F8" r:id="rId14" xr:uid="{FDFC084C-8F41-49FB-96F4-4FF3892E49AD}"/>
    <hyperlink ref="F26" r:id="rId15" xr:uid="{EC7D044C-1EE9-4E01-8CAF-F39FFE2B4B46}"/>
    <hyperlink ref="F31" r:id="rId16" xr:uid="{7DD281E1-D022-4225-85B4-3AD3740D6A4E}"/>
    <hyperlink ref="F37" r:id="rId17" xr:uid="{7EF528A9-9C7E-484B-BF19-BA4541F6E771}"/>
    <hyperlink ref="F49" r:id="rId18" xr:uid="{42E0935E-DE1D-4336-9E98-164E4147C0BF}"/>
    <hyperlink ref="F66" r:id="rId19" xr:uid="{87994356-2BC1-4C05-9B24-06B8B24BFEC7}"/>
    <hyperlink ref="F78" r:id="rId20" xr:uid="{AFDAED16-438C-4149-8989-9F36F79B0921}"/>
    <hyperlink ref="G66" r:id="rId21" xr:uid="{DDD4EC24-BE9C-4021-9AFF-57C8B789CFA9}"/>
    <hyperlink ref="G49" r:id="rId22" xr:uid="{85D7C60A-89BC-4206-ACD6-30FFB6EB9A84}"/>
    <hyperlink ref="G37" r:id="rId23" xr:uid="{80453234-8FA5-4455-BE27-7A89A6378BF9}"/>
    <hyperlink ref="G31" r:id="rId24" xr:uid="{1EF96E72-6770-41E3-A364-3C509D9A31EC}"/>
    <hyperlink ref="G26" r:id="rId25" xr:uid="{84816FFE-B722-4F3C-BCE9-777FCE3FEC93}"/>
    <hyperlink ref="G8" r:id="rId26" xr:uid="{912048AA-4A12-43C9-A6CF-549337FA546E}"/>
    <hyperlink ref="G3" r:id="rId27" xr:uid="{45BC1BC6-FF59-4365-89D3-208284AC5054}"/>
    <hyperlink ref="F14" r:id="rId28" xr:uid="{1F748655-C504-4288-8132-9B2A2C7F0763}"/>
    <hyperlink ref="F20" r:id="rId29" xr:uid="{E73C42B3-AFDE-4E42-B906-301520DD5D6E}"/>
    <hyperlink ref="F54" r:id="rId30" xr:uid="{F66158D4-F39C-4A38-8E27-2869F8B3B3D4}"/>
    <hyperlink ref="F60" r:id="rId31" xr:uid="{0B20FC8F-F969-43B2-98C3-AB2EB97B3550}"/>
    <hyperlink ref="G78" r:id="rId32" xr:uid="{712618AB-4E24-4FD7-A94C-0AE40F851420}"/>
    <hyperlink ref="G60" r:id="rId33" xr:uid="{4B941FB9-4D18-407A-ABF0-8E75234605D1}"/>
    <hyperlink ref="G54" r:id="rId34" xr:uid="{8AC1A2E1-AC9F-41DB-A83C-457E32916619}"/>
    <hyperlink ref="G20" r:id="rId35" xr:uid="{F81BB3A6-4B87-4065-89A7-CFCC566DBEA4}"/>
    <hyperlink ref="G14" r:id="rId36" xr:uid="{A3FD3952-5C65-4D0A-BF53-11B8428BBF1F}"/>
    <hyperlink ref="A3" r:id="rId37" xr:uid="{5F791616-926F-4674-A0FC-BE71D63E557B}"/>
    <hyperlink ref="J6" r:id="rId38" xr:uid="{11A3DB19-48AC-4818-AE87-4A07623AD9DA}"/>
    <hyperlink ref="A8" r:id="rId39" xr:uid="{259CE29D-85CA-4A02-A08A-C800965610B7}"/>
    <hyperlink ref="J13" r:id="rId40" xr:uid="{68F970A4-DF44-4C02-977C-C122CCE550D1}"/>
    <hyperlink ref="J18" r:id="rId41" xr:uid="{8DFDEB83-6BE2-4481-9530-7F18361F6A84}"/>
    <hyperlink ref="A14" r:id="rId42" xr:uid="{74F26459-7703-48CB-8EE1-013D8D161661}"/>
    <hyperlink ref="A20" r:id="rId43" xr:uid="{8C621E05-41E7-4846-AF15-A6C14D8F16F0}"/>
    <hyperlink ref="J25" r:id="rId44" xr:uid="{71714042-C0B2-48FA-9F75-A95AE14267B5}"/>
    <hyperlink ref="J29" r:id="rId45" xr:uid="{70FF58C0-3381-46FA-A900-CBAED642D6CD}"/>
    <hyperlink ref="A26" r:id="rId46" xr:uid="{46C5E7D6-03BF-4B84-A8E9-8153A46CEC43}"/>
    <hyperlink ref="J36" r:id="rId47" xr:uid="{91030B2D-C7B0-40F0-ABFA-ADC9E7516557}"/>
    <hyperlink ref="A31" r:id="rId48" xr:uid="{A991949D-C674-44A8-B224-4F6FCF524216}"/>
    <hyperlink ref="J41" r:id="rId49" xr:uid="{E8680A89-63F3-4D5D-B03D-A86A1BE88056}"/>
    <hyperlink ref="A37" r:id="rId50" xr:uid="{722F4F89-5C26-4C84-96AF-96753D3E244F}"/>
    <hyperlink ref="J52" r:id="rId51" xr:uid="{FC8CC9B0-017E-4B55-8DF1-1C40E91F9BDF}"/>
    <hyperlink ref="A49" r:id="rId52" xr:uid="{EF6CA9A8-8811-4243-A29B-B2D83A049AFB}"/>
    <hyperlink ref="J59" r:id="rId53" xr:uid="{59B44F97-38FB-43C3-9FE6-2B68B2E97305}"/>
    <hyperlink ref="A54" r:id="rId54" xr:uid="{C5C5D06C-3C95-4FC8-8676-1F82B4DD174C}"/>
    <hyperlink ref="J65" r:id="rId55" xr:uid="{2D7FA1F9-9BF7-4653-AAF2-4156568D5C6F}"/>
    <hyperlink ref="A78" r:id="rId56" xr:uid="{203572AB-4074-4277-8C79-DC5CC4176C5D}"/>
    <hyperlink ref="A66" r:id="rId57" xr:uid="{627EA186-D9A7-4AEB-A04A-CBD0337D34BE}"/>
    <hyperlink ref="A61" r:id="rId58" xr:uid="{A2623A2E-C8B1-48DA-A38D-3F3B84399CC3}"/>
    <hyperlink ref="E3" r:id="rId59" xr:uid="{384FD88A-2054-487E-A897-4D9B32591F91}"/>
    <hyperlink ref="E8" r:id="rId60" xr:uid="{A0977CDB-4B6F-4144-993F-C573957DFB99}"/>
    <hyperlink ref="E14" r:id="rId61" xr:uid="{42219D32-548B-4F6D-8615-37D040A4F425}"/>
    <hyperlink ref="E9" r:id="rId62" xr:uid="{B8F3A23D-146A-448C-9950-D34879B118C4}"/>
    <hyperlink ref="E20" r:id="rId63" xr:uid="{1025C1D2-9979-4625-9D05-A445D5A69C24}"/>
    <hyperlink ref="E26" r:id="rId64" xr:uid="{F13F8EED-6B1C-44CF-B403-98D93BC2728A}"/>
    <hyperlink ref="E31" r:id="rId65" xr:uid="{5558B2A6-C452-4624-976B-947C56A49770}"/>
    <hyperlink ref="E37" r:id="rId66" xr:uid="{B758E8D3-2F7E-4A79-B465-736F0FFD3D69}"/>
    <hyperlink ref="E49" r:id="rId67" xr:uid="{CF56539D-B04F-41B7-A33D-DF44670B4DBC}"/>
    <hyperlink ref="E54" r:id="rId68" xr:uid="{EDBB4072-EDF1-4DB5-8F43-ABA6E7596D8F}"/>
    <hyperlink ref="E60" r:id="rId69" xr:uid="{D3CC9311-99E2-40D4-A016-77B6DF517750}"/>
    <hyperlink ref="E66" r:id="rId70" xr:uid="{7FF95604-4A5D-40F7-8EDE-85E0924A9B3A}"/>
    <hyperlink ref="E78" r:id="rId71" xr:uid="{B59D61C8-9B4B-432E-8C83-D41338CB68F1}"/>
    <hyperlink ref="I89" r:id="rId72" xr:uid="{C5DA4402-6197-4EF6-BF90-1369D31A90AE}"/>
    <hyperlink ref="F85" r:id="rId73" xr:uid="{04C2A768-6F69-4987-98D8-62A169DB7D95}"/>
    <hyperlink ref="G85" r:id="rId74" xr:uid="{A56EA45F-A1A4-4330-A04A-C1412859ADB3}"/>
    <hyperlink ref="A85" r:id="rId75" xr:uid="{4B40AAB8-3E03-4AC2-9CDB-D072FFD1E214}"/>
    <hyperlink ref="E85" r:id="rId76" xr:uid="{CA310C58-32A6-45A7-9F5B-86C8CCE4042A}"/>
    <hyperlink ref="J89" r:id="rId77" xr:uid="{5E28D656-DB71-4C33-953C-36D4C240DA58}"/>
    <hyperlink ref="J84" r:id="rId78" xr:uid="{403768A5-96F1-41D4-9D07-C4E7F0A00989}"/>
    <hyperlink ref="J77" r:id="rId79" xr:uid="{38BC9305-FC17-45C5-BDD9-73200A437864}"/>
    <hyperlink ref="A71" r:id="rId80" xr:uid="{813FFC93-94E4-44E3-914D-6BBF14AB9174}"/>
    <hyperlink ref="F71" r:id="rId81" xr:uid="{B603A9D7-D31E-4A0E-B596-C1D9D42D6DD6}"/>
    <hyperlink ref="G71" r:id="rId82" xr:uid="{B7C5A715-3837-4164-B8E4-E8D93945729E}"/>
    <hyperlink ref="E71" r:id="rId83" xr:uid="{5359BC15-7A93-4814-9168-FA0A008C933F}"/>
    <hyperlink ref="A60" r:id="rId84" xr:uid="{0D112B82-BCDA-48E9-A08E-B7436E2DB7C2}"/>
    <hyperlink ref="A15" r:id="rId85" xr:uid="{6D7068EC-78AA-486A-9932-3585295891B1}"/>
    <hyperlink ref="A97" r:id="rId86" xr:uid="{F8C055C5-4F0E-496E-A5AF-B0374FB5EEEF}"/>
    <hyperlink ref="F97" r:id="rId87" xr:uid="{5A1AF7F0-87E7-4210-9F8B-18D22F107B3D}"/>
    <hyperlink ref="G97" r:id="rId88" xr:uid="{FF5A31A6-801D-4106-A6E3-2B212042EE5C}"/>
    <hyperlink ref="E97" r:id="rId89" display="19cM" xr:uid="{58B6538A-C3FF-4AD1-B7C7-F5AA0378C156}"/>
    <hyperlink ref="J104" r:id="rId90" xr:uid="{B15E053E-7B9D-4D04-8413-EE7D88E321A9}"/>
    <hyperlink ref="I103" r:id="rId91" xr:uid="{C34E55D8-346D-44B0-8309-2C52D2C31365}"/>
    <hyperlink ref="J48" r:id="rId92" xr:uid="{97250CD8-A675-4638-B075-2BDF7EE84B97}"/>
    <hyperlink ref="A42" r:id="rId93" xr:uid="{657B5EF7-BE9D-4115-9574-B1643118AECB}"/>
    <hyperlink ref="F42" r:id="rId94" xr:uid="{0435E87B-2C49-4618-A189-ED6B846B9B36}"/>
    <hyperlink ref="G42" r:id="rId95" xr:uid="{2F2350F3-E573-4320-BEC8-5C7F7371F62E}"/>
    <hyperlink ref="E42" r:id="rId96" xr:uid="{675EB288-9C0A-4FC4-91DC-9A9013CB5280}"/>
    <hyperlink ref="A90" r:id="rId97" display="Neal topley" xr:uid="{52376E60-808F-43B1-9CFB-90185B458A68}"/>
    <hyperlink ref="F90" r:id="rId98" xr:uid="{2998F28D-0B35-4FCF-AAEC-925AC1678F41}"/>
    <hyperlink ref="G90" r:id="rId99" xr:uid="{E7D43711-9839-49A7-B8B5-2F64E8BF95A1}"/>
    <hyperlink ref="E90" r:id="rId100" xr:uid="{9A5247FC-CF92-4266-9F16-09DE8A4B5780}"/>
    <hyperlink ref="I96" r:id="rId101" xr:uid="{D55D02C6-8F63-4D39-976C-D9E91C5E5FB2}"/>
    <hyperlink ref="J96" r:id="rId102" xr:uid="{C039B032-399F-4E12-80EF-F99237921DAC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tabColor rgb="FF00B0F0"/>
  </sheetPr>
  <dimension ref="A1:K320"/>
  <sheetViews>
    <sheetView workbookViewId="0"/>
  </sheetViews>
  <sheetFormatPr defaultRowHeight="14.5" x14ac:dyDescent="0.35"/>
  <cols>
    <col min="1" max="1" width="20.36328125" customWidth="1"/>
    <col min="2" max="2" width="10" customWidth="1"/>
    <col min="3" max="3" width="22.453125" customWidth="1"/>
    <col min="4" max="4" width="14.54296875" customWidth="1"/>
    <col min="5" max="5" width="5.6328125" style="8" customWidth="1"/>
    <col min="6" max="6" width="16" customWidth="1"/>
    <col min="7" max="7" width="16.6328125" customWidth="1"/>
    <col min="8" max="8" width="19.26953125" customWidth="1"/>
    <col min="9" max="9" width="26.7265625" customWidth="1"/>
    <col min="10" max="10" width="23.26953125" customWidth="1"/>
    <col min="11" max="11" width="21.81640625" customWidth="1"/>
  </cols>
  <sheetData>
    <row r="1" spans="1:11" x14ac:dyDescent="0.35">
      <c r="A1" s="34" t="s">
        <v>3196</v>
      </c>
      <c r="B1" s="16">
        <f>COUNTIF(I2:I1147,C1)+COUNTIF(I2:I1147,D1)</f>
        <v>43</v>
      </c>
      <c r="C1" s="9" t="s">
        <v>18</v>
      </c>
      <c r="D1" s="17" t="s">
        <v>1249</v>
      </c>
    </row>
    <row r="2" spans="1:11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48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  <c r="K2" s="10" t="s">
        <v>4252</v>
      </c>
    </row>
    <row r="3" spans="1:11" x14ac:dyDescent="0.35">
      <c r="A3" s="33" t="s">
        <v>4281</v>
      </c>
      <c r="B3" t="s">
        <v>3</v>
      </c>
      <c r="C3" t="s">
        <v>25</v>
      </c>
      <c r="D3" t="s">
        <v>41</v>
      </c>
      <c r="E3" s="34" t="s">
        <v>1234</v>
      </c>
      <c r="F3" s="33" t="s">
        <v>141</v>
      </c>
      <c r="G3" s="33" t="s">
        <v>193</v>
      </c>
      <c r="H3" t="s">
        <v>73</v>
      </c>
      <c r="I3" s="1" t="s">
        <v>142</v>
      </c>
      <c r="J3" s="3" t="s">
        <v>3335</v>
      </c>
      <c r="K3" t="e" cm="1" vm="1">
        <f t="array" aca="1" ref="K3" ca="1">_xlfn._xlws.SORT(_xlfn.UNIQUE(_xlfn._xlws.FILTER(J:J, J:J &lt;&gt; "")))</f>
        <v>#VALUE!</v>
      </c>
    </row>
    <row r="4" spans="1:11" x14ac:dyDescent="0.35">
      <c r="E4" s="40" t="s">
        <v>1376</v>
      </c>
      <c r="I4" t="s">
        <v>98</v>
      </c>
      <c r="J4" t="s">
        <v>3336</v>
      </c>
    </row>
    <row r="5" spans="1:11" x14ac:dyDescent="0.35">
      <c r="I5" t="s">
        <v>100</v>
      </c>
      <c r="J5" t="s">
        <v>4282</v>
      </c>
    </row>
    <row r="6" spans="1:11" x14ac:dyDescent="0.35">
      <c r="I6" t="s">
        <v>104</v>
      </c>
      <c r="J6" t="s">
        <v>4283</v>
      </c>
    </row>
    <row r="7" spans="1:11" x14ac:dyDescent="0.35">
      <c r="I7" s="38" t="s">
        <v>18</v>
      </c>
      <c r="J7" s="36" t="s">
        <v>4284</v>
      </c>
    </row>
    <row r="8" spans="1:11" x14ac:dyDescent="0.35">
      <c r="A8" s="33" t="s">
        <v>2149</v>
      </c>
      <c r="B8" t="s">
        <v>3</v>
      </c>
      <c r="C8" t="s">
        <v>25</v>
      </c>
      <c r="D8" t="s">
        <v>30</v>
      </c>
      <c r="E8" s="49" t="s">
        <v>1430</v>
      </c>
      <c r="F8" s="33" t="s">
        <v>141</v>
      </c>
      <c r="G8" s="33" t="s">
        <v>193</v>
      </c>
      <c r="H8" t="s">
        <v>73</v>
      </c>
      <c r="I8" s="1" t="s">
        <v>142</v>
      </c>
      <c r="J8" s="3" t="s">
        <v>735</v>
      </c>
      <c r="K8" t="str" cm="1">
        <f t="array" ref="K8:K191">_xlfn._xlws.SORT(_xlfn.UNIQUE(_xlfn._xlws.FILTER(J:J, J:J &lt;&gt; "")))</f>
        <v>A Williams</v>
      </c>
    </row>
    <row r="9" spans="1:11" x14ac:dyDescent="0.35">
      <c r="E9" s="50" t="s">
        <v>32</v>
      </c>
      <c r="I9" t="s">
        <v>98</v>
      </c>
      <c r="J9" t="s">
        <v>733</v>
      </c>
      <c r="K9" t="str">
        <v>Abraham Brinkley</v>
      </c>
    </row>
    <row r="10" spans="1:11" x14ac:dyDescent="0.35">
      <c r="I10" t="s">
        <v>100</v>
      </c>
      <c r="J10" t="s">
        <v>2150</v>
      </c>
      <c r="K10" t="str">
        <v>Ada Jane Balls</v>
      </c>
    </row>
    <row r="11" spans="1:11" x14ac:dyDescent="0.35">
      <c r="I11" t="s">
        <v>104</v>
      </c>
      <c r="J11" s="36" t="s">
        <v>2151</v>
      </c>
      <c r="K11" t="str">
        <v>Alan Frank Youngman</v>
      </c>
    </row>
    <row r="12" spans="1:11" x14ac:dyDescent="0.35">
      <c r="I12" s="38" t="s">
        <v>18</v>
      </c>
      <c r="K12" t="str">
        <v>Alfred Arthur John King</v>
      </c>
    </row>
    <row r="13" spans="1:11" x14ac:dyDescent="0.35">
      <c r="A13" s="33" t="s">
        <v>3334</v>
      </c>
      <c r="B13" s="1" t="s">
        <v>315</v>
      </c>
      <c r="C13" t="s">
        <v>25</v>
      </c>
      <c r="D13" t="s">
        <v>30</v>
      </c>
      <c r="E13" s="34" t="s">
        <v>1240</v>
      </c>
      <c r="F13" s="33" t="s">
        <v>141</v>
      </c>
      <c r="G13" s="33" t="s">
        <v>193</v>
      </c>
      <c r="H13" t="s">
        <v>73</v>
      </c>
      <c r="I13" s="1" t="s">
        <v>142</v>
      </c>
      <c r="J13" s="3" t="s">
        <v>3335</v>
      </c>
      <c r="K13" t="str">
        <v>Alice Elsden</v>
      </c>
    </row>
    <row r="14" spans="1:11" x14ac:dyDescent="0.35">
      <c r="E14" s="50"/>
      <c r="I14" t="s">
        <v>98</v>
      </c>
      <c r="J14" t="s">
        <v>3336</v>
      </c>
      <c r="K14" t="str">
        <v>Alice Maud Bean</v>
      </c>
    </row>
    <row r="15" spans="1:11" x14ac:dyDescent="0.35">
      <c r="I15" t="s">
        <v>100</v>
      </c>
      <c r="J15" t="s">
        <v>3337</v>
      </c>
      <c r="K15" t="str">
        <v>Alice Ranson</v>
      </c>
    </row>
    <row r="16" spans="1:11" x14ac:dyDescent="0.35">
      <c r="I16" t="s">
        <v>104</v>
      </c>
      <c r="J16" t="s">
        <v>3338</v>
      </c>
      <c r="K16" t="str">
        <v>Amelia Ann Brooks</v>
      </c>
    </row>
    <row r="17" spans="1:11" x14ac:dyDescent="0.35">
      <c r="I17" s="38" t="s">
        <v>18</v>
      </c>
      <c r="J17" s="43" t="s">
        <v>3339</v>
      </c>
      <c r="K17" t="str">
        <v>Angela J Moore</v>
      </c>
    </row>
    <row r="18" spans="1:11" x14ac:dyDescent="0.35">
      <c r="A18" s="33" t="s">
        <v>178</v>
      </c>
      <c r="B18" t="s">
        <v>3</v>
      </c>
      <c r="C18" t="s">
        <v>43</v>
      </c>
      <c r="D18" t="s">
        <v>159</v>
      </c>
      <c r="E18" s="50" t="s">
        <v>1238</v>
      </c>
      <c r="F18" s="33" t="s">
        <v>133</v>
      </c>
      <c r="G18" s="33" t="s">
        <v>134</v>
      </c>
      <c r="H18" t="s">
        <v>130</v>
      </c>
      <c r="I18" s="1" t="s">
        <v>141</v>
      </c>
      <c r="J18" s="3" t="s">
        <v>135</v>
      </c>
      <c r="K18" t="str">
        <v>Ann Brinkley</v>
      </c>
    </row>
    <row r="19" spans="1:11" x14ac:dyDescent="0.35">
      <c r="E19" s="49" t="s">
        <v>179</v>
      </c>
      <c r="I19" t="s">
        <v>142</v>
      </c>
      <c r="J19" t="s">
        <v>136</v>
      </c>
      <c r="K19" t="str">
        <v>Barbara Joan Blow</v>
      </c>
    </row>
    <row r="20" spans="1:11" x14ac:dyDescent="0.35">
      <c r="I20" t="s">
        <v>98</v>
      </c>
      <c r="J20" t="s">
        <v>137</v>
      </c>
      <c r="K20" t="str">
        <v>Barbara Joan Elcome</v>
      </c>
    </row>
    <row r="21" spans="1:11" x14ac:dyDescent="0.35">
      <c r="I21" t="s">
        <v>100</v>
      </c>
      <c r="J21" t="s">
        <v>180</v>
      </c>
      <c r="K21" t="str">
        <v>Barron Glossop</v>
      </c>
    </row>
    <row r="22" spans="1:11" x14ac:dyDescent="0.35">
      <c r="I22" t="s">
        <v>104</v>
      </c>
      <c r="J22" s="36" t="s">
        <v>182</v>
      </c>
      <c r="K22" t="str">
        <v>Beersheba Brinkley</v>
      </c>
    </row>
    <row r="23" spans="1:11" x14ac:dyDescent="0.35">
      <c r="I23" s="38" t="s">
        <v>18</v>
      </c>
      <c r="K23" t="str">
        <v>Benjamin Brinkley</v>
      </c>
    </row>
    <row r="24" spans="1:11" x14ac:dyDescent="0.35">
      <c r="A24" s="33" t="s">
        <v>3558</v>
      </c>
      <c r="B24" t="s">
        <v>3</v>
      </c>
      <c r="C24" t="s">
        <v>25</v>
      </c>
      <c r="D24" t="s">
        <v>159</v>
      </c>
      <c r="E24" s="34" t="s">
        <v>26</v>
      </c>
      <c r="F24" s="33" t="s">
        <v>141</v>
      </c>
      <c r="G24" s="33" t="s">
        <v>193</v>
      </c>
      <c r="H24" t="s">
        <v>73</v>
      </c>
      <c r="I24" s="1" t="s">
        <v>142</v>
      </c>
      <c r="J24" s="3" t="s">
        <v>3559</v>
      </c>
      <c r="K24" t="str">
        <v>Buford Eugene Edison</v>
      </c>
    </row>
    <row r="25" spans="1:11" x14ac:dyDescent="0.35">
      <c r="E25" s="50" t="s">
        <v>72</v>
      </c>
      <c r="I25" t="s">
        <v>98</v>
      </c>
      <c r="J25" t="s">
        <v>3560</v>
      </c>
      <c r="K25" t="str">
        <v>Capt William Brinkley</v>
      </c>
    </row>
    <row r="26" spans="1:11" x14ac:dyDescent="0.35">
      <c r="I26" t="s">
        <v>100</v>
      </c>
      <c r="J26" t="s">
        <v>3561</v>
      </c>
      <c r="K26" t="str">
        <v>Caroline Springings</v>
      </c>
    </row>
    <row r="27" spans="1:11" x14ac:dyDescent="0.35">
      <c r="I27" t="s">
        <v>104</v>
      </c>
      <c r="J27" t="s">
        <v>3562</v>
      </c>
      <c r="K27" t="str">
        <v>Cater B Brinkley</v>
      </c>
    </row>
    <row r="28" spans="1:11" x14ac:dyDescent="0.35">
      <c r="I28" s="38" t="s">
        <v>18</v>
      </c>
      <c r="J28" t="s">
        <v>3563</v>
      </c>
      <c r="K28" t="str">
        <v>Celia Ann Newport</v>
      </c>
    </row>
    <row r="29" spans="1:11" x14ac:dyDescent="0.35">
      <c r="I29" s="37"/>
      <c r="J29" s="36" t="s">
        <v>3564</v>
      </c>
      <c r="K29" t="str">
        <v>Charles Kelt</v>
      </c>
    </row>
    <row r="30" spans="1:11" x14ac:dyDescent="0.35">
      <c r="A30" s="33" t="s">
        <v>731</v>
      </c>
      <c r="B30" t="s">
        <v>3</v>
      </c>
      <c r="C30" t="s">
        <v>25</v>
      </c>
      <c r="D30" t="s">
        <v>41</v>
      </c>
      <c r="E30" s="49" t="s">
        <v>353</v>
      </c>
      <c r="F30" s="33" t="s">
        <v>141</v>
      </c>
      <c r="G30" s="33" t="s">
        <v>193</v>
      </c>
      <c r="H30" t="s">
        <v>73</v>
      </c>
      <c r="I30" s="1" t="s">
        <v>142</v>
      </c>
      <c r="J30" s="3" t="s">
        <v>735</v>
      </c>
      <c r="K30" t="str">
        <v>Claire Rebecca Townsend</v>
      </c>
    </row>
    <row r="31" spans="1:11" x14ac:dyDescent="0.35">
      <c r="E31" s="50" t="s">
        <v>169</v>
      </c>
      <c r="I31" t="s">
        <v>98</v>
      </c>
      <c r="J31" t="s">
        <v>734</v>
      </c>
      <c r="K31" t="str">
        <v>Clara Borley</v>
      </c>
    </row>
    <row r="32" spans="1:11" x14ac:dyDescent="0.35">
      <c r="I32" t="s">
        <v>100</v>
      </c>
      <c r="J32" t="s">
        <v>733</v>
      </c>
      <c r="K32" t="str">
        <v>Colin S T Bosher</v>
      </c>
    </row>
    <row r="33" spans="1:11" x14ac:dyDescent="0.35">
      <c r="I33" t="s">
        <v>104</v>
      </c>
      <c r="J33" t="s">
        <v>732</v>
      </c>
      <c r="K33" t="str">
        <v>Colin Strangward</v>
      </c>
    </row>
    <row r="34" spans="1:11" x14ac:dyDescent="0.35">
      <c r="I34" s="38" t="s">
        <v>18</v>
      </c>
      <c r="J34" s="36" t="s">
        <v>731</v>
      </c>
      <c r="K34" t="str">
        <v>Constance Stella Balls</v>
      </c>
    </row>
    <row r="35" spans="1:11" x14ac:dyDescent="0.35">
      <c r="A35" s="33" t="s">
        <v>131</v>
      </c>
      <c r="B35" t="s">
        <v>3</v>
      </c>
      <c r="C35" t="s">
        <v>25</v>
      </c>
      <c r="D35" t="s">
        <v>143</v>
      </c>
      <c r="E35" s="49" t="s">
        <v>132</v>
      </c>
      <c r="F35" s="33" t="s">
        <v>133</v>
      </c>
      <c r="G35" s="33" t="s">
        <v>134</v>
      </c>
      <c r="H35" t="s">
        <v>130</v>
      </c>
      <c r="I35" s="1" t="s">
        <v>141</v>
      </c>
      <c r="J35" s="3" t="s">
        <v>135</v>
      </c>
      <c r="K35" t="str">
        <v>Daniel Brinkley</v>
      </c>
    </row>
    <row r="36" spans="1:11" x14ac:dyDescent="0.35">
      <c r="E36" s="50" t="s">
        <v>161</v>
      </c>
      <c r="I36" t="s">
        <v>142</v>
      </c>
      <c r="J36" t="s">
        <v>136</v>
      </c>
      <c r="K36" t="str">
        <v>Darren James Newport</v>
      </c>
    </row>
    <row r="37" spans="1:11" x14ac:dyDescent="0.35">
      <c r="I37" t="s">
        <v>98</v>
      </c>
      <c r="J37" t="s">
        <v>137</v>
      </c>
      <c r="K37" t="str">
        <v>David Edward Newport</v>
      </c>
    </row>
    <row r="38" spans="1:11" x14ac:dyDescent="0.35">
      <c r="I38" t="s">
        <v>100</v>
      </c>
      <c r="J38" t="s">
        <v>138</v>
      </c>
      <c r="K38" t="str">
        <v>David John Williams</v>
      </c>
    </row>
    <row r="39" spans="1:11" x14ac:dyDescent="0.35">
      <c r="I39" t="s">
        <v>104</v>
      </c>
      <c r="J39" t="s">
        <v>139</v>
      </c>
      <c r="K39" t="str">
        <v>Deborah K Bowers</v>
      </c>
    </row>
    <row r="40" spans="1:11" x14ac:dyDescent="0.35">
      <c r="I40" s="38" t="s">
        <v>18</v>
      </c>
      <c r="J40" s="36" t="s">
        <v>140</v>
      </c>
      <c r="K40" t="str">
        <v>Doreen Joyce Blow</v>
      </c>
    </row>
    <row r="41" spans="1:11" x14ac:dyDescent="0.35">
      <c r="A41" s="33" t="s">
        <v>746</v>
      </c>
      <c r="B41" t="s">
        <v>3</v>
      </c>
      <c r="C41" t="s">
        <v>25</v>
      </c>
      <c r="D41" t="s">
        <v>30</v>
      </c>
      <c r="E41" s="49" t="s">
        <v>32</v>
      </c>
      <c r="F41" s="33" t="s">
        <v>141</v>
      </c>
      <c r="G41" s="33" t="s">
        <v>193</v>
      </c>
      <c r="H41" t="s">
        <v>73</v>
      </c>
      <c r="I41" s="1" t="s">
        <v>142</v>
      </c>
      <c r="J41" s="3" t="s">
        <v>735</v>
      </c>
      <c r="K41" t="str">
        <v>Edith Emma Hawes</v>
      </c>
    </row>
    <row r="42" spans="1:11" x14ac:dyDescent="0.35">
      <c r="E42" s="50" t="s">
        <v>216</v>
      </c>
      <c r="I42" t="s">
        <v>98</v>
      </c>
      <c r="J42" t="s">
        <v>734</v>
      </c>
      <c r="K42" t="str">
        <v>Edward Balls</v>
      </c>
    </row>
    <row r="43" spans="1:11" x14ac:dyDescent="0.35">
      <c r="I43" t="s">
        <v>100</v>
      </c>
      <c r="J43" t="s">
        <v>733</v>
      </c>
      <c r="K43" t="str">
        <v>Edward John Brinkley</v>
      </c>
    </row>
    <row r="44" spans="1:11" x14ac:dyDescent="0.35">
      <c r="I44" t="s">
        <v>104</v>
      </c>
      <c r="J44" s="36" t="s">
        <v>747</v>
      </c>
      <c r="K44" t="str">
        <v>Edward Ranson</v>
      </c>
    </row>
    <row r="45" spans="1:11" x14ac:dyDescent="0.35">
      <c r="I45" s="36" t="s">
        <v>18</v>
      </c>
      <c r="K45" t="str">
        <v>Edwina Margaret Elcome</v>
      </c>
    </row>
    <row r="46" spans="1:11" x14ac:dyDescent="0.35">
      <c r="A46" s="33" t="s">
        <v>1646</v>
      </c>
      <c r="B46" t="s">
        <v>3</v>
      </c>
      <c r="C46" t="s">
        <v>25</v>
      </c>
      <c r="D46" t="s">
        <v>41</v>
      </c>
      <c r="E46" s="49" t="s">
        <v>749</v>
      </c>
      <c r="F46" s="33" t="s">
        <v>141</v>
      </c>
      <c r="G46" s="33" t="s">
        <v>193</v>
      </c>
      <c r="H46" t="s">
        <v>73</v>
      </c>
      <c r="I46" s="1" t="s">
        <v>142</v>
      </c>
      <c r="J46" s="3" t="s">
        <v>1647</v>
      </c>
      <c r="K46" t="str">
        <v>Eileen roselle Harding</v>
      </c>
    </row>
    <row r="47" spans="1:11" x14ac:dyDescent="0.35">
      <c r="E47" s="20"/>
      <c r="I47" t="s">
        <v>98</v>
      </c>
      <c r="J47" t="s">
        <v>1648</v>
      </c>
      <c r="K47" t="str">
        <v>Elizabeth Jane Borley</v>
      </c>
    </row>
    <row r="48" spans="1:11" x14ac:dyDescent="0.35">
      <c r="I48" t="s">
        <v>100</v>
      </c>
      <c r="J48" t="s">
        <v>1649</v>
      </c>
      <c r="K48" t="str">
        <v>Ellen Barrell</v>
      </c>
    </row>
    <row r="49" spans="1:11" x14ac:dyDescent="0.35">
      <c r="I49" t="s">
        <v>104</v>
      </c>
      <c r="J49" t="s">
        <v>1650</v>
      </c>
      <c r="K49" t="str">
        <v>Ellen Maria Brinkley</v>
      </c>
    </row>
    <row r="50" spans="1:11" x14ac:dyDescent="0.35">
      <c r="I50" s="36" t="s">
        <v>18</v>
      </c>
      <c r="J50" s="36" t="s">
        <v>1651</v>
      </c>
      <c r="K50" t="str">
        <v>Elsie E Foreman</v>
      </c>
    </row>
    <row r="51" spans="1:11" x14ac:dyDescent="0.35">
      <c r="A51" s="33" t="s">
        <v>185</v>
      </c>
      <c r="B51" t="s">
        <v>3</v>
      </c>
      <c r="C51" t="s">
        <v>43</v>
      </c>
      <c r="D51" t="s">
        <v>184</v>
      </c>
      <c r="E51" s="50" t="s">
        <v>749</v>
      </c>
      <c r="F51" s="33" t="s">
        <v>133</v>
      </c>
      <c r="G51" s="33" t="s">
        <v>134</v>
      </c>
      <c r="H51" t="s">
        <v>130</v>
      </c>
      <c r="I51" s="1" t="s">
        <v>141</v>
      </c>
      <c r="J51" s="3" t="s">
        <v>135</v>
      </c>
      <c r="K51" t="str">
        <v>Elsie May Hayward</v>
      </c>
    </row>
    <row r="52" spans="1:11" x14ac:dyDescent="0.35">
      <c r="E52" s="49" t="s">
        <v>179</v>
      </c>
      <c r="I52" t="s">
        <v>142</v>
      </c>
      <c r="J52" t="s">
        <v>186</v>
      </c>
      <c r="K52" t="str">
        <v>Emily Balls</v>
      </c>
    </row>
    <row r="53" spans="1:11" x14ac:dyDescent="0.35">
      <c r="I53" t="s">
        <v>98</v>
      </c>
      <c r="J53" t="s">
        <v>137</v>
      </c>
      <c r="K53" t="str">
        <v>Emily Elizabeth Hey</v>
      </c>
    </row>
    <row r="54" spans="1:11" x14ac:dyDescent="0.35">
      <c r="I54" t="s">
        <v>100</v>
      </c>
      <c r="J54" t="s">
        <v>180</v>
      </c>
      <c r="K54" t="str">
        <v>Emmett West</v>
      </c>
    </row>
    <row r="55" spans="1:11" x14ac:dyDescent="0.35">
      <c r="I55" t="s">
        <v>104</v>
      </c>
      <c r="J55" t="s">
        <v>182</v>
      </c>
      <c r="K55" t="str">
        <v>Ethel Beatrice Edhouse</v>
      </c>
    </row>
    <row r="56" spans="1:11" x14ac:dyDescent="0.35">
      <c r="I56" s="38" t="s">
        <v>18</v>
      </c>
      <c r="J56" s="36" t="s">
        <v>187</v>
      </c>
      <c r="K56" t="str">
        <v>Ethel Yates</v>
      </c>
    </row>
    <row r="57" spans="1:11" x14ac:dyDescent="0.35">
      <c r="A57" s="33" t="s">
        <v>181</v>
      </c>
      <c r="B57" t="s">
        <v>3</v>
      </c>
      <c r="C57" t="s">
        <v>43</v>
      </c>
      <c r="D57" t="s">
        <v>184</v>
      </c>
      <c r="E57" s="50" t="s">
        <v>161</v>
      </c>
      <c r="F57" s="33" t="s">
        <v>133</v>
      </c>
      <c r="G57" s="33" t="s">
        <v>134</v>
      </c>
      <c r="H57" t="s">
        <v>130</v>
      </c>
      <c r="I57" s="1" t="s">
        <v>141</v>
      </c>
      <c r="J57" s="3" t="s">
        <v>135</v>
      </c>
      <c r="K57" t="str">
        <v>Eva Jane Lord</v>
      </c>
    </row>
    <row r="58" spans="1:11" x14ac:dyDescent="0.35">
      <c r="E58" s="49" t="s">
        <v>179</v>
      </c>
      <c r="I58" t="s">
        <v>142</v>
      </c>
      <c r="J58" t="s">
        <v>136</v>
      </c>
      <c r="K58" t="str">
        <v>Female Edison</v>
      </c>
    </row>
    <row r="59" spans="1:11" x14ac:dyDescent="0.35">
      <c r="I59" t="s">
        <v>98</v>
      </c>
      <c r="J59" t="s">
        <v>137</v>
      </c>
      <c r="K59" t="str">
        <v>Female Keen</v>
      </c>
    </row>
    <row r="60" spans="1:11" x14ac:dyDescent="0.35">
      <c r="I60" t="s">
        <v>100</v>
      </c>
      <c r="J60" t="s">
        <v>180</v>
      </c>
      <c r="K60" t="str">
        <v>Female Lloyd</v>
      </c>
    </row>
    <row r="61" spans="1:11" x14ac:dyDescent="0.35">
      <c r="I61" t="s">
        <v>104</v>
      </c>
      <c r="J61" t="s">
        <v>182</v>
      </c>
      <c r="K61" t="str">
        <v>Female Scott</v>
      </c>
    </row>
    <row r="62" spans="1:11" x14ac:dyDescent="0.35">
      <c r="I62" s="38" t="s">
        <v>18</v>
      </c>
      <c r="J62" s="36" t="s">
        <v>183</v>
      </c>
      <c r="K62" t="str">
        <v>Female Shelton</v>
      </c>
    </row>
    <row r="63" spans="1:11" x14ac:dyDescent="0.35">
      <c r="A63" s="33" t="s">
        <v>1738</v>
      </c>
      <c r="B63" t="s">
        <v>3</v>
      </c>
      <c r="C63" t="s">
        <v>43</v>
      </c>
      <c r="D63" t="s">
        <v>1739</v>
      </c>
      <c r="E63" s="49" t="s">
        <v>340</v>
      </c>
      <c r="F63" s="33" t="s">
        <v>1740</v>
      </c>
      <c r="G63" s="33" t="s">
        <v>1741</v>
      </c>
      <c r="H63" t="s">
        <v>1716</v>
      </c>
      <c r="I63" s="1" t="s">
        <v>133</v>
      </c>
      <c r="J63" s="3" t="s">
        <v>1743</v>
      </c>
      <c r="K63" t="str">
        <v>Female Warren</v>
      </c>
    </row>
    <row r="64" spans="1:11" x14ac:dyDescent="0.35">
      <c r="E64" s="20"/>
      <c r="I64" t="s">
        <v>133</v>
      </c>
      <c r="J64" t="s">
        <v>1744</v>
      </c>
      <c r="K64" t="str">
        <v>Female West</v>
      </c>
    </row>
    <row r="65" spans="1:11" x14ac:dyDescent="0.35">
      <c r="I65" t="s">
        <v>1742</v>
      </c>
      <c r="J65" t="s">
        <v>133</v>
      </c>
      <c r="K65" t="str">
        <v>Florence Ellen Shedd</v>
      </c>
    </row>
    <row r="66" spans="1:11" x14ac:dyDescent="0.35">
      <c r="I66" t="s">
        <v>133</v>
      </c>
      <c r="J66" t="s">
        <v>1745</v>
      </c>
      <c r="K66" t="str">
        <v>Frederick Goodfellow</v>
      </c>
    </row>
    <row r="67" spans="1:11" x14ac:dyDescent="0.35">
      <c r="I67" t="s">
        <v>141</v>
      </c>
      <c r="J67" t="s">
        <v>1746</v>
      </c>
      <c r="K67" t="str">
        <v>Gabriel James Andrews</v>
      </c>
    </row>
    <row r="68" spans="1:11" x14ac:dyDescent="0.35">
      <c r="I68" t="s">
        <v>142</v>
      </c>
      <c r="J68" t="s">
        <v>1747</v>
      </c>
      <c r="K68" t="str">
        <v>Gareth David Young</v>
      </c>
    </row>
    <row r="69" spans="1:11" x14ac:dyDescent="0.35">
      <c r="I69" t="s">
        <v>98</v>
      </c>
      <c r="J69" t="s">
        <v>1748</v>
      </c>
      <c r="K69" t="str">
        <v>Genette Clodfelter</v>
      </c>
    </row>
    <row r="70" spans="1:11" x14ac:dyDescent="0.35">
      <c r="I70" t="s">
        <v>100</v>
      </c>
      <c r="J70" t="s">
        <v>1748</v>
      </c>
      <c r="K70" t="str">
        <v>George Goodfellow</v>
      </c>
    </row>
    <row r="71" spans="1:11" x14ac:dyDescent="0.35">
      <c r="I71" t="s">
        <v>104</v>
      </c>
      <c r="J71" t="s">
        <v>1010</v>
      </c>
      <c r="K71" t="str">
        <v>George W Yates</v>
      </c>
    </row>
    <row r="72" spans="1:11" x14ac:dyDescent="0.35">
      <c r="I72" s="38" t="s">
        <v>18</v>
      </c>
      <c r="J72" s="36" t="s">
        <v>1749</v>
      </c>
      <c r="K72" t="str">
        <v>Georgina Roma</v>
      </c>
    </row>
    <row r="73" spans="1:11" x14ac:dyDescent="0.35">
      <c r="A73" s="33" t="s">
        <v>3769</v>
      </c>
      <c r="B73" t="s">
        <v>3</v>
      </c>
      <c r="C73" t="s">
        <v>43</v>
      </c>
      <c r="D73" t="s">
        <v>184</v>
      </c>
      <c r="E73" s="50" t="s">
        <v>340</v>
      </c>
      <c r="F73" s="33" t="s">
        <v>133</v>
      </c>
      <c r="G73" s="33" t="s">
        <v>134</v>
      </c>
      <c r="H73" t="s">
        <v>130</v>
      </c>
      <c r="I73" s="1" t="s">
        <v>141</v>
      </c>
      <c r="J73" s="3" t="s">
        <v>135</v>
      </c>
      <c r="K73" t="str">
        <v>Gerry Lloyd</v>
      </c>
    </row>
    <row r="74" spans="1:11" x14ac:dyDescent="0.35">
      <c r="E74" s="18"/>
      <c r="I74" t="s">
        <v>142</v>
      </c>
      <c r="J74" t="s">
        <v>257</v>
      </c>
      <c r="K74" t="str">
        <v>Gertrude Maude Roma</v>
      </c>
    </row>
    <row r="75" spans="1:11" x14ac:dyDescent="0.35">
      <c r="I75" t="s">
        <v>98</v>
      </c>
      <c r="J75" t="s">
        <v>1845</v>
      </c>
      <c r="K75" t="str">
        <v>Grady Henry Brinkley</v>
      </c>
    </row>
    <row r="76" spans="1:11" x14ac:dyDescent="0.35">
      <c r="I76" t="s">
        <v>100</v>
      </c>
      <c r="J76" t="s">
        <v>1846</v>
      </c>
      <c r="K76" t="str">
        <v>Gwendoline Williams</v>
      </c>
    </row>
    <row r="77" spans="1:11" x14ac:dyDescent="0.35">
      <c r="I77" t="s">
        <v>104</v>
      </c>
      <c r="J77" t="s">
        <v>3577</v>
      </c>
      <c r="K77" t="str">
        <v>Harriet Ranson</v>
      </c>
    </row>
    <row r="78" spans="1:11" x14ac:dyDescent="0.35">
      <c r="I78" s="38" t="s">
        <v>1249</v>
      </c>
      <c r="J78" s="36" t="s">
        <v>3769</v>
      </c>
      <c r="K78" t="str">
        <v>Harry Brinkley</v>
      </c>
    </row>
    <row r="79" spans="1:11" x14ac:dyDescent="0.35">
      <c r="A79" s="33" t="s">
        <v>307</v>
      </c>
      <c r="B79" t="s">
        <v>3</v>
      </c>
      <c r="C79" t="s">
        <v>43</v>
      </c>
      <c r="D79" t="s">
        <v>1759</v>
      </c>
      <c r="E79" s="50" t="s">
        <v>909</v>
      </c>
      <c r="F79" s="33" t="s">
        <v>1740</v>
      </c>
      <c r="G79" s="33" t="s">
        <v>1741</v>
      </c>
      <c r="H79" t="s">
        <v>1716</v>
      </c>
      <c r="I79" s="1" t="s">
        <v>133</v>
      </c>
      <c r="J79" s="3" t="s">
        <v>1743</v>
      </c>
      <c r="K79" t="str">
        <v>Henry H Johnson</v>
      </c>
    </row>
    <row r="80" spans="1:11" x14ac:dyDescent="0.35">
      <c r="E80" s="49" t="s">
        <v>201</v>
      </c>
      <c r="I80" t="s">
        <v>133</v>
      </c>
      <c r="J80" t="s">
        <v>1744</v>
      </c>
      <c r="K80" t="str">
        <v>Horrace Wigmore Bowles</v>
      </c>
    </row>
    <row r="81" spans="1:11" x14ac:dyDescent="0.35">
      <c r="I81" t="s">
        <v>1742</v>
      </c>
      <c r="J81" t="s">
        <v>1744</v>
      </c>
      <c r="K81" t="str">
        <v>J Williams</v>
      </c>
    </row>
    <row r="82" spans="1:11" x14ac:dyDescent="0.35">
      <c r="I82" t="s">
        <v>133</v>
      </c>
      <c r="J82" t="s">
        <v>1750</v>
      </c>
      <c r="K82" t="str">
        <v>Jack Brooks</v>
      </c>
    </row>
    <row r="83" spans="1:11" x14ac:dyDescent="0.35">
      <c r="I83" t="s">
        <v>141</v>
      </c>
      <c r="J83" t="s">
        <v>1751</v>
      </c>
      <c r="K83" t="str">
        <v>Jacob Brinkley</v>
      </c>
    </row>
    <row r="84" spans="1:11" x14ac:dyDescent="0.35">
      <c r="I84" t="s">
        <v>142</v>
      </c>
      <c r="J84" t="s">
        <v>1752</v>
      </c>
      <c r="K84" t="str">
        <v>Jacob James Brinkley</v>
      </c>
    </row>
    <row r="85" spans="1:11" x14ac:dyDescent="0.35">
      <c r="I85" t="s">
        <v>98</v>
      </c>
      <c r="J85" t="s">
        <v>1753</v>
      </c>
      <c r="K85" t="str">
        <v>Jacob Martin Loy</v>
      </c>
    </row>
    <row r="86" spans="1:11" x14ac:dyDescent="0.35">
      <c r="I86" t="s">
        <v>100</v>
      </c>
      <c r="J86" t="s">
        <v>1754</v>
      </c>
      <c r="K86" t="str">
        <v>James Brinkley</v>
      </c>
    </row>
    <row r="87" spans="1:11" x14ac:dyDescent="0.35">
      <c r="I87" t="s">
        <v>104</v>
      </c>
      <c r="J87" t="s">
        <v>1755</v>
      </c>
      <c r="K87" t="str">
        <v>James John Foreman</v>
      </c>
    </row>
    <row r="88" spans="1:11" x14ac:dyDescent="0.35">
      <c r="I88" s="38" t="s">
        <v>18</v>
      </c>
      <c r="J88" t="s">
        <v>1756</v>
      </c>
      <c r="K88" t="str">
        <v>Jan Johnson</v>
      </c>
    </row>
    <row r="89" spans="1:11" x14ac:dyDescent="0.35">
      <c r="J89" t="s">
        <v>1757</v>
      </c>
      <c r="K89" t="str">
        <v>Jane Balls</v>
      </c>
    </row>
    <row r="90" spans="1:11" x14ac:dyDescent="0.35">
      <c r="J90" t="s">
        <v>886</v>
      </c>
      <c r="K90" t="str">
        <v>Jane Wheeler</v>
      </c>
    </row>
    <row r="91" spans="1:11" x14ac:dyDescent="0.35">
      <c r="J91" s="36" t="s">
        <v>1758</v>
      </c>
      <c r="K91" t="str">
        <v>Janet M Chinery</v>
      </c>
    </row>
    <row r="92" spans="1:11" x14ac:dyDescent="0.35">
      <c r="A92" s="33" t="s">
        <v>3576</v>
      </c>
      <c r="B92" t="s">
        <v>3</v>
      </c>
      <c r="C92" t="s">
        <v>43</v>
      </c>
      <c r="D92" t="s">
        <v>159</v>
      </c>
      <c r="E92" s="40" t="s">
        <v>608</v>
      </c>
      <c r="F92" s="33" t="s">
        <v>133</v>
      </c>
      <c r="G92" s="33" t="s">
        <v>134</v>
      </c>
      <c r="H92" t="s">
        <v>130</v>
      </c>
      <c r="I92" s="1" t="s">
        <v>141</v>
      </c>
      <c r="J92" s="3" t="s">
        <v>135</v>
      </c>
      <c r="K92" t="str">
        <v>Janice L Wortley</v>
      </c>
    </row>
    <row r="93" spans="1:11" x14ac:dyDescent="0.35">
      <c r="E93" s="18"/>
      <c r="I93" t="s">
        <v>142</v>
      </c>
      <c r="J93" t="s">
        <v>257</v>
      </c>
      <c r="K93" t="str">
        <v>Janine A King</v>
      </c>
    </row>
    <row r="94" spans="1:11" x14ac:dyDescent="0.35">
      <c r="I94" t="s">
        <v>98</v>
      </c>
      <c r="J94" t="s">
        <v>1845</v>
      </c>
      <c r="K94" t="str">
        <v>Jean E Cullen</v>
      </c>
    </row>
    <row r="95" spans="1:11" x14ac:dyDescent="0.35">
      <c r="I95" t="s">
        <v>100</v>
      </c>
      <c r="J95" t="s">
        <v>1846</v>
      </c>
      <c r="K95" t="str">
        <v>Jean Lord</v>
      </c>
    </row>
    <row r="96" spans="1:11" x14ac:dyDescent="0.35">
      <c r="I96" t="s">
        <v>104</v>
      </c>
      <c r="J96" s="36" t="s">
        <v>3577</v>
      </c>
      <c r="K96" t="str">
        <v>Jillian Ranson</v>
      </c>
    </row>
    <row r="97" spans="1:11" x14ac:dyDescent="0.35">
      <c r="I97" s="38" t="s">
        <v>18</v>
      </c>
      <c r="K97" t="str">
        <v>Joe Lord</v>
      </c>
    </row>
    <row r="98" spans="1:11" x14ac:dyDescent="0.35">
      <c r="A98" s="33" t="s">
        <v>3417</v>
      </c>
      <c r="B98" t="s">
        <v>3</v>
      </c>
      <c r="C98" t="s">
        <v>43</v>
      </c>
      <c r="D98" t="s">
        <v>64</v>
      </c>
      <c r="E98" s="34" t="s">
        <v>608</v>
      </c>
      <c r="F98" s="33" t="s">
        <v>133</v>
      </c>
      <c r="G98" s="33" t="s">
        <v>134</v>
      </c>
      <c r="H98" t="s">
        <v>130</v>
      </c>
      <c r="I98" s="1" t="s">
        <v>141</v>
      </c>
      <c r="J98" s="3" t="s">
        <v>133</v>
      </c>
      <c r="K98" t="str">
        <v>John Balls</v>
      </c>
    </row>
    <row r="99" spans="1:11" x14ac:dyDescent="0.35">
      <c r="E99" s="20"/>
      <c r="I99" t="s">
        <v>142</v>
      </c>
      <c r="J99" t="s">
        <v>3411</v>
      </c>
      <c r="K99" t="str">
        <v>John Brinkley</v>
      </c>
    </row>
    <row r="100" spans="1:11" x14ac:dyDescent="0.35">
      <c r="I100" t="s">
        <v>98</v>
      </c>
      <c r="J100" t="s">
        <v>3412</v>
      </c>
      <c r="K100" t="str">
        <v>John Edward Andrews</v>
      </c>
    </row>
    <row r="101" spans="1:11" x14ac:dyDescent="0.35">
      <c r="I101" t="s">
        <v>100</v>
      </c>
      <c r="J101" t="s">
        <v>3413</v>
      </c>
      <c r="K101" t="str">
        <v>John F Brinkley</v>
      </c>
    </row>
    <row r="102" spans="1:11" x14ac:dyDescent="0.35">
      <c r="I102" t="s">
        <v>104</v>
      </c>
      <c r="J102" t="s">
        <v>3414</v>
      </c>
      <c r="K102" t="str">
        <v>John O Brinkley</v>
      </c>
    </row>
    <row r="103" spans="1:11" x14ac:dyDescent="0.35">
      <c r="I103" s="38" t="s">
        <v>18</v>
      </c>
      <c r="J103" t="s">
        <v>3415</v>
      </c>
      <c r="K103" t="str">
        <v>John W Scott</v>
      </c>
    </row>
    <row r="104" spans="1:11" x14ac:dyDescent="0.35">
      <c r="I104" s="37"/>
      <c r="J104" s="36" t="s">
        <v>3416</v>
      </c>
      <c r="K104" t="str">
        <v>John Weston Green</v>
      </c>
    </row>
    <row r="105" spans="1:11" x14ac:dyDescent="0.35">
      <c r="A105" s="33" t="s">
        <v>2731</v>
      </c>
      <c r="B105" t="s">
        <v>3</v>
      </c>
      <c r="C105" t="s">
        <v>43</v>
      </c>
      <c r="D105" t="s">
        <v>143</v>
      </c>
      <c r="E105" s="49" t="s">
        <v>189</v>
      </c>
      <c r="F105" s="33" t="s">
        <v>133</v>
      </c>
      <c r="G105" s="33" t="s">
        <v>134</v>
      </c>
      <c r="H105" t="s">
        <v>130</v>
      </c>
      <c r="I105" s="1" t="s">
        <v>141</v>
      </c>
      <c r="J105" s="3" t="s">
        <v>1742</v>
      </c>
      <c r="K105" t="str">
        <v>John William Balls</v>
      </c>
    </row>
    <row r="106" spans="1:11" x14ac:dyDescent="0.35">
      <c r="E106" s="20"/>
      <c r="I106" t="s">
        <v>142</v>
      </c>
      <c r="J106" t="s">
        <v>2732</v>
      </c>
      <c r="K106" t="str">
        <v>Juanita Dell Brinkley</v>
      </c>
    </row>
    <row r="107" spans="1:11" x14ac:dyDescent="0.35">
      <c r="I107" t="s">
        <v>98</v>
      </c>
      <c r="J107" t="s">
        <v>2733</v>
      </c>
      <c r="K107" t="str">
        <v>Julie Taylor</v>
      </c>
    </row>
    <row r="108" spans="1:11" x14ac:dyDescent="0.35">
      <c r="I108" t="s">
        <v>100</v>
      </c>
      <c r="J108" t="s">
        <v>2734</v>
      </c>
      <c r="K108" t="str">
        <v>June E Bowles</v>
      </c>
    </row>
    <row r="109" spans="1:11" x14ac:dyDescent="0.35">
      <c r="I109" t="s">
        <v>104</v>
      </c>
      <c r="J109" t="s">
        <v>2735</v>
      </c>
      <c r="K109" t="str">
        <v>June R Williams</v>
      </c>
    </row>
    <row r="110" spans="1:11" x14ac:dyDescent="0.35">
      <c r="I110" s="38" t="s">
        <v>18</v>
      </c>
      <c r="J110" s="36" t="s">
        <v>2736</v>
      </c>
      <c r="K110" t="str">
        <v>Katherine Allen</v>
      </c>
    </row>
    <row r="111" spans="1:11" x14ac:dyDescent="0.35">
      <c r="A111" s="33" t="s">
        <v>200</v>
      </c>
      <c r="B111" t="s">
        <v>3</v>
      </c>
      <c r="C111" t="s">
        <v>43</v>
      </c>
      <c r="D111" t="s">
        <v>64</v>
      </c>
      <c r="E111" s="49" t="s">
        <v>201</v>
      </c>
      <c r="F111" s="33" t="s">
        <v>133</v>
      </c>
      <c r="G111" s="33" t="s">
        <v>134</v>
      </c>
      <c r="H111" t="s">
        <v>130</v>
      </c>
      <c r="I111" s="1" t="s">
        <v>141</v>
      </c>
      <c r="J111" s="3" t="s">
        <v>135</v>
      </c>
      <c r="K111" t="str">
        <v>Kayla Burke</v>
      </c>
    </row>
    <row r="112" spans="1:11" x14ac:dyDescent="0.35">
      <c r="E112" s="20"/>
      <c r="I112" t="s">
        <v>142</v>
      </c>
      <c r="J112" t="s">
        <v>207</v>
      </c>
      <c r="K112" t="str">
        <v>Kendall Brinkley</v>
      </c>
    </row>
    <row r="113" spans="1:11" x14ac:dyDescent="0.35">
      <c r="I113" t="s">
        <v>98</v>
      </c>
      <c r="J113" t="s">
        <v>206</v>
      </c>
      <c r="K113" t="str">
        <v>Kevan N Frost</v>
      </c>
    </row>
    <row r="114" spans="1:11" x14ac:dyDescent="0.35">
      <c r="I114" t="s">
        <v>100</v>
      </c>
      <c r="J114" t="s">
        <v>205</v>
      </c>
      <c r="K114" t="str">
        <v>Kira Anne Hill</v>
      </c>
    </row>
    <row r="115" spans="1:11" x14ac:dyDescent="0.35">
      <c r="I115" t="s">
        <v>104</v>
      </c>
      <c r="J115" t="s">
        <v>204</v>
      </c>
      <c r="K115" t="str">
        <v>L Cox</v>
      </c>
    </row>
    <row r="116" spans="1:11" x14ac:dyDescent="0.35">
      <c r="I116" s="38" t="s">
        <v>18</v>
      </c>
      <c r="J116" t="s">
        <v>202</v>
      </c>
      <c r="K116" t="str">
        <v>Leah Buchanan</v>
      </c>
    </row>
    <row r="117" spans="1:11" x14ac:dyDescent="0.35">
      <c r="J117" s="36" t="s">
        <v>203</v>
      </c>
      <c r="K117" t="str">
        <v>Leon Michael Herrett</v>
      </c>
    </row>
    <row r="118" spans="1:11" x14ac:dyDescent="0.35">
      <c r="A118" s="33" t="s">
        <v>1760</v>
      </c>
      <c r="B118" t="s">
        <v>3</v>
      </c>
      <c r="C118" t="s">
        <v>43</v>
      </c>
      <c r="D118" t="s">
        <v>615</v>
      </c>
      <c r="E118" s="49" t="s">
        <v>201</v>
      </c>
      <c r="F118" s="33" t="s">
        <v>133</v>
      </c>
      <c r="G118" s="33" t="s">
        <v>1761</v>
      </c>
      <c r="H118" t="s">
        <v>1716</v>
      </c>
      <c r="I118" s="1" t="s">
        <v>133</v>
      </c>
      <c r="J118" s="3" t="s">
        <v>1762</v>
      </c>
      <c r="K118" t="str">
        <v>Leslie Steven Chinery</v>
      </c>
    </row>
    <row r="119" spans="1:11" x14ac:dyDescent="0.35">
      <c r="E119" s="20"/>
      <c r="I119" t="s">
        <v>1742</v>
      </c>
      <c r="J119" t="s">
        <v>1751</v>
      </c>
      <c r="K119" t="str">
        <v>Leslie Wortley</v>
      </c>
    </row>
    <row r="120" spans="1:11" x14ac:dyDescent="0.35">
      <c r="I120" t="s">
        <v>133</v>
      </c>
      <c r="J120" t="s">
        <v>1763</v>
      </c>
      <c r="K120" t="str">
        <v>Liz Green</v>
      </c>
    </row>
    <row r="121" spans="1:11" x14ac:dyDescent="0.35">
      <c r="I121" t="s">
        <v>141</v>
      </c>
      <c r="J121" t="s">
        <v>1751</v>
      </c>
      <c r="K121" t="str">
        <v>Lonnie Ray Cox</v>
      </c>
    </row>
    <row r="122" spans="1:11" x14ac:dyDescent="0.35">
      <c r="I122" t="s">
        <v>142</v>
      </c>
      <c r="J122" t="s">
        <v>1763</v>
      </c>
      <c r="K122" t="str">
        <v>Louisa Sarah Brinkley</v>
      </c>
    </row>
    <row r="123" spans="1:11" x14ac:dyDescent="0.35">
      <c r="I123" t="s">
        <v>98</v>
      </c>
      <c r="J123" t="s">
        <v>1764</v>
      </c>
      <c r="K123" t="str">
        <v>Lucinda Brinkley</v>
      </c>
    </row>
    <row r="124" spans="1:11" x14ac:dyDescent="0.35">
      <c r="I124" t="s">
        <v>100</v>
      </c>
      <c r="J124" t="s">
        <v>1765</v>
      </c>
      <c r="K124" t="str">
        <v>Malcolm M Johnson</v>
      </c>
    </row>
    <row r="125" spans="1:11" x14ac:dyDescent="0.35">
      <c r="I125" t="s">
        <v>104</v>
      </c>
      <c r="J125" t="s">
        <v>1766</v>
      </c>
      <c r="K125" t="str">
        <v>Male Frost</v>
      </c>
    </row>
    <row r="126" spans="1:11" x14ac:dyDescent="0.35">
      <c r="I126" s="38" t="s">
        <v>18</v>
      </c>
      <c r="J126" s="36" t="s">
        <v>1767</v>
      </c>
      <c r="K126" t="str">
        <v>Male Goodfellow</v>
      </c>
    </row>
    <row r="127" spans="1:11" x14ac:dyDescent="0.35">
      <c r="A127" s="33" t="s">
        <v>3536</v>
      </c>
      <c r="B127" t="s">
        <v>3</v>
      </c>
      <c r="C127" t="s">
        <v>43</v>
      </c>
      <c r="D127" t="s">
        <v>64</v>
      </c>
      <c r="E127" s="50" t="s">
        <v>201</v>
      </c>
      <c r="F127" s="33" t="s">
        <v>133</v>
      </c>
      <c r="G127" s="33" t="s">
        <v>134</v>
      </c>
      <c r="H127" t="s">
        <v>130</v>
      </c>
      <c r="I127" s="1" t="s">
        <v>141</v>
      </c>
      <c r="J127" s="3" t="s">
        <v>135</v>
      </c>
      <c r="K127" t="str">
        <v>Male Keen</v>
      </c>
    </row>
    <row r="128" spans="1:11" x14ac:dyDescent="0.35">
      <c r="E128" s="18"/>
      <c r="I128" t="s">
        <v>142</v>
      </c>
      <c r="J128" t="s">
        <v>3537</v>
      </c>
      <c r="K128" t="str">
        <v>Male shelton</v>
      </c>
    </row>
    <row r="129" spans="1:11" x14ac:dyDescent="0.35">
      <c r="I129" t="s">
        <v>98</v>
      </c>
      <c r="J129" t="s">
        <v>3538</v>
      </c>
      <c r="K129" t="str">
        <v>Male Skelt</v>
      </c>
    </row>
    <row r="130" spans="1:11" x14ac:dyDescent="0.35">
      <c r="I130" t="s">
        <v>100</v>
      </c>
      <c r="J130" t="s">
        <v>3539</v>
      </c>
      <c r="K130" t="str">
        <v>Male Strangward</v>
      </c>
    </row>
    <row r="131" spans="1:11" x14ac:dyDescent="0.35">
      <c r="I131" t="s">
        <v>104</v>
      </c>
      <c r="J131" t="s">
        <v>3540</v>
      </c>
      <c r="K131" t="str">
        <v>Mandy Ridgeon</v>
      </c>
    </row>
    <row r="132" spans="1:11" x14ac:dyDescent="0.35">
      <c r="I132" s="38" t="s">
        <v>18</v>
      </c>
      <c r="J132" t="s">
        <v>3541</v>
      </c>
      <c r="K132" t="str">
        <v>Maria Agnes Brinkley</v>
      </c>
    </row>
    <row r="133" spans="1:11" x14ac:dyDescent="0.35">
      <c r="J133" s="36" t="s">
        <v>3536</v>
      </c>
      <c r="K133" t="str">
        <v>Mary Ann Borley</v>
      </c>
    </row>
    <row r="134" spans="1:11" x14ac:dyDescent="0.35">
      <c r="A134" s="33" t="s">
        <v>3599</v>
      </c>
      <c r="B134" t="s">
        <v>3</v>
      </c>
      <c r="C134" t="s">
        <v>43</v>
      </c>
      <c r="D134" t="s">
        <v>64</v>
      </c>
      <c r="E134" s="50" t="s">
        <v>201</v>
      </c>
      <c r="F134" s="33" t="s">
        <v>1742</v>
      </c>
      <c r="G134" s="33"/>
      <c r="H134" t="s">
        <v>54</v>
      </c>
      <c r="I134" s="1" t="s">
        <v>141</v>
      </c>
      <c r="J134" s="3" t="s">
        <v>141</v>
      </c>
      <c r="K134" t="str">
        <v>Mary Ann Brinkley</v>
      </c>
    </row>
    <row r="135" spans="1:11" x14ac:dyDescent="0.35">
      <c r="E135" s="18"/>
      <c r="I135" t="s">
        <v>142</v>
      </c>
      <c r="J135" t="s">
        <v>135</v>
      </c>
      <c r="K135" t="str">
        <v>Mary Ann Hiatt</v>
      </c>
    </row>
    <row r="136" spans="1:11" x14ac:dyDescent="0.35">
      <c r="I136" t="s">
        <v>98</v>
      </c>
      <c r="J136" t="s">
        <v>3595</v>
      </c>
      <c r="K136" t="str">
        <v>Mary Brinkley</v>
      </c>
    </row>
    <row r="137" spans="1:11" x14ac:dyDescent="0.35">
      <c r="I137" t="s">
        <v>100</v>
      </c>
      <c r="J137" t="s">
        <v>3596</v>
      </c>
      <c r="K137" t="str">
        <v>Mary Lucinda Brinkley</v>
      </c>
    </row>
    <row r="138" spans="1:11" x14ac:dyDescent="0.35">
      <c r="I138" t="s">
        <v>104</v>
      </c>
      <c r="J138" t="s">
        <v>3597</v>
      </c>
      <c r="K138" t="str">
        <v>Mary Sellers</v>
      </c>
    </row>
    <row r="139" spans="1:11" x14ac:dyDescent="0.35">
      <c r="I139" s="38" t="s">
        <v>18</v>
      </c>
      <c r="J139" t="s">
        <v>3598</v>
      </c>
      <c r="K139" t="str">
        <v>Matched Ancestry</v>
      </c>
    </row>
    <row r="140" spans="1:11" x14ac:dyDescent="0.35">
      <c r="J140" s="36" t="s">
        <v>3599</v>
      </c>
      <c r="K140" t="str">
        <v>Matilda Jane Loy</v>
      </c>
    </row>
    <row r="141" spans="1:11" x14ac:dyDescent="0.35">
      <c r="A141" s="33" t="s">
        <v>1844</v>
      </c>
      <c r="B141" t="s">
        <v>3</v>
      </c>
      <c r="C141" t="s">
        <v>43</v>
      </c>
      <c r="D141" t="s">
        <v>64</v>
      </c>
      <c r="E141" s="50" t="s">
        <v>216</v>
      </c>
      <c r="F141" s="33" t="s">
        <v>133</v>
      </c>
      <c r="G141" s="33" t="s">
        <v>134</v>
      </c>
      <c r="H141" t="s">
        <v>130</v>
      </c>
      <c r="I141" s="1" t="s">
        <v>141</v>
      </c>
      <c r="J141" s="3" t="s">
        <v>135</v>
      </c>
      <c r="K141" t="str">
        <v>Michael Goodfellow</v>
      </c>
    </row>
    <row r="142" spans="1:11" x14ac:dyDescent="0.35">
      <c r="E142" s="18"/>
      <c r="I142" t="s">
        <v>142</v>
      </c>
      <c r="J142" t="s">
        <v>257</v>
      </c>
      <c r="K142" t="str">
        <v>Michael Williams</v>
      </c>
    </row>
    <row r="143" spans="1:11" x14ac:dyDescent="0.35">
      <c r="I143" t="s">
        <v>98</v>
      </c>
      <c r="J143" t="s">
        <v>1845</v>
      </c>
      <c r="K143" t="str">
        <v>Minta L Brinkley</v>
      </c>
    </row>
    <row r="144" spans="1:11" x14ac:dyDescent="0.35">
      <c r="I144" t="s">
        <v>100</v>
      </c>
      <c r="J144" t="s">
        <v>1846</v>
      </c>
      <c r="K144" t="str">
        <v>Molly Kathleen Brinkley</v>
      </c>
    </row>
    <row r="145" spans="1:11" x14ac:dyDescent="0.35">
      <c r="I145" t="s">
        <v>104</v>
      </c>
      <c r="J145" t="s">
        <v>1847</v>
      </c>
      <c r="K145" t="str">
        <v>Myrtle Edith V Bennett</v>
      </c>
    </row>
    <row r="146" spans="1:11" x14ac:dyDescent="0.35">
      <c r="I146" s="38" t="s">
        <v>1249</v>
      </c>
      <c r="J146" t="s">
        <v>1848</v>
      </c>
      <c r="K146" t="str">
        <v>Nathan Brinkley</v>
      </c>
    </row>
    <row r="147" spans="1:11" x14ac:dyDescent="0.35">
      <c r="J147" s="36" t="s">
        <v>1844</v>
      </c>
      <c r="K147" t="str">
        <v>Nelly Louisa Brin kley</v>
      </c>
    </row>
    <row r="148" spans="1:11" x14ac:dyDescent="0.35">
      <c r="A148" s="33" t="s">
        <v>1901</v>
      </c>
      <c r="B148" t="s">
        <v>3</v>
      </c>
      <c r="C148" t="s">
        <v>43</v>
      </c>
      <c r="D148" t="s">
        <v>143</v>
      </c>
      <c r="E148" s="49" t="s">
        <v>216</v>
      </c>
      <c r="F148" s="33" t="s">
        <v>133</v>
      </c>
      <c r="G148" s="33" t="s">
        <v>134</v>
      </c>
      <c r="H148" t="s">
        <v>130</v>
      </c>
      <c r="I148" s="1" t="s">
        <v>141</v>
      </c>
      <c r="J148" s="3" t="s">
        <v>135</v>
      </c>
      <c r="K148" t="str">
        <v>Oliver Keen</v>
      </c>
    </row>
    <row r="149" spans="1:11" x14ac:dyDescent="0.35">
      <c r="E149" s="20"/>
      <c r="I149" t="s">
        <v>142</v>
      </c>
      <c r="J149" t="s">
        <v>257</v>
      </c>
      <c r="K149" t="str">
        <v>Olivia King</v>
      </c>
    </row>
    <row r="150" spans="1:11" x14ac:dyDescent="0.35">
      <c r="I150" t="s">
        <v>98</v>
      </c>
      <c r="J150" t="s">
        <v>1708</v>
      </c>
      <c r="K150" t="str">
        <v>P D Andrews</v>
      </c>
    </row>
    <row r="151" spans="1:11" x14ac:dyDescent="0.35">
      <c r="I151" t="s">
        <v>100</v>
      </c>
      <c r="J151" t="s">
        <v>1902</v>
      </c>
      <c r="K151" t="str">
        <v>P H Green</v>
      </c>
    </row>
    <row r="152" spans="1:11" x14ac:dyDescent="0.35">
      <c r="I152" t="s">
        <v>104</v>
      </c>
      <c r="J152" t="s">
        <v>1903</v>
      </c>
      <c r="K152" t="str">
        <v>Peter Bland</v>
      </c>
    </row>
    <row r="153" spans="1:11" x14ac:dyDescent="0.35">
      <c r="I153" s="38" t="s">
        <v>18</v>
      </c>
      <c r="J153" s="36" t="s">
        <v>1901</v>
      </c>
      <c r="K153" t="str">
        <v>Peter Brinkley</v>
      </c>
    </row>
    <row r="154" spans="1:11" x14ac:dyDescent="0.35">
      <c r="A154" s="33" t="s">
        <v>2649</v>
      </c>
      <c r="B154" t="s">
        <v>3</v>
      </c>
      <c r="C154" t="s">
        <v>43</v>
      </c>
      <c r="D154" t="s">
        <v>143</v>
      </c>
      <c r="E154" s="49" t="s">
        <v>216</v>
      </c>
      <c r="F154" s="33" t="s">
        <v>133</v>
      </c>
      <c r="G154" s="33" t="s">
        <v>134</v>
      </c>
      <c r="H154" t="s">
        <v>130</v>
      </c>
      <c r="I154" s="1" t="s">
        <v>141</v>
      </c>
      <c r="J154" s="3" t="s">
        <v>135</v>
      </c>
      <c r="K154" t="str">
        <v>Philip Palmer Green</v>
      </c>
    </row>
    <row r="155" spans="1:11" x14ac:dyDescent="0.35">
      <c r="E155" s="50" t="s">
        <v>216</v>
      </c>
      <c r="I155" t="s">
        <v>142</v>
      </c>
      <c r="J155" t="s">
        <v>257</v>
      </c>
      <c r="K155" t="str">
        <v>Phillip Brinkley</v>
      </c>
    </row>
    <row r="156" spans="1:11" x14ac:dyDescent="0.35">
      <c r="I156" t="s">
        <v>98</v>
      </c>
      <c r="J156" t="s">
        <v>1708</v>
      </c>
      <c r="K156" t="str">
        <v>Phyllis Soer</v>
      </c>
    </row>
    <row r="157" spans="1:11" x14ac:dyDescent="0.35">
      <c r="I157" t="s">
        <v>100</v>
      </c>
      <c r="J157" t="s">
        <v>1902</v>
      </c>
      <c r="K157" t="str">
        <v>Pretoria  May Hawes</v>
      </c>
    </row>
    <row r="158" spans="1:11" x14ac:dyDescent="0.35">
      <c r="I158" t="s">
        <v>104</v>
      </c>
      <c r="J158" t="s">
        <v>2650</v>
      </c>
      <c r="K158" t="str">
        <v>Reddig Starke Brinkley</v>
      </c>
    </row>
    <row r="159" spans="1:11" x14ac:dyDescent="0.35">
      <c r="I159" s="38" t="s">
        <v>18</v>
      </c>
      <c r="J159" s="36" t="s">
        <v>2651</v>
      </c>
      <c r="K159" t="str">
        <v>Richard B Green</v>
      </c>
    </row>
    <row r="160" spans="1:11" x14ac:dyDescent="0.35">
      <c r="A160" s="33" t="s">
        <v>1303</v>
      </c>
      <c r="B160" t="s">
        <v>3</v>
      </c>
      <c r="C160" t="s">
        <v>43</v>
      </c>
      <c r="D160" t="s">
        <v>184</v>
      </c>
      <c r="E160" s="49" t="s">
        <v>72</v>
      </c>
      <c r="F160" s="33" t="s">
        <v>133</v>
      </c>
      <c r="G160" s="33" t="s">
        <v>134</v>
      </c>
      <c r="H160" t="s">
        <v>130</v>
      </c>
      <c r="I160" s="1" t="s">
        <v>141</v>
      </c>
      <c r="J160" s="3" t="s">
        <v>135</v>
      </c>
      <c r="K160" t="str">
        <v>Richard Brinkley</v>
      </c>
    </row>
    <row r="161" spans="1:11" x14ac:dyDescent="0.35">
      <c r="E161" s="50" t="s">
        <v>72</v>
      </c>
      <c r="I161" t="s">
        <v>142</v>
      </c>
      <c r="J161" t="s">
        <v>136</v>
      </c>
      <c r="K161" t="str">
        <v>Robert Brinkley</v>
      </c>
    </row>
    <row r="162" spans="1:11" x14ac:dyDescent="0.35">
      <c r="I162" t="s">
        <v>98</v>
      </c>
      <c r="J162" t="s">
        <v>137</v>
      </c>
      <c r="K162" t="str">
        <v>Robert Henry Johnson</v>
      </c>
    </row>
    <row r="163" spans="1:11" x14ac:dyDescent="0.35">
      <c r="I163" t="s">
        <v>100</v>
      </c>
      <c r="J163" t="s">
        <v>180</v>
      </c>
      <c r="K163" t="str">
        <v>Robin N Andews</v>
      </c>
    </row>
    <row r="164" spans="1:11" x14ac:dyDescent="0.35">
      <c r="I164" t="s">
        <v>104</v>
      </c>
      <c r="J164" t="s">
        <v>1304</v>
      </c>
      <c r="K164" t="str">
        <v>Rose Anne Frost</v>
      </c>
    </row>
    <row r="165" spans="1:11" x14ac:dyDescent="0.35">
      <c r="I165" s="38" t="s">
        <v>1249</v>
      </c>
      <c r="J165" s="36" t="s">
        <v>1303</v>
      </c>
      <c r="K165" t="str">
        <v>Rosella Brinkley</v>
      </c>
    </row>
    <row r="166" spans="1:11" x14ac:dyDescent="0.35">
      <c r="A166" s="33" t="s">
        <v>4279</v>
      </c>
      <c r="B166" t="s">
        <v>3</v>
      </c>
      <c r="C166" t="s">
        <v>43</v>
      </c>
      <c r="D166" t="s">
        <v>184</v>
      </c>
      <c r="E166" s="49" t="s">
        <v>72</v>
      </c>
      <c r="F166" s="33" t="s">
        <v>133</v>
      </c>
      <c r="G166" s="33" t="s">
        <v>134</v>
      </c>
      <c r="H166" t="s">
        <v>130</v>
      </c>
      <c r="I166" s="1" t="s">
        <v>141</v>
      </c>
      <c r="J166" s="3" t="s">
        <v>135</v>
      </c>
      <c r="K166" t="str">
        <v>Royce Kay Johnson</v>
      </c>
    </row>
    <row r="167" spans="1:11" x14ac:dyDescent="0.35">
      <c r="E167" s="50" t="s">
        <v>72</v>
      </c>
      <c r="I167" t="s">
        <v>142</v>
      </c>
      <c r="J167" t="s">
        <v>257</v>
      </c>
      <c r="K167" t="str">
        <v>Ruby Lavinia Chinery</v>
      </c>
    </row>
    <row r="168" spans="1:11" x14ac:dyDescent="0.35">
      <c r="I168" t="s">
        <v>98</v>
      </c>
      <c r="J168" t="s">
        <v>1708</v>
      </c>
      <c r="K168" t="str">
        <v>S D Moore</v>
      </c>
    </row>
    <row r="169" spans="1:11" x14ac:dyDescent="0.35">
      <c r="I169" t="s">
        <v>100</v>
      </c>
      <c r="J169" t="s">
        <v>1709</v>
      </c>
      <c r="K169" t="str">
        <v>Samuel Brinkley</v>
      </c>
    </row>
    <row r="170" spans="1:11" x14ac:dyDescent="0.35">
      <c r="I170" t="s">
        <v>104</v>
      </c>
      <c r="J170" t="s">
        <v>2650</v>
      </c>
      <c r="K170" t="str">
        <v>Samuel James Brinkley</v>
      </c>
    </row>
    <row r="171" spans="1:11" x14ac:dyDescent="0.35">
      <c r="I171" s="38" t="s">
        <v>1249</v>
      </c>
      <c r="J171" s="36" t="s">
        <v>4280</v>
      </c>
      <c r="K171" t="str">
        <v>Sarah Ann Crick</v>
      </c>
    </row>
    <row r="172" spans="1:11" x14ac:dyDescent="0.35">
      <c r="A172" s="33" t="s">
        <v>3437</v>
      </c>
      <c r="B172" t="s">
        <v>3</v>
      </c>
      <c r="C172" t="s">
        <v>43</v>
      </c>
      <c r="D172" t="s">
        <v>64</v>
      </c>
      <c r="E172" s="49" t="s">
        <v>72</v>
      </c>
      <c r="F172" s="33" t="s">
        <v>133</v>
      </c>
      <c r="G172" s="33" t="s">
        <v>134</v>
      </c>
      <c r="H172" t="s">
        <v>130</v>
      </c>
      <c r="I172" s="1" t="s">
        <v>141</v>
      </c>
      <c r="J172" s="3" t="s">
        <v>133</v>
      </c>
      <c r="K172" t="str">
        <v>Sarah Ann S Brinkley</v>
      </c>
    </row>
    <row r="173" spans="1:11" x14ac:dyDescent="0.35">
      <c r="E173" s="50"/>
      <c r="I173" t="s">
        <v>142</v>
      </c>
      <c r="J173" t="s">
        <v>3431</v>
      </c>
      <c r="K173" t="str">
        <v>Sarah Delilah Watson</v>
      </c>
    </row>
    <row r="174" spans="1:11" x14ac:dyDescent="0.35">
      <c r="I174" t="s">
        <v>98</v>
      </c>
      <c r="J174" t="s">
        <v>3432</v>
      </c>
      <c r="K174" t="str">
        <v>Sarah Sally Brinkley</v>
      </c>
    </row>
    <row r="175" spans="1:11" x14ac:dyDescent="0.35">
      <c r="I175" t="s">
        <v>100</v>
      </c>
      <c r="J175" t="s">
        <v>3433</v>
      </c>
      <c r="K175" t="str">
        <v>Scott Morley</v>
      </c>
    </row>
    <row r="176" spans="1:11" x14ac:dyDescent="0.35">
      <c r="I176" t="s">
        <v>104</v>
      </c>
      <c r="J176" t="s">
        <v>3434</v>
      </c>
      <c r="K176" t="str">
        <v>Sidney Charles Brinkley</v>
      </c>
    </row>
    <row r="177" spans="1:11" x14ac:dyDescent="0.35">
      <c r="I177" s="38" t="s">
        <v>1249</v>
      </c>
      <c r="J177" t="s">
        <v>3435</v>
      </c>
      <c r="K177" t="str">
        <v>Stanley Soer</v>
      </c>
    </row>
    <row r="178" spans="1:11" x14ac:dyDescent="0.35">
      <c r="I178" s="37"/>
      <c r="J178" s="36" t="s">
        <v>3436</v>
      </c>
      <c r="K178" t="str">
        <v>Stephen Brinkley</v>
      </c>
    </row>
    <row r="179" spans="1:11" x14ac:dyDescent="0.35">
      <c r="A179" s="33" t="s">
        <v>2837</v>
      </c>
      <c r="B179" t="s">
        <v>3</v>
      </c>
      <c r="C179" t="s">
        <v>43</v>
      </c>
      <c r="D179" t="s">
        <v>184</v>
      </c>
      <c r="E179" s="50" t="s">
        <v>72</v>
      </c>
      <c r="F179" s="33" t="s">
        <v>133</v>
      </c>
      <c r="G179" s="33" t="s">
        <v>134</v>
      </c>
      <c r="H179" t="s">
        <v>130</v>
      </c>
      <c r="I179" s="1" t="s">
        <v>141</v>
      </c>
      <c r="J179" s="3" t="s">
        <v>135</v>
      </c>
      <c r="K179" t="str">
        <v>Susan E Brinkley</v>
      </c>
    </row>
    <row r="180" spans="1:11" x14ac:dyDescent="0.35">
      <c r="E180" s="18" t="s">
        <v>72</v>
      </c>
      <c r="I180" t="s">
        <v>142</v>
      </c>
      <c r="J180" t="s">
        <v>257</v>
      </c>
      <c r="K180" t="str">
        <v>Thomas Brinkley</v>
      </c>
    </row>
    <row r="181" spans="1:11" x14ac:dyDescent="0.35">
      <c r="I181" t="s">
        <v>98</v>
      </c>
      <c r="J181" t="s">
        <v>1708</v>
      </c>
      <c r="K181" t="str">
        <v>Thomas William Frost</v>
      </c>
    </row>
    <row r="182" spans="1:11" x14ac:dyDescent="0.35">
      <c r="I182" t="s">
        <v>100</v>
      </c>
      <c r="J182" t="s">
        <v>1709</v>
      </c>
      <c r="K182" t="str">
        <v>Tracey Sheila Pringle</v>
      </c>
    </row>
    <row r="183" spans="1:11" x14ac:dyDescent="0.35">
      <c r="I183" t="s">
        <v>104</v>
      </c>
      <c r="J183" t="s">
        <v>1710</v>
      </c>
      <c r="K183" t="str">
        <v>Violet M Kirkby</v>
      </c>
    </row>
    <row r="184" spans="1:11" x14ac:dyDescent="0.35">
      <c r="I184" s="38" t="s">
        <v>1249</v>
      </c>
      <c r="J184" s="36" t="s">
        <v>1707</v>
      </c>
      <c r="K184" t="str">
        <v>Walter Brinkley</v>
      </c>
    </row>
    <row r="185" spans="1:11" x14ac:dyDescent="0.35">
      <c r="A185" t="s">
        <v>2613</v>
      </c>
      <c r="B185" t="s">
        <v>3</v>
      </c>
      <c r="C185" t="s">
        <v>43</v>
      </c>
      <c r="D185" t="s">
        <v>1759</v>
      </c>
      <c r="E185" s="49" t="s">
        <v>72</v>
      </c>
      <c r="F185" s="33" t="s">
        <v>1740</v>
      </c>
      <c r="G185" s="33" t="s">
        <v>1741</v>
      </c>
      <c r="H185" t="s">
        <v>1716</v>
      </c>
      <c r="I185" s="1" t="s">
        <v>133</v>
      </c>
      <c r="J185" s="3" t="s">
        <v>1743</v>
      </c>
      <c r="K185" t="str">
        <v>William A Brinkley</v>
      </c>
    </row>
    <row r="186" spans="1:11" x14ac:dyDescent="0.35">
      <c r="E186" s="20"/>
      <c r="I186" t="s">
        <v>133</v>
      </c>
      <c r="J186" t="s">
        <v>1744</v>
      </c>
      <c r="K186" t="str">
        <v>William Borley</v>
      </c>
    </row>
    <row r="187" spans="1:11" x14ac:dyDescent="0.35">
      <c r="I187" t="s">
        <v>1742</v>
      </c>
      <c r="J187" t="s">
        <v>1744</v>
      </c>
      <c r="K187" t="str">
        <v>William Brinkley</v>
      </c>
    </row>
    <row r="188" spans="1:11" x14ac:dyDescent="0.35">
      <c r="I188" t="s">
        <v>133</v>
      </c>
      <c r="J188" t="s">
        <v>1744</v>
      </c>
      <c r="K188" t="str">
        <v>William Martin</v>
      </c>
    </row>
    <row r="189" spans="1:11" x14ac:dyDescent="0.35">
      <c r="I189" t="s">
        <v>141</v>
      </c>
      <c r="J189" t="s">
        <v>1773</v>
      </c>
      <c r="K189" t="str">
        <v>Winnifred Mary Balls</v>
      </c>
    </row>
    <row r="190" spans="1:11" x14ac:dyDescent="0.35">
      <c r="I190" t="s">
        <v>142</v>
      </c>
      <c r="J190" t="s">
        <v>1774</v>
      </c>
      <c r="K190" t="str">
        <v>Zachariah Brinkley</v>
      </c>
    </row>
    <row r="191" spans="1:11" x14ac:dyDescent="0.35">
      <c r="I191" t="s">
        <v>98</v>
      </c>
      <c r="J191" t="s">
        <v>1775</v>
      </c>
      <c r="K191" t="str">
        <v>Zack Youngman</v>
      </c>
    </row>
    <row r="192" spans="1:11" x14ac:dyDescent="0.35">
      <c r="I192" t="s">
        <v>100</v>
      </c>
      <c r="J192" t="s">
        <v>1776</v>
      </c>
    </row>
    <row r="193" spans="1:10" x14ac:dyDescent="0.35">
      <c r="I193" t="s">
        <v>104</v>
      </c>
      <c r="J193" t="s">
        <v>1777</v>
      </c>
    </row>
    <row r="194" spans="1:10" x14ac:dyDescent="0.35">
      <c r="I194" s="38" t="s">
        <v>18</v>
      </c>
      <c r="J194" t="s">
        <v>1778</v>
      </c>
    </row>
    <row r="195" spans="1:10" x14ac:dyDescent="0.35">
      <c r="J195" t="s">
        <v>1779</v>
      </c>
    </row>
    <row r="196" spans="1:10" x14ac:dyDescent="0.35">
      <c r="J196" t="s">
        <v>1780</v>
      </c>
    </row>
    <row r="197" spans="1:10" x14ac:dyDescent="0.35">
      <c r="J197" s="36" t="s">
        <v>1781</v>
      </c>
    </row>
    <row r="198" spans="1:10" x14ac:dyDescent="0.35">
      <c r="A198" s="33" t="s">
        <v>1827</v>
      </c>
      <c r="B198" t="s">
        <v>3</v>
      </c>
      <c r="C198" t="s">
        <v>43</v>
      </c>
      <c r="D198" t="s">
        <v>1833</v>
      </c>
      <c r="E198" s="50" t="s">
        <v>72</v>
      </c>
      <c r="F198" s="33" t="s">
        <v>1740</v>
      </c>
      <c r="G198" s="33" t="s">
        <v>1741</v>
      </c>
      <c r="H198" t="s">
        <v>1716</v>
      </c>
      <c r="I198" s="1" t="s">
        <v>133</v>
      </c>
      <c r="J198" s="3" t="s">
        <v>1743</v>
      </c>
    </row>
    <row r="199" spans="1:10" x14ac:dyDescent="0.35">
      <c r="E199" s="18"/>
      <c r="I199" t="s">
        <v>133</v>
      </c>
      <c r="J199" t="s">
        <v>1744</v>
      </c>
    </row>
    <row r="200" spans="1:10" x14ac:dyDescent="0.35">
      <c r="I200" t="s">
        <v>1742</v>
      </c>
      <c r="J200" t="s">
        <v>1744</v>
      </c>
    </row>
    <row r="201" spans="1:10" x14ac:dyDescent="0.35">
      <c r="I201" t="s">
        <v>133</v>
      </c>
      <c r="J201" t="s">
        <v>1744</v>
      </c>
    </row>
    <row r="202" spans="1:10" x14ac:dyDescent="0.35">
      <c r="I202" t="s">
        <v>141</v>
      </c>
      <c r="J202" t="s">
        <v>133</v>
      </c>
    </row>
    <row r="203" spans="1:10" x14ac:dyDescent="0.35">
      <c r="I203" t="s">
        <v>142</v>
      </c>
      <c r="J203" t="s">
        <v>1828</v>
      </c>
    </row>
    <row r="204" spans="1:10" x14ac:dyDescent="0.35">
      <c r="I204" t="s">
        <v>98</v>
      </c>
      <c r="J204" t="s">
        <v>1829</v>
      </c>
    </row>
    <row r="205" spans="1:10" x14ac:dyDescent="0.35">
      <c r="I205" t="s">
        <v>100</v>
      </c>
      <c r="J205" t="s">
        <v>1830</v>
      </c>
    </row>
    <row r="206" spans="1:10" x14ac:dyDescent="0.35">
      <c r="I206" t="s">
        <v>104</v>
      </c>
      <c r="J206" t="s">
        <v>1834</v>
      </c>
    </row>
    <row r="207" spans="1:10" x14ac:dyDescent="0.35">
      <c r="I207" s="38" t="s">
        <v>18</v>
      </c>
      <c r="J207" t="s">
        <v>1831</v>
      </c>
    </row>
    <row r="208" spans="1:10" x14ac:dyDescent="0.35">
      <c r="J208" s="36" t="s">
        <v>1832</v>
      </c>
    </row>
    <row r="209" spans="1:10" x14ac:dyDescent="0.35">
      <c r="A209" s="33" t="s">
        <v>1835</v>
      </c>
      <c r="B209" t="s">
        <v>3</v>
      </c>
      <c r="C209" t="s">
        <v>43</v>
      </c>
      <c r="D209" t="s">
        <v>1811</v>
      </c>
      <c r="E209" s="49" t="s">
        <v>72</v>
      </c>
      <c r="F209" s="33" t="s">
        <v>1740</v>
      </c>
      <c r="G209" s="33" t="s">
        <v>1741</v>
      </c>
      <c r="H209" t="s">
        <v>1716</v>
      </c>
      <c r="I209" s="1" t="s">
        <v>133</v>
      </c>
      <c r="J209" s="3" t="s">
        <v>1743</v>
      </c>
    </row>
    <row r="210" spans="1:10" x14ac:dyDescent="0.35">
      <c r="E210" s="50" t="s">
        <v>72</v>
      </c>
      <c r="I210" t="s">
        <v>133</v>
      </c>
      <c r="J210" t="s">
        <v>1744</v>
      </c>
    </row>
    <row r="211" spans="1:10" x14ac:dyDescent="0.35">
      <c r="I211" t="s">
        <v>1742</v>
      </c>
      <c r="J211" t="s">
        <v>1744</v>
      </c>
    </row>
    <row r="212" spans="1:10" x14ac:dyDescent="0.35">
      <c r="I212" t="s">
        <v>133</v>
      </c>
      <c r="J212" t="s">
        <v>1744</v>
      </c>
    </row>
    <row r="213" spans="1:10" x14ac:dyDescent="0.35">
      <c r="I213" t="s">
        <v>141</v>
      </c>
      <c r="J213" t="s">
        <v>133</v>
      </c>
    </row>
    <row r="214" spans="1:10" x14ac:dyDescent="0.35">
      <c r="I214" t="s">
        <v>142</v>
      </c>
      <c r="J214" t="s">
        <v>1828</v>
      </c>
    </row>
    <row r="215" spans="1:10" x14ac:dyDescent="0.35">
      <c r="I215" t="s">
        <v>98</v>
      </c>
      <c r="J215" t="s">
        <v>1829</v>
      </c>
    </row>
    <row r="216" spans="1:10" x14ac:dyDescent="0.35">
      <c r="I216" t="s">
        <v>100</v>
      </c>
      <c r="J216" t="s">
        <v>1830</v>
      </c>
    </row>
    <row r="217" spans="1:10" x14ac:dyDescent="0.35">
      <c r="I217" t="s">
        <v>104</v>
      </c>
      <c r="J217" t="s">
        <v>1834</v>
      </c>
    </row>
    <row r="218" spans="1:10" x14ac:dyDescent="0.35">
      <c r="I218" s="38" t="s">
        <v>18</v>
      </c>
      <c r="J218" t="s">
        <v>1831</v>
      </c>
    </row>
    <row r="219" spans="1:10" x14ac:dyDescent="0.35">
      <c r="J219" t="s">
        <v>1831</v>
      </c>
    </row>
    <row r="220" spans="1:10" x14ac:dyDescent="0.35">
      <c r="J220" s="36" t="s">
        <v>1836</v>
      </c>
    </row>
    <row r="221" spans="1:10" x14ac:dyDescent="0.35">
      <c r="A221" s="33" t="s">
        <v>1782</v>
      </c>
      <c r="B221" t="s">
        <v>3</v>
      </c>
      <c r="C221" t="s">
        <v>43</v>
      </c>
      <c r="D221" t="s">
        <v>1783</v>
      </c>
      <c r="E221" s="49" t="s">
        <v>72</v>
      </c>
      <c r="F221" s="33" t="s">
        <v>1740</v>
      </c>
      <c r="G221" s="33" t="s">
        <v>1741</v>
      </c>
      <c r="H221" t="s">
        <v>1716</v>
      </c>
      <c r="I221" s="1" t="s">
        <v>133</v>
      </c>
      <c r="J221" s="3" t="s">
        <v>1743</v>
      </c>
    </row>
    <row r="222" spans="1:10" x14ac:dyDescent="0.35">
      <c r="E222" s="50" t="s">
        <v>72</v>
      </c>
      <c r="I222" t="s">
        <v>133</v>
      </c>
      <c r="J222" t="s">
        <v>1744</v>
      </c>
    </row>
    <row r="223" spans="1:10" x14ac:dyDescent="0.35">
      <c r="I223" t="s">
        <v>1742</v>
      </c>
      <c r="J223" t="s">
        <v>1744</v>
      </c>
    </row>
    <row r="224" spans="1:10" x14ac:dyDescent="0.35">
      <c r="I224" t="s">
        <v>133</v>
      </c>
      <c r="J224" t="s">
        <v>1744</v>
      </c>
    </row>
    <row r="225" spans="1:10" x14ac:dyDescent="0.35">
      <c r="I225" t="s">
        <v>141</v>
      </c>
      <c r="J225" t="s">
        <v>1773</v>
      </c>
    </row>
    <row r="226" spans="1:10" x14ac:dyDescent="0.35">
      <c r="I226" t="s">
        <v>142</v>
      </c>
      <c r="J226" t="s">
        <v>1774</v>
      </c>
    </row>
    <row r="227" spans="1:10" x14ac:dyDescent="0.35">
      <c r="I227" t="s">
        <v>98</v>
      </c>
      <c r="J227" t="s">
        <v>1775</v>
      </c>
    </row>
    <row r="228" spans="1:10" x14ac:dyDescent="0.35">
      <c r="I228" t="s">
        <v>100</v>
      </c>
      <c r="J228" t="s">
        <v>1776</v>
      </c>
    </row>
    <row r="229" spans="1:10" x14ac:dyDescent="0.35">
      <c r="I229" t="s">
        <v>104</v>
      </c>
      <c r="J229" t="s">
        <v>1777</v>
      </c>
    </row>
    <row r="230" spans="1:10" x14ac:dyDescent="0.35">
      <c r="I230" s="38" t="s">
        <v>18</v>
      </c>
      <c r="J230" t="s">
        <v>1778</v>
      </c>
    </row>
    <row r="231" spans="1:10" x14ac:dyDescent="0.35">
      <c r="J231" t="s">
        <v>1779</v>
      </c>
    </row>
    <row r="232" spans="1:10" x14ac:dyDescent="0.35">
      <c r="J232" t="s">
        <v>1780</v>
      </c>
    </row>
    <row r="233" spans="1:10" x14ac:dyDescent="0.35">
      <c r="J233" s="36" t="s">
        <v>2836</v>
      </c>
    </row>
    <row r="234" spans="1:10" x14ac:dyDescent="0.35">
      <c r="A234" s="33" t="s">
        <v>235</v>
      </c>
      <c r="B234" t="s">
        <v>3</v>
      </c>
      <c r="C234" t="s">
        <v>43</v>
      </c>
      <c r="D234" t="s">
        <v>184</v>
      </c>
      <c r="E234" s="51" t="s">
        <v>72</v>
      </c>
      <c r="F234" s="33" t="s">
        <v>133</v>
      </c>
      <c r="G234" s="33" t="s">
        <v>134</v>
      </c>
      <c r="H234" t="s">
        <v>130</v>
      </c>
      <c r="I234" s="1" t="s">
        <v>141</v>
      </c>
      <c r="J234" s="3" t="s">
        <v>135</v>
      </c>
    </row>
    <row r="235" spans="1:10" x14ac:dyDescent="0.35">
      <c r="E235" s="49" t="s">
        <v>89</v>
      </c>
      <c r="I235" t="s">
        <v>142</v>
      </c>
      <c r="J235" t="s">
        <v>136</v>
      </c>
    </row>
    <row r="236" spans="1:10" x14ac:dyDescent="0.35">
      <c r="I236" t="s">
        <v>98</v>
      </c>
      <c r="J236" t="s">
        <v>239</v>
      </c>
    </row>
    <row r="237" spans="1:10" x14ac:dyDescent="0.35">
      <c r="I237" t="s">
        <v>100</v>
      </c>
      <c r="J237" t="s">
        <v>238</v>
      </c>
    </row>
    <row r="238" spans="1:10" x14ac:dyDescent="0.35">
      <c r="I238" t="s">
        <v>104</v>
      </c>
      <c r="J238" t="s">
        <v>237</v>
      </c>
    </row>
    <row r="239" spans="1:10" x14ac:dyDescent="0.35">
      <c r="I239" s="38" t="s">
        <v>18</v>
      </c>
      <c r="J239" s="36" t="s">
        <v>236</v>
      </c>
    </row>
    <row r="240" spans="1:10" x14ac:dyDescent="0.35">
      <c r="A240" s="33" t="s">
        <v>1797</v>
      </c>
      <c r="B240" t="s">
        <v>3</v>
      </c>
      <c r="C240" t="s">
        <v>43</v>
      </c>
      <c r="D240" t="s">
        <v>1783</v>
      </c>
      <c r="E240" s="49" t="s">
        <v>65</v>
      </c>
      <c r="F240" s="33" t="s">
        <v>1740</v>
      </c>
      <c r="G240" s="33" t="s">
        <v>1741</v>
      </c>
      <c r="H240" t="s">
        <v>1716</v>
      </c>
      <c r="I240" s="1" t="s">
        <v>133</v>
      </c>
      <c r="J240" s="3" t="s">
        <v>1743</v>
      </c>
    </row>
    <row r="241" spans="1:10" x14ac:dyDescent="0.35">
      <c r="E241" s="20"/>
      <c r="I241" t="s">
        <v>133</v>
      </c>
      <c r="J241" t="s">
        <v>1744</v>
      </c>
    </row>
    <row r="242" spans="1:10" x14ac:dyDescent="0.35">
      <c r="I242" t="s">
        <v>1742</v>
      </c>
      <c r="J242" t="s">
        <v>1744</v>
      </c>
    </row>
    <row r="243" spans="1:10" x14ac:dyDescent="0.35">
      <c r="I243" t="s">
        <v>133</v>
      </c>
      <c r="J243" t="s">
        <v>1750</v>
      </c>
    </row>
    <row r="244" spans="1:10" x14ac:dyDescent="0.35">
      <c r="I244" t="s">
        <v>141</v>
      </c>
      <c r="J244" t="s">
        <v>133</v>
      </c>
    </row>
    <row r="245" spans="1:10" x14ac:dyDescent="0.35">
      <c r="I245" t="s">
        <v>142</v>
      </c>
      <c r="J245" t="s">
        <v>1802</v>
      </c>
    </row>
    <row r="246" spans="1:10" x14ac:dyDescent="0.35">
      <c r="I246" t="s">
        <v>98</v>
      </c>
      <c r="J246" t="s">
        <v>1751</v>
      </c>
    </row>
    <row r="247" spans="1:10" x14ac:dyDescent="0.35">
      <c r="I247" t="s">
        <v>100</v>
      </c>
      <c r="J247" t="s">
        <v>1801</v>
      </c>
    </row>
    <row r="248" spans="1:10" x14ac:dyDescent="0.35">
      <c r="I248" t="s">
        <v>104</v>
      </c>
      <c r="J248" t="s">
        <v>1800</v>
      </c>
    </row>
    <row r="249" spans="1:10" x14ac:dyDescent="0.35">
      <c r="I249" s="38" t="s">
        <v>18</v>
      </c>
      <c r="J249" t="s">
        <v>1799</v>
      </c>
    </row>
    <row r="250" spans="1:10" x14ac:dyDescent="0.35">
      <c r="J250" t="s">
        <v>1798</v>
      </c>
    </row>
    <row r="251" spans="1:10" x14ac:dyDescent="0.35">
      <c r="J251" s="36" t="s">
        <v>1797</v>
      </c>
    </row>
    <row r="252" spans="1:10" x14ac:dyDescent="0.35">
      <c r="A252" s="33" t="s">
        <v>1318</v>
      </c>
      <c r="B252" t="s">
        <v>3</v>
      </c>
      <c r="C252" t="s">
        <v>43</v>
      </c>
      <c r="D252" t="s">
        <v>184</v>
      </c>
      <c r="E252" s="51" t="s">
        <v>65</v>
      </c>
      <c r="F252" s="33" t="s">
        <v>133</v>
      </c>
      <c r="G252" s="33" t="s">
        <v>134</v>
      </c>
      <c r="H252" t="s">
        <v>130</v>
      </c>
      <c r="I252" s="1" t="s">
        <v>141</v>
      </c>
      <c r="J252" s="3" t="s">
        <v>135</v>
      </c>
    </row>
    <row r="253" spans="1:10" x14ac:dyDescent="0.35">
      <c r="E253" s="18"/>
      <c r="F253" s="33"/>
      <c r="I253" t="s">
        <v>142</v>
      </c>
      <c r="J253" t="s">
        <v>136</v>
      </c>
    </row>
    <row r="254" spans="1:10" x14ac:dyDescent="0.35">
      <c r="I254" t="s">
        <v>98</v>
      </c>
      <c r="J254" t="s">
        <v>137</v>
      </c>
    </row>
    <row r="255" spans="1:10" x14ac:dyDescent="0.35">
      <c r="I255" t="s">
        <v>100</v>
      </c>
      <c r="J255" t="s">
        <v>180</v>
      </c>
    </row>
    <row r="256" spans="1:10" x14ac:dyDescent="0.35">
      <c r="I256" t="s">
        <v>104</v>
      </c>
      <c r="J256" t="s">
        <v>1319</v>
      </c>
    </row>
    <row r="257" spans="1:10" x14ac:dyDescent="0.35">
      <c r="I257" s="38" t="s">
        <v>1249</v>
      </c>
      <c r="J257" s="36" t="s">
        <v>1320</v>
      </c>
    </row>
    <row r="258" spans="1:10" x14ac:dyDescent="0.35">
      <c r="A258" s="33" t="s">
        <v>3927</v>
      </c>
      <c r="B258" t="s">
        <v>3</v>
      </c>
      <c r="C258" t="s">
        <v>43</v>
      </c>
      <c r="D258" t="s">
        <v>184</v>
      </c>
      <c r="E258" s="49" t="s">
        <v>65</v>
      </c>
      <c r="F258" s="33" t="s">
        <v>133</v>
      </c>
      <c r="G258" s="33" t="s">
        <v>134</v>
      </c>
      <c r="H258" t="s">
        <v>130</v>
      </c>
      <c r="I258" s="1" t="s">
        <v>141</v>
      </c>
      <c r="J258" s="3" t="s">
        <v>245</v>
      </c>
    </row>
    <row r="259" spans="1:10" x14ac:dyDescent="0.35">
      <c r="E259" s="20"/>
      <c r="F259" s="33"/>
      <c r="I259" t="s">
        <v>142</v>
      </c>
      <c r="J259" t="s">
        <v>244</v>
      </c>
    </row>
    <row r="260" spans="1:10" x14ac:dyDescent="0.35">
      <c r="I260" t="s">
        <v>98</v>
      </c>
      <c r="J260" t="s">
        <v>3928</v>
      </c>
    </row>
    <row r="261" spans="1:10" x14ac:dyDescent="0.35">
      <c r="I261" t="s">
        <v>100</v>
      </c>
      <c r="J261" t="s">
        <v>3929</v>
      </c>
    </row>
    <row r="262" spans="1:10" x14ac:dyDescent="0.35">
      <c r="I262" t="s">
        <v>104</v>
      </c>
      <c r="J262" t="s">
        <v>3930</v>
      </c>
    </row>
    <row r="263" spans="1:10" x14ac:dyDescent="0.35">
      <c r="I263" s="38" t="s">
        <v>1249</v>
      </c>
      <c r="J263" s="36" t="s">
        <v>3931</v>
      </c>
    </row>
    <row r="264" spans="1:10" x14ac:dyDescent="0.35">
      <c r="A264" s="33" t="s">
        <v>240</v>
      </c>
      <c r="B264" t="s">
        <v>3</v>
      </c>
      <c r="C264" t="s">
        <v>43</v>
      </c>
      <c r="D264" t="s">
        <v>184</v>
      </c>
      <c r="E264" s="49" t="s">
        <v>89</v>
      </c>
      <c r="F264" s="33" t="s">
        <v>133</v>
      </c>
      <c r="G264" s="33" t="s">
        <v>134</v>
      </c>
      <c r="H264" t="s">
        <v>130</v>
      </c>
      <c r="I264" s="1" t="s">
        <v>141</v>
      </c>
      <c r="J264" s="3" t="s">
        <v>245</v>
      </c>
    </row>
    <row r="265" spans="1:10" x14ac:dyDescent="0.35">
      <c r="E265" s="20"/>
      <c r="I265" t="s">
        <v>142</v>
      </c>
      <c r="J265" t="s">
        <v>244</v>
      </c>
    </row>
    <row r="266" spans="1:10" x14ac:dyDescent="0.35">
      <c r="I266" t="s">
        <v>98</v>
      </c>
      <c r="J266" t="s">
        <v>243</v>
      </c>
    </row>
    <row r="267" spans="1:10" x14ac:dyDescent="0.35">
      <c r="I267" t="s">
        <v>100</v>
      </c>
      <c r="J267" t="s">
        <v>242</v>
      </c>
    </row>
    <row r="268" spans="1:10" x14ac:dyDescent="0.35">
      <c r="I268" t="s">
        <v>104</v>
      </c>
      <c r="J268" t="s">
        <v>241</v>
      </c>
    </row>
    <row r="269" spans="1:10" x14ac:dyDescent="0.35">
      <c r="I269" s="38" t="s">
        <v>18</v>
      </c>
      <c r="J269" s="36" t="s">
        <v>451</v>
      </c>
    </row>
    <row r="270" spans="1:10" x14ac:dyDescent="0.35">
      <c r="A270" s="33" t="s">
        <v>450</v>
      </c>
      <c r="B270" t="s">
        <v>3</v>
      </c>
      <c r="C270" t="s">
        <v>43</v>
      </c>
      <c r="D270" t="s">
        <v>64</v>
      </c>
      <c r="E270" s="49" t="s">
        <v>89</v>
      </c>
      <c r="F270" s="33" t="s">
        <v>133</v>
      </c>
      <c r="G270" s="33" t="s">
        <v>134</v>
      </c>
      <c r="H270" t="s">
        <v>130</v>
      </c>
      <c r="I270" s="1" t="s">
        <v>141</v>
      </c>
      <c r="J270" s="3" t="s">
        <v>245</v>
      </c>
    </row>
    <row r="271" spans="1:10" x14ac:dyDescent="0.35">
      <c r="E271" s="20"/>
      <c r="I271" t="s">
        <v>142</v>
      </c>
      <c r="J271" t="s">
        <v>244</v>
      </c>
    </row>
    <row r="272" spans="1:10" x14ac:dyDescent="0.35">
      <c r="I272" t="s">
        <v>98</v>
      </c>
      <c r="J272" t="s">
        <v>243</v>
      </c>
    </row>
    <row r="273" spans="1:10" x14ac:dyDescent="0.35">
      <c r="I273" t="s">
        <v>100</v>
      </c>
      <c r="J273" t="s">
        <v>242</v>
      </c>
    </row>
    <row r="274" spans="1:10" x14ac:dyDescent="0.35">
      <c r="I274" t="s">
        <v>104</v>
      </c>
      <c r="J274" t="s">
        <v>241</v>
      </c>
    </row>
    <row r="275" spans="1:10" x14ac:dyDescent="0.35">
      <c r="I275" s="38" t="s">
        <v>18</v>
      </c>
      <c r="J275" t="s">
        <v>451</v>
      </c>
    </row>
    <row r="276" spans="1:10" x14ac:dyDescent="0.35">
      <c r="J276" s="36" t="s">
        <v>452</v>
      </c>
    </row>
    <row r="277" spans="1:10" x14ac:dyDescent="0.35">
      <c r="A277" s="33" t="s">
        <v>1810</v>
      </c>
      <c r="B277" t="s">
        <v>3</v>
      </c>
      <c r="C277" t="s">
        <v>43</v>
      </c>
      <c r="D277" t="s">
        <v>1811</v>
      </c>
      <c r="E277" s="49" t="s">
        <v>44</v>
      </c>
      <c r="F277" s="33" t="s">
        <v>1740</v>
      </c>
      <c r="G277" s="33" t="s">
        <v>1741</v>
      </c>
      <c r="H277" t="s">
        <v>1716</v>
      </c>
      <c r="I277" s="1" t="s">
        <v>133</v>
      </c>
      <c r="J277" s="3" t="s">
        <v>1743</v>
      </c>
    </row>
    <row r="278" spans="1:10" x14ac:dyDescent="0.35">
      <c r="E278" s="20"/>
      <c r="I278" t="s">
        <v>133</v>
      </c>
      <c r="J278" t="s">
        <v>1744</v>
      </c>
    </row>
    <row r="279" spans="1:10" x14ac:dyDescent="0.35">
      <c r="I279" t="s">
        <v>1742</v>
      </c>
      <c r="J279" t="s">
        <v>1744</v>
      </c>
    </row>
    <row r="280" spans="1:10" x14ac:dyDescent="0.35">
      <c r="I280" t="s">
        <v>133</v>
      </c>
      <c r="J280" t="s">
        <v>1750</v>
      </c>
    </row>
    <row r="281" spans="1:10" x14ac:dyDescent="0.35">
      <c r="I281" t="s">
        <v>141</v>
      </c>
      <c r="J281" t="s">
        <v>1812</v>
      </c>
    </row>
    <row r="282" spans="1:10" x14ac:dyDescent="0.35">
      <c r="I282" t="s">
        <v>142</v>
      </c>
      <c r="J282" t="s">
        <v>1742</v>
      </c>
    </row>
    <row r="283" spans="1:10" x14ac:dyDescent="0.35">
      <c r="I283" t="s">
        <v>98</v>
      </c>
      <c r="J283" t="s">
        <v>1813</v>
      </c>
    </row>
    <row r="284" spans="1:10" x14ac:dyDescent="0.35">
      <c r="I284" t="s">
        <v>100</v>
      </c>
      <c r="J284" t="s">
        <v>1814</v>
      </c>
    </row>
    <row r="285" spans="1:10" x14ac:dyDescent="0.35">
      <c r="I285" t="s">
        <v>104</v>
      </c>
      <c r="J285" t="s">
        <v>1815</v>
      </c>
    </row>
    <row r="286" spans="1:10" ht="15.75" customHeight="1" x14ac:dyDescent="0.35">
      <c r="I286" s="38" t="s">
        <v>18</v>
      </c>
      <c r="J286" t="s">
        <v>1816</v>
      </c>
    </row>
    <row r="287" spans="1:10" x14ac:dyDescent="0.35">
      <c r="J287" t="s">
        <v>1817</v>
      </c>
    </row>
    <row r="288" spans="1:10" x14ac:dyDescent="0.35">
      <c r="J288" s="36" t="s">
        <v>1818</v>
      </c>
    </row>
    <row r="289" spans="1:10" x14ac:dyDescent="0.35">
      <c r="A289" s="33" t="s">
        <v>1819</v>
      </c>
      <c r="B289" t="s">
        <v>3</v>
      </c>
      <c r="C289" t="s">
        <v>43</v>
      </c>
      <c r="D289" t="s">
        <v>1759</v>
      </c>
      <c r="E289" s="49" t="s">
        <v>44</v>
      </c>
      <c r="F289" s="33" t="s">
        <v>1740</v>
      </c>
      <c r="G289" s="33" t="s">
        <v>1741</v>
      </c>
      <c r="H289" t="s">
        <v>1716</v>
      </c>
      <c r="I289" s="1" t="s">
        <v>133</v>
      </c>
      <c r="J289" s="3" t="s">
        <v>1743</v>
      </c>
    </row>
    <row r="290" spans="1:10" x14ac:dyDescent="0.35">
      <c r="E290" s="20"/>
      <c r="I290" t="s">
        <v>133</v>
      </c>
      <c r="J290" t="s">
        <v>1744</v>
      </c>
    </row>
    <row r="291" spans="1:10" x14ac:dyDescent="0.35">
      <c r="I291" t="s">
        <v>1742</v>
      </c>
      <c r="J291" t="s">
        <v>1744</v>
      </c>
    </row>
    <row r="292" spans="1:10" x14ac:dyDescent="0.35">
      <c r="I292" t="s">
        <v>133</v>
      </c>
      <c r="J292" t="s">
        <v>1744</v>
      </c>
    </row>
    <row r="293" spans="1:10" x14ac:dyDescent="0.35">
      <c r="I293" t="s">
        <v>141</v>
      </c>
      <c r="J293" t="s">
        <v>133</v>
      </c>
    </row>
    <row r="294" spans="1:10" x14ac:dyDescent="0.35">
      <c r="I294" t="s">
        <v>142</v>
      </c>
      <c r="J294" t="s">
        <v>1742</v>
      </c>
    </row>
    <row r="295" spans="1:10" x14ac:dyDescent="0.35">
      <c r="I295" t="s">
        <v>98</v>
      </c>
      <c r="J295" t="s">
        <v>1826</v>
      </c>
    </row>
    <row r="296" spans="1:10" x14ac:dyDescent="0.35">
      <c r="I296" t="s">
        <v>100</v>
      </c>
      <c r="J296" t="s">
        <v>1825</v>
      </c>
    </row>
    <row r="297" spans="1:10" x14ac:dyDescent="0.35">
      <c r="I297" t="s">
        <v>104</v>
      </c>
      <c r="J297" t="s">
        <v>1824</v>
      </c>
    </row>
    <row r="298" spans="1:10" ht="15.75" customHeight="1" x14ac:dyDescent="0.35">
      <c r="I298" s="38" t="s">
        <v>18</v>
      </c>
      <c r="J298" t="s">
        <v>1823</v>
      </c>
    </row>
    <row r="299" spans="1:10" x14ac:dyDescent="0.35">
      <c r="J299" t="s">
        <v>1822</v>
      </c>
    </row>
    <row r="300" spans="1:10" x14ac:dyDescent="0.35">
      <c r="J300" t="s">
        <v>1821</v>
      </c>
    </row>
    <row r="301" spans="1:10" x14ac:dyDescent="0.35">
      <c r="J301" s="36" t="s">
        <v>1820</v>
      </c>
    </row>
    <row r="302" spans="1:10" x14ac:dyDescent="0.35">
      <c r="A302" s="33" t="s">
        <v>253</v>
      </c>
      <c r="B302" t="s">
        <v>3</v>
      </c>
      <c r="C302" t="s">
        <v>43</v>
      </c>
      <c r="D302" t="s">
        <v>254</v>
      </c>
      <c r="E302" s="49" t="s">
        <v>2615</v>
      </c>
      <c r="F302" s="33" t="s">
        <v>133</v>
      </c>
      <c r="G302" s="33" t="s">
        <v>134</v>
      </c>
      <c r="H302" t="s">
        <v>130</v>
      </c>
      <c r="I302" s="7" t="s">
        <v>141</v>
      </c>
      <c r="J302" s="3" t="s">
        <v>135</v>
      </c>
    </row>
    <row r="303" spans="1:10" x14ac:dyDescent="0.35">
      <c r="B303" s="1" t="s">
        <v>315</v>
      </c>
      <c r="E303" s="20"/>
      <c r="I303" t="s">
        <v>142</v>
      </c>
      <c r="J303" t="s">
        <v>257</v>
      </c>
    </row>
    <row r="304" spans="1:10" x14ac:dyDescent="0.35">
      <c r="I304" t="s">
        <v>98</v>
      </c>
      <c r="J304" t="s">
        <v>256</v>
      </c>
    </row>
    <row r="305" spans="1:10" x14ac:dyDescent="0.35">
      <c r="I305" t="s">
        <v>100</v>
      </c>
      <c r="J305" t="s">
        <v>255</v>
      </c>
    </row>
    <row r="306" spans="1:10" x14ac:dyDescent="0.35">
      <c r="I306" t="s">
        <v>104</v>
      </c>
      <c r="J306" s="36" t="s">
        <v>1439</v>
      </c>
    </row>
    <row r="307" spans="1:10" x14ac:dyDescent="0.35">
      <c r="I307" s="38" t="s">
        <v>18</v>
      </c>
    </row>
    <row r="308" spans="1:10" x14ac:dyDescent="0.35">
      <c r="A308" s="33" t="s">
        <v>258</v>
      </c>
      <c r="B308" t="s">
        <v>3</v>
      </c>
      <c r="C308" t="s">
        <v>43</v>
      </c>
      <c r="D308" t="s">
        <v>184</v>
      </c>
      <c r="E308" s="49" t="s">
        <v>2614</v>
      </c>
      <c r="F308" s="33" t="s">
        <v>133</v>
      </c>
      <c r="G308" s="33" t="s">
        <v>134</v>
      </c>
      <c r="H308" t="s">
        <v>130</v>
      </c>
      <c r="I308" s="7" t="s">
        <v>141</v>
      </c>
      <c r="J308" s="3" t="s">
        <v>135</v>
      </c>
    </row>
    <row r="309" spans="1:10" x14ac:dyDescent="0.35">
      <c r="B309" s="1" t="s">
        <v>315</v>
      </c>
      <c r="E309" s="20"/>
      <c r="I309" t="s">
        <v>142</v>
      </c>
      <c r="J309" t="s">
        <v>257</v>
      </c>
    </row>
    <row r="310" spans="1:10" x14ac:dyDescent="0.35">
      <c r="I310" t="s">
        <v>98</v>
      </c>
      <c r="J310" t="s">
        <v>256</v>
      </c>
    </row>
    <row r="311" spans="1:10" x14ac:dyDescent="0.35">
      <c r="I311" t="s">
        <v>100</v>
      </c>
      <c r="J311" t="s">
        <v>255</v>
      </c>
    </row>
    <row r="312" spans="1:10" x14ac:dyDescent="0.35">
      <c r="I312" t="s">
        <v>104</v>
      </c>
      <c r="J312" t="s">
        <v>259</v>
      </c>
    </row>
    <row r="313" spans="1:10" x14ac:dyDescent="0.35">
      <c r="I313" s="38" t="s">
        <v>18</v>
      </c>
      <c r="J313" s="36" t="s">
        <v>1440</v>
      </c>
    </row>
    <row r="314" spans="1:10" x14ac:dyDescent="0.35">
      <c r="A314" s="33" t="s">
        <v>260</v>
      </c>
      <c r="B314" t="s">
        <v>3</v>
      </c>
      <c r="C314" t="s">
        <v>43</v>
      </c>
      <c r="D314" t="s">
        <v>64</v>
      </c>
      <c r="E314" s="49" t="s">
        <v>44</v>
      </c>
      <c r="F314" s="33" t="s">
        <v>133</v>
      </c>
      <c r="G314" s="33" t="s">
        <v>134</v>
      </c>
      <c r="H314" t="s">
        <v>130</v>
      </c>
      <c r="I314" s="7" t="s">
        <v>141</v>
      </c>
      <c r="J314" s="3" t="s">
        <v>245</v>
      </c>
    </row>
    <row r="315" spans="1:10" x14ac:dyDescent="0.35">
      <c r="E315" s="20"/>
      <c r="I315" t="s">
        <v>142</v>
      </c>
      <c r="J315" t="s">
        <v>266</v>
      </c>
    </row>
    <row r="316" spans="1:10" x14ac:dyDescent="0.35">
      <c r="I316" t="s">
        <v>98</v>
      </c>
      <c r="J316" t="s">
        <v>265</v>
      </c>
    </row>
    <row r="317" spans="1:10" x14ac:dyDescent="0.35">
      <c r="I317" t="s">
        <v>100</v>
      </c>
      <c r="J317" t="s">
        <v>264</v>
      </c>
    </row>
    <row r="318" spans="1:10" x14ac:dyDescent="0.35">
      <c r="I318" t="s">
        <v>104</v>
      </c>
      <c r="J318" t="s">
        <v>263</v>
      </c>
    </row>
    <row r="319" spans="1:10" x14ac:dyDescent="0.35">
      <c r="I319" s="38" t="s">
        <v>18</v>
      </c>
      <c r="J319" t="s">
        <v>262</v>
      </c>
    </row>
    <row r="320" spans="1:10" x14ac:dyDescent="0.35">
      <c r="J320" s="36" t="s">
        <v>261</v>
      </c>
    </row>
  </sheetData>
  <autoFilter ref="E1:E320" xr:uid="{00000000-0001-0000-0400-000000000000}"/>
  <hyperlinks>
    <hyperlink ref="A1" location="Summary!B8" tooltip="Return to Totals" display="Back to Totals" xr:uid="{101D3391-3070-408F-9AF9-45B8ACFC373C}"/>
    <hyperlink ref="I12" r:id="rId1" xr:uid="{1532DB5F-0CCC-4A6A-A60D-9FCBAD44173C}"/>
    <hyperlink ref="I23" r:id="rId2" xr:uid="{9AA91090-E27D-4D33-88AF-2704D9D74DBE}"/>
    <hyperlink ref="I34" r:id="rId3" xr:uid="{7E8C0B1A-B1AF-48B9-BDAC-450FCA87B4FF}"/>
    <hyperlink ref="I40" r:id="rId4" xr:uid="{8F6E9F0D-D1D8-4323-AA76-C3A9026CFD09}"/>
    <hyperlink ref="I45" r:id="rId5" xr:uid="{FFB694BF-E2AB-4417-9402-EC3899FB8BF6}"/>
    <hyperlink ref="I50" r:id="rId6" xr:uid="{AD86733E-CDA7-471B-AC92-94C433CC3265}"/>
    <hyperlink ref="I56" r:id="rId7" xr:uid="{93CEE978-1AB3-40AA-B710-63BC7517E1AC}"/>
    <hyperlink ref="I62" r:id="rId8" xr:uid="{AF7AA043-0112-4180-802E-A895ECB99819}"/>
    <hyperlink ref="I72" r:id="rId9" xr:uid="{E3DBD15F-E085-4CE0-959F-13ADFEC66C6F}"/>
    <hyperlink ref="I88" r:id="rId10" xr:uid="{7455933D-DA18-4F31-9F5F-4D6A59C4B51A}"/>
    <hyperlink ref="I110" r:id="rId11" xr:uid="{1C117FA5-3AA6-43A5-9A2C-96A7E3FF8675}"/>
    <hyperlink ref="I116" r:id="rId12" xr:uid="{3EB08B65-79B8-44B7-AD59-07E407A83BC7}"/>
    <hyperlink ref="I126" r:id="rId13" xr:uid="{129B0B97-3EB0-4AB2-8DF1-0B1AFA2C7EDD}"/>
    <hyperlink ref="I153" r:id="rId14" xr:uid="{63750CFB-4355-4898-A08A-303337FABD1C}"/>
    <hyperlink ref="I159" r:id="rId15" xr:uid="{3C21F0C1-F0B4-4EF5-B0F9-B09655FF9C65}"/>
    <hyperlink ref="I194" r:id="rId16" xr:uid="{91E65943-5D8A-4A34-B720-733F5DC38231}"/>
    <hyperlink ref="I207" r:id="rId17" xr:uid="{ABFC3B88-6BE9-42F5-ABC4-DC3087BC033C}"/>
    <hyperlink ref="I218" r:id="rId18" xr:uid="{54F5059E-A51E-4D1C-AF7C-E2EF9D3432D5}"/>
    <hyperlink ref="I230" r:id="rId19" xr:uid="{CB4ECC4E-8116-4C79-B014-FD7FDE6726C7}"/>
    <hyperlink ref="I239" r:id="rId20" xr:uid="{732A9EE0-6BF2-470C-A9EE-00BD7011F0AA}"/>
    <hyperlink ref="I249" r:id="rId21" xr:uid="{E481064E-CB49-481D-96DB-87734BE0F94A}"/>
    <hyperlink ref="I269" r:id="rId22" xr:uid="{478BDA24-E54D-4140-9DE3-4B0C9F508A9D}"/>
    <hyperlink ref="I275" r:id="rId23" xr:uid="{3377E7AF-C2F7-47D0-9C4D-E67C1853E663}"/>
    <hyperlink ref="I286" r:id="rId24" xr:uid="{8082E317-8A7E-4F14-8938-8961E93A2AD8}"/>
    <hyperlink ref="I298" r:id="rId25" xr:uid="{D550D3B1-F3CD-4C33-B72B-00F617A60C8D}"/>
    <hyperlink ref="I307" r:id="rId26" xr:uid="{D83C8912-B36B-4A60-90C6-071ADAEF9FFB}"/>
    <hyperlink ref="I313" r:id="rId27" xr:uid="{6A3058C9-E4B0-44FE-822E-22780C1D9B2B}"/>
    <hyperlink ref="I319" r:id="rId28" xr:uid="{34B5ED27-FCA0-47DE-9495-8CB581976D3D}"/>
    <hyperlink ref="I146" r:id="rId29" xr:uid="{4FA2E2B8-5F0C-4877-AD0F-6D3C738705D0}"/>
    <hyperlink ref="I165" r:id="rId30" xr:uid="{0613364F-D411-435F-81DF-C38849C8B097}"/>
    <hyperlink ref="I184" r:id="rId31" xr:uid="{720C0FB6-0B7F-4576-8863-43883D2A4953}"/>
    <hyperlink ref="I257" r:id="rId32" xr:uid="{A685D7B8-E73E-4646-BE44-9A43CDEC916B}"/>
    <hyperlink ref="F8" r:id="rId33" xr:uid="{7F4B060B-3E81-444A-9C8C-889C5805EB02}"/>
    <hyperlink ref="F30" r:id="rId34" xr:uid="{E3766592-4D30-4551-A019-E8A6E064DC5A}"/>
    <hyperlink ref="F41" r:id="rId35" xr:uid="{61C38989-06AD-4D36-98DA-60764DE90679}"/>
    <hyperlink ref="F46" r:id="rId36" xr:uid="{F5F602DF-CAB0-4F9C-B728-9FB2678D8E3E}"/>
    <hyperlink ref="G8" r:id="rId37" xr:uid="{86A6EDAC-C33B-4570-987A-DF81FBAD65FE}"/>
    <hyperlink ref="G30" r:id="rId38" xr:uid="{D5F37C2F-4161-4DEB-A430-18060417CF57}"/>
    <hyperlink ref="G41" r:id="rId39" xr:uid="{C0D67569-2E6A-4BEC-B84E-5CA82AB8CCD5}"/>
    <hyperlink ref="G46" r:id="rId40" xr:uid="{DB07199C-8261-4702-9BB4-BF66926E18E7}"/>
    <hyperlink ref="F18" r:id="rId41" xr:uid="{CBC86260-7373-4325-A4AC-A2B7120B66EE}"/>
    <hyperlink ref="F35" r:id="rId42" xr:uid="{B66F52EA-5D49-4922-B943-2A35BC71686F}"/>
    <hyperlink ref="F51" r:id="rId43" xr:uid="{51A6C84C-B45B-42F1-B1F0-056AB2ACDACE}"/>
    <hyperlink ref="F57" r:id="rId44" xr:uid="{4572E4DD-8880-4517-9EE2-AE6EED30A8C2}"/>
    <hyperlink ref="F105" r:id="rId45" xr:uid="{AF379086-622E-4AD0-B304-E7C09C12DA63}"/>
    <hyperlink ref="F111" r:id="rId46" xr:uid="{AD8E182B-E075-4D87-B761-5D3479DD141F}"/>
    <hyperlink ref="F141" r:id="rId47" xr:uid="{DC801135-2483-42DF-9DE4-39E5263AFFEA}"/>
    <hyperlink ref="F148" r:id="rId48" xr:uid="{273F2C42-BABB-4DB3-B9C6-CABA8C7EA58B}"/>
    <hyperlink ref="F154" r:id="rId49" xr:uid="{316F827B-42B9-4634-A7C8-9028CEC3B705}"/>
    <hyperlink ref="F160" r:id="rId50" xr:uid="{6BD51A7E-C1E3-46BD-B5D8-A811B5A6EB54}"/>
    <hyperlink ref="F179" r:id="rId51" xr:uid="{8F65DEC5-639C-4F39-BC9F-82F6ABD4785D}"/>
    <hyperlink ref="F234" r:id="rId52" xr:uid="{EBFC7674-CF24-4B95-B6C7-CDCE03D178AD}"/>
    <hyperlink ref="F252" r:id="rId53" xr:uid="{2C0F18DE-4F53-4A13-B767-CE322BD8EC16}"/>
    <hyperlink ref="F264" r:id="rId54" xr:uid="{79D2DB22-7572-49E3-AF41-592805E08E9E}"/>
    <hyperlink ref="F270" r:id="rId55" xr:uid="{38382E01-F7F6-41AD-9C60-4E5F93717F29}"/>
    <hyperlink ref="F302" r:id="rId56" xr:uid="{3DDB99A6-6607-4F10-BE8C-D3EB6EBAFF78}"/>
    <hyperlink ref="F308" r:id="rId57" xr:uid="{B286486E-C791-475B-9013-81C51C80C215}"/>
    <hyperlink ref="F314" r:id="rId58" xr:uid="{B623BFDF-CD94-40F4-925A-774F60399461}"/>
    <hyperlink ref="G314" r:id="rId59" xr:uid="{A27E7688-ECEA-4A85-A576-92FDA34C45EA}"/>
    <hyperlink ref="G308" r:id="rId60" xr:uid="{0156BA8F-9517-4E42-A87C-199442E34551}"/>
    <hyperlink ref="G302" r:id="rId61" xr:uid="{4F7A3CF9-CEE7-49C9-B5A2-8D3311BFA18E}"/>
    <hyperlink ref="G270" r:id="rId62" xr:uid="{4F7C7EA5-F786-4993-9D86-8064B541A58D}"/>
    <hyperlink ref="G264" r:id="rId63" xr:uid="{49043E40-BE8C-4296-A221-35498238C7E0}"/>
    <hyperlink ref="G252" r:id="rId64" xr:uid="{2828626D-C1F1-4548-9E47-8C7294A2600C}"/>
    <hyperlink ref="G234" r:id="rId65" xr:uid="{B8DFCF71-C383-45DF-BEB5-4C73D7084831}"/>
    <hyperlink ref="G179" r:id="rId66" xr:uid="{8CE723D9-FA07-4F62-A320-B1FE55447861}"/>
    <hyperlink ref="G160" r:id="rId67" xr:uid="{B5C8058A-810B-4335-816D-3D03C5185C31}"/>
    <hyperlink ref="G154" r:id="rId68" xr:uid="{488DB28B-1004-4F13-9E9B-A635FF5B0DC2}"/>
    <hyperlink ref="G148" r:id="rId69" xr:uid="{B1610540-1CD5-41FF-9BAF-C37324D9034B}"/>
    <hyperlink ref="G141" r:id="rId70" xr:uid="{63131C3A-3B9E-43FD-BBAB-16A5BDEFDBFF}"/>
    <hyperlink ref="G111" r:id="rId71" xr:uid="{58F0241B-F537-4ACC-A488-87D3874E4759}"/>
    <hyperlink ref="G105" r:id="rId72" xr:uid="{8C5A928A-DF83-4DDF-998E-A9F2C8861C46}"/>
    <hyperlink ref="G57" r:id="rId73" xr:uid="{B2234FE2-1F47-4F26-BD6B-A480410635BD}"/>
    <hyperlink ref="G51" r:id="rId74" xr:uid="{6E79CD54-6222-479E-88C2-CE9EC2F24B8B}"/>
    <hyperlink ref="G35" r:id="rId75" xr:uid="{93EBBF02-3974-4242-9D31-9DB373AB6C99}"/>
    <hyperlink ref="G18" r:id="rId76" xr:uid="{AFFD8388-0FDD-42B4-8CE2-7309FD530877}"/>
    <hyperlink ref="F63" r:id="rId77" xr:uid="{8A34E7AB-082E-457B-B652-8A4055208E40}"/>
    <hyperlink ref="F79" r:id="rId78" xr:uid="{DA426285-FAA5-4EC8-A4CD-ABC4E7A0C0CB}"/>
    <hyperlink ref="F185" r:id="rId79" xr:uid="{DF2860CF-09B3-469F-A096-6E8D92B1D2DD}"/>
    <hyperlink ref="F198" r:id="rId80" xr:uid="{6A12EF69-1C45-4C1F-8629-9B5A3A148564}"/>
    <hyperlink ref="F209" r:id="rId81" xr:uid="{B3FC7E13-DEFA-48FD-BF6E-C4974D4F1434}"/>
    <hyperlink ref="F221" r:id="rId82" xr:uid="{9F10D550-DECF-4234-84CB-5F5E06271733}"/>
    <hyperlink ref="F240" r:id="rId83" xr:uid="{C2E8B2C3-3F82-4E2B-B8DC-69F188EF6CF1}"/>
    <hyperlink ref="F277" r:id="rId84" xr:uid="{0E73A004-C81B-43F4-9FCA-563F43F10144}"/>
    <hyperlink ref="F289" r:id="rId85" xr:uid="{2048DF70-2F1B-449B-96F1-9FE691813776}"/>
    <hyperlink ref="G289" r:id="rId86" xr:uid="{2E184D29-A3B0-4094-87AE-C16648EEA3EE}"/>
    <hyperlink ref="G277" r:id="rId87" xr:uid="{B1C9545B-0FB4-476B-BA49-146F6D74850D}"/>
    <hyperlink ref="G240" r:id="rId88" xr:uid="{2C274237-ECBC-4BA0-8ADE-6FDC406941F4}"/>
    <hyperlink ref="G221" r:id="rId89" xr:uid="{0851D61A-F146-4A64-A32E-11B94EA2E970}"/>
    <hyperlink ref="G209" r:id="rId90" xr:uid="{DF9E33E4-315A-4670-AE5C-C8C8E1BB93BE}"/>
    <hyperlink ref="G198" r:id="rId91" xr:uid="{B372C695-5BC5-4513-9101-B02ED5F2097B}"/>
    <hyperlink ref="G185" r:id="rId92" xr:uid="{53E1DE3E-5352-4369-A1CB-F9D76983D318}"/>
    <hyperlink ref="G79" r:id="rId93" xr:uid="{6EB1B041-AA37-4098-A166-0D72FDA10E1E}"/>
    <hyperlink ref="G63" r:id="rId94" xr:uid="{E8C249EB-A638-4F8D-8511-190BFF1CFF4C}"/>
    <hyperlink ref="F118" r:id="rId95" xr:uid="{76898D5F-679E-4261-A258-BA2094EF86FE}"/>
    <hyperlink ref="G118" r:id="rId96" xr:uid="{B6627741-B63E-4A3E-82D1-DC6076177943}"/>
    <hyperlink ref="E8" r:id="rId97" xr:uid="{4B33E625-C981-4679-B9BC-2DDFF78B2090}"/>
    <hyperlink ref="E18" r:id="rId98" xr:uid="{2F271C6C-3E16-4465-8ACF-3DD5DF1D786A}"/>
    <hyperlink ref="E9" r:id="rId99" xr:uid="{8850611E-BFBD-429D-95C1-D8D6588D8002}"/>
    <hyperlink ref="E41" r:id="rId100" xr:uid="{F2DB1670-F112-402D-BC76-B546A567E1ED}"/>
    <hyperlink ref="E30" r:id="rId101" xr:uid="{E5B6E969-0E3E-4546-A24A-FD8CEC16F866}"/>
    <hyperlink ref="E35" r:id="rId102" xr:uid="{EBFC30C2-B7C5-4E5F-9A41-9C35500039F9}"/>
    <hyperlink ref="E31" r:id="rId103" xr:uid="{2663A27F-BEF6-484A-AA64-0B3F361A98D2}"/>
    <hyperlink ref="E19" r:id="rId104" xr:uid="{88108346-B093-4B73-B91B-EF5F53708017}"/>
    <hyperlink ref="E52" r:id="rId105" xr:uid="{979FC66B-3071-461E-9A31-39204D13E239}"/>
    <hyperlink ref="E58" r:id="rId106" xr:uid="{4570BF26-2F16-4880-BC90-97444A038F42}"/>
    <hyperlink ref="E36" r:id="rId107" xr:uid="{C0579B8A-2C73-4A50-AC6B-4CE03616E510}"/>
    <hyperlink ref="E42" r:id="rId108" xr:uid="{3B09C37C-FBA5-455D-AE93-77850CC1F3AE}"/>
    <hyperlink ref="E46" r:id="rId109" xr:uid="{4436BE3F-05F9-4A62-AC1A-80E2C09D9BA7}"/>
    <hyperlink ref="E51" r:id="rId110" xr:uid="{0C80E023-5ECF-4187-9E32-B010B5F681E4}"/>
    <hyperlink ref="E57" r:id="rId111" xr:uid="{F37E4EEA-7C8A-4859-BCD0-CAFD02EAD0C9}"/>
    <hyperlink ref="E63" r:id="rId112" xr:uid="{31DE54F6-B2FA-4CF9-9E41-891B71355B91}"/>
    <hyperlink ref="E79" r:id="rId113" xr:uid="{65740489-D95F-4475-AD47-B578F9330172}"/>
    <hyperlink ref="E80" r:id="rId114" xr:uid="{E41A910B-15FA-4ABD-8210-F69EF282CCD3}"/>
    <hyperlink ref="E111" r:id="rId115" xr:uid="{52D68F8E-4558-475E-B45C-7EABFE101A64}"/>
    <hyperlink ref="E118" r:id="rId116" xr:uid="{0BE12B9B-9701-4BFD-94A9-F911D38E84C8}"/>
    <hyperlink ref="E105" r:id="rId117" xr:uid="{5FDF1968-90DE-46DB-80DB-464BA10DDA5B}"/>
    <hyperlink ref="E141" r:id="rId118" xr:uid="{7589B38E-3EBA-4E4D-A19B-E62822CF914E}"/>
    <hyperlink ref="E148" r:id="rId119" xr:uid="{B05BA284-BCC0-48FA-AB3C-274C99A30C03}"/>
    <hyperlink ref="E154" r:id="rId120" xr:uid="{5099CDFE-D5D2-4CEE-A46D-D72D0CF7DE9E}"/>
    <hyperlink ref="E155" r:id="rId121" xr:uid="{2A12B80A-986A-4D0B-8093-180F7925F268}"/>
    <hyperlink ref="E160" r:id="rId122" xr:uid="{4CB9230D-B5A0-4B2F-B096-B70D92978C1A}"/>
    <hyperlink ref="E161" r:id="rId123" xr:uid="{99F900BD-E907-414B-A848-495F932F1350}"/>
    <hyperlink ref="E179" r:id="rId124" xr:uid="{3B5397A4-59E7-466C-B24E-9B1DC99592C8}"/>
    <hyperlink ref="E185" r:id="rId125" xr:uid="{791B9B04-1ECA-4BDC-9E8C-70933F890886}"/>
    <hyperlink ref="E198" r:id="rId126" xr:uid="{CC822EA7-0AC3-4196-938E-C23FA015BA6B}"/>
    <hyperlink ref="E209" r:id="rId127" xr:uid="{1C37F734-BE77-4939-8B69-F578C12675DE}"/>
    <hyperlink ref="E210" r:id="rId128" xr:uid="{A2073356-F50D-4BB4-9987-42E873987933}"/>
    <hyperlink ref="E221" r:id="rId129" xr:uid="{0D0CC94C-FE15-496F-A562-57FF05D4A5F9}"/>
    <hyperlink ref="E222" r:id="rId130" xr:uid="{D8254A0E-EC6F-4700-A33D-E95F3FB3C557}"/>
    <hyperlink ref="E234" r:id="rId131" xr:uid="{EEBD47E0-91C1-4015-8CA5-9D3BCD58261B}"/>
    <hyperlink ref="E240" r:id="rId132" xr:uid="{C2262D1D-F44B-47C9-8AB0-4EB6C69357FA}"/>
    <hyperlink ref="E252" r:id="rId133" xr:uid="{C4AF3079-63DD-45C3-9AE2-9F11A53DA871}"/>
    <hyperlink ref="E235" r:id="rId134" xr:uid="{705F024D-8837-4C56-A391-C783FCCA820F}"/>
    <hyperlink ref="E264" r:id="rId135" xr:uid="{45D7461C-F343-4CB5-8B60-C3827C61489E}"/>
    <hyperlink ref="E270" r:id="rId136" xr:uid="{BC0D8DF9-041C-407C-A302-B07C3D337F20}"/>
    <hyperlink ref="E277" r:id="rId137" xr:uid="{C4220724-2CB0-4FD8-A85A-B07DA898BA7E}"/>
    <hyperlink ref="E289" r:id="rId138" xr:uid="{95543997-33A1-4B08-A193-B8EB37034743}"/>
    <hyperlink ref="E302" r:id="rId139" xr:uid="{4B4CB95D-C8A9-4E07-9501-8AFF68399BE3}"/>
    <hyperlink ref="E308" r:id="rId140" xr:uid="{649BBF26-8433-45AF-A1C9-2F1269A94D96}"/>
    <hyperlink ref="E314" r:id="rId141" xr:uid="{1375DB31-262C-49DC-A9BB-299C39897260}"/>
    <hyperlink ref="J153" r:id="rId142" xr:uid="{FB693FDC-2533-43F2-A47A-7ABEB6224B1C}"/>
    <hyperlink ref="A148" r:id="rId143" xr:uid="{B0006A26-EBD2-419C-B028-EE67D02C7C33}"/>
    <hyperlink ref="J11" r:id="rId144" xr:uid="{39608484-E2AF-40C7-939F-042D2E468836}"/>
    <hyperlink ref="A8" r:id="rId145" xr:uid="{8C5BC25D-040D-4AF3-9392-D2C8A9F861BA}"/>
    <hyperlink ref="J22" r:id="rId146" xr:uid="{80B57556-8F99-4577-8E69-5265B02197E0}"/>
    <hyperlink ref="A18" r:id="rId147" xr:uid="{65024E59-CC77-4654-89AA-126C5481D129}"/>
    <hyperlink ref="J34" r:id="rId148" xr:uid="{A9E01F4F-F4E5-4FC9-8FDB-7A773F04AD32}"/>
    <hyperlink ref="A30" r:id="rId149" xr:uid="{30EC2EA6-A3B4-4C3E-B900-2FBE60942635}"/>
    <hyperlink ref="J40" r:id="rId150" xr:uid="{EDB24908-2D1F-4AD8-BCB5-CCB0F8DC87BC}"/>
    <hyperlink ref="A35" r:id="rId151" xr:uid="{9B23A528-670D-45C0-9C38-3ED22C9047E4}"/>
    <hyperlink ref="J44" r:id="rId152" xr:uid="{7F0C42D2-AA82-4E53-957A-556E8F9D2D17}"/>
    <hyperlink ref="A41" r:id="rId153" xr:uid="{A173E281-27DE-4B15-92C4-7A29B3F7F530}"/>
    <hyperlink ref="J50" r:id="rId154" xr:uid="{3B3E5C83-1865-4A9F-B7DF-E63CE7FD13C0}"/>
    <hyperlink ref="A46" r:id="rId155" xr:uid="{9F74D7D1-1720-4F62-90EA-CE98852A9E48}"/>
    <hyperlink ref="J56" r:id="rId156" xr:uid="{4E1AFD68-40F3-4EE8-818B-2C477F7686AB}"/>
    <hyperlink ref="A51" r:id="rId157" xr:uid="{651A91BB-CB50-4593-9917-81E0A35488F4}"/>
    <hyperlink ref="J62" r:id="rId158" xr:uid="{C5EAE8D1-C769-44A2-85BA-3A5A58ACCBEC}"/>
    <hyperlink ref="A57" r:id="rId159" xr:uid="{8564F15F-FB64-4E24-8BE1-9A86BD8862A8}"/>
    <hyperlink ref="J72" r:id="rId160" xr:uid="{7BD744AE-A52A-44B1-8C55-13B5B820D110}"/>
    <hyperlink ref="A63" r:id="rId161" xr:uid="{1A6ABB0E-2B04-40EB-8F63-ED7CB91592EC}"/>
    <hyperlink ref="J91" r:id="rId162" xr:uid="{0ACA4CD9-4950-460E-BB38-A645A856364D}"/>
    <hyperlink ref="A79" r:id="rId163" xr:uid="{4BCBA7C5-C281-4F1D-93CD-676C0EF99785}"/>
    <hyperlink ref="J110" r:id="rId164" xr:uid="{2F481604-9E48-4ACA-88CE-93457BA1BFD0}"/>
    <hyperlink ref="A105" r:id="rId165" xr:uid="{917F6DA3-741E-4A7B-BFC1-A5CDABE8CDA8}"/>
    <hyperlink ref="J117" r:id="rId166" xr:uid="{ACE26AA6-8975-4A7A-ACA8-F74115E320EC}"/>
    <hyperlink ref="A111" r:id="rId167" xr:uid="{0FD047A1-26F5-47EC-ABCA-FB07F6667696}"/>
    <hyperlink ref="J126" r:id="rId168" xr:uid="{C2E6C569-96FA-44D7-9D8C-4F4246D15740}"/>
    <hyperlink ref="A118" r:id="rId169" xr:uid="{BA2FDACD-2160-45D0-9071-AFF9A8CC8FE2}"/>
    <hyperlink ref="J147" r:id="rId170" xr:uid="{1105F9C6-B88E-4AA7-8E6E-1384DE1CE872}"/>
    <hyperlink ref="J159" r:id="rId171" xr:uid="{930A1E5B-77BF-4874-AF7C-1AA9EB3D4613}"/>
    <hyperlink ref="A154" r:id="rId172" xr:uid="{2E387254-134E-4F51-8675-B20A89DB316D}"/>
    <hyperlink ref="J165" r:id="rId173" xr:uid="{1E75D96B-DBF5-4A2F-BCEE-F6943B5DEE77}"/>
    <hyperlink ref="J184" r:id="rId174" xr:uid="{9609C173-37FE-44D6-8688-97343A63C96A}"/>
    <hyperlink ref="J197" r:id="rId175" xr:uid="{6F401FC1-B9DB-4FD2-A108-FA97AD5342D5}"/>
    <hyperlink ref="J208" r:id="rId176" xr:uid="{4EEFD995-3F54-4200-8E21-A9D16A37BB8C}"/>
    <hyperlink ref="J220" r:id="rId177" xr:uid="{96146F9C-BC8E-4B54-ABAB-9B6091ABB9F3}"/>
    <hyperlink ref="J233" r:id="rId178" display="L Cox" xr:uid="{9C54DBA9-0444-4C5E-9339-DC3DEA6EF872}"/>
    <hyperlink ref="J239" r:id="rId179" xr:uid="{0FD0D7A2-439B-4521-B224-F92F3EE50A5E}"/>
    <hyperlink ref="A234" r:id="rId180" xr:uid="{006EAAE5-FAAF-4F12-B41D-A7028FE1676A}"/>
    <hyperlink ref="J251" r:id="rId181" xr:uid="{B9945DAA-BB9A-4587-B4B9-6DA6BEC40995}"/>
    <hyperlink ref="A240" r:id="rId182" xr:uid="{810A47D7-748F-4918-BF4B-67B6317A3D92}"/>
    <hyperlink ref="J257" r:id="rId183" xr:uid="{94B734DD-0E6A-4216-A75A-E3FF4DA0FEF1}"/>
    <hyperlink ref="J269" r:id="rId184" xr:uid="{8BE40638-95A0-4AC9-9EE8-D699E130B21A}"/>
    <hyperlink ref="A264" r:id="rId185" xr:uid="{1B13E73C-1D58-4984-962F-FFD757EC63FC}"/>
    <hyperlink ref="J276" r:id="rId186" xr:uid="{3A174DE7-834C-4E3B-B932-F300B9A8836D}"/>
    <hyperlink ref="A270" r:id="rId187" xr:uid="{25F2C0BB-2CF8-4285-8B85-7AB2955BFD48}"/>
    <hyperlink ref="J288" r:id="rId188" xr:uid="{8448681F-FA36-4DE6-B383-5730EBBCE0AD}"/>
    <hyperlink ref="J301" r:id="rId189" xr:uid="{DB8E6363-F931-4D19-BDCE-0714D87D0C33}"/>
    <hyperlink ref="A289" r:id="rId190" xr:uid="{C9952C56-BCA0-4E9F-B813-17446763AC11}"/>
    <hyperlink ref="J306" r:id="rId191" xr:uid="{E84B6D39-F2EC-42DE-AD45-55FFECDFCCC9}"/>
    <hyperlink ref="A302" r:id="rId192" xr:uid="{786B5064-AB16-4C81-9ADF-ABE83CF222E5}"/>
    <hyperlink ref="J313" r:id="rId193" xr:uid="{1CD02B6D-DD07-41D0-92CB-9953291452DC}"/>
    <hyperlink ref="A308" r:id="rId194" xr:uid="{82A41186-A5C0-4DB9-ACB4-77D646098AA3}"/>
    <hyperlink ref="J320" r:id="rId195" xr:uid="{75A4D228-205C-4770-A947-4A4A21F6EAEB}"/>
    <hyperlink ref="A314" r:id="rId196" xr:uid="{F06CC3FE-1A88-48F5-9527-F8D3D7898771}"/>
    <hyperlink ref="A277" r:id="rId197" xr:uid="{A0FA80D4-4AF0-4AEA-AB0C-F3ED331C165F}"/>
    <hyperlink ref="A252" r:id="rId198" xr:uid="{9D16AD44-2C03-4216-A65A-B3ABB570D3F3}"/>
    <hyperlink ref="A179" r:id="rId199" xr:uid="{EFBF0757-1B7E-4AEE-BB6D-2E4B0CE1443F}"/>
    <hyperlink ref="A160" r:id="rId200" xr:uid="{B17B742C-D8E4-44A3-A2E9-E0B9B9FE3F1B}"/>
    <hyperlink ref="A141" r:id="rId201" xr:uid="{B775FCFC-0F46-4481-B39D-F9450CD79D30}"/>
    <hyperlink ref="A221" r:id="rId202" xr:uid="{58DF9B79-A7A4-4ADF-9713-EDF53C12133F}"/>
    <hyperlink ref="A198" r:id="rId203" xr:uid="{BE581743-CB3F-4F84-8A0F-19B5A7091B85}"/>
    <hyperlink ref="A209" r:id="rId204" xr:uid="{FD8C6F8F-E267-446D-9BE9-B7E8D9C111BD}"/>
    <hyperlink ref="I17" r:id="rId205" xr:uid="{6405E904-F453-4CEB-BC67-4D8BA0FA412D}"/>
    <hyperlink ref="F13" r:id="rId206" xr:uid="{37547AF7-D50C-45CF-A2B8-574D4E8832E3}"/>
    <hyperlink ref="G13" r:id="rId207" xr:uid="{B583B7A0-C150-4613-A7F5-6014607E60B2}"/>
    <hyperlink ref="E13" r:id="rId208" xr:uid="{ED6C33F2-BE44-4A8F-A92A-CEE94DAEDC1F}"/>
    <hyperlink ref="A13" r:id="rId209" xr:uid="{E8BA56D7-3989-4D6B-90EA-D1541EA26370}"/>
    <hyperlink ref="J17" r:id="rId210" xr:uid="{23906E13-A52D-44A1-A26C-AFD8FD0A319F}"/>
    <hyperlink ref="I103" r:id="rId211" xr:uid="{D9C0CD99-6B7B-45D9-8372-439C8014B0E7}"/>
    <hyperlink ref="F98" r:id="rId212" xr:uid="{86E0CD49-2A3D-4400-8674-D56392CEE55A}"/>
    <hyperlink ref="G98" r:id="rId213" xr:uid="{C41FF26A-FC92-4D55-BFD3-3F72513C2D75}"/>
    <hyperlink ref="E98" r:id="rId214" xr:uid="{BC86C31E-E98E-4583-875E-D02365B53149}"/>
    <hyperlink ref="A98" r:id="rId215" display="Colin Bosher" xr:uid="{096374B7-40C9-4C1A-94B7-8470C40F6254}"/>
    <hyperlink ref="J104" r:id="rId216" xr:uid="{8DCBC36A-7024-4E92-8CC9-6DC6D654D062}"/>
    <hyperlink ref="I177" r:id="rId217" xr:uid="{6DCCB336-E37D-4995-979A-B57A8592F306}"/>
    <hyperlink ref="F172" r:id="rId218" xr:uid="{27D2D7A0-D8A5-4AF3-A23E-7235EEF7F628}"/>
    <hyperlink ref="G172" r:id="rId219" xr:uid="{77F921BE-3D06-4384-BA9E-81E4175FDA43}"/>
    <hyperlink ref="E172" r:id="rId220" xr:uid="{3F3B5247-54F8-4B40-8002-EC8437B0C3EA}"/>
    <hyperlink ref="A172" r:id="rId221" xr:uid="{6AACFFE5-6118-41E4-B23A-08C5E638A189}"/>
    <hyperlink ref="J178" r:id="rId222" xr:uid="{E7A9F2E1-409E-47FC-A0CF-00354BCDD02E}"/>
    <hyperlink ref="I132" r:id="rId223" xr:uid="{79B2EEA8-5A9C-4A3B-B483-41BAF6B173FC}"/>
    <hyperlink ref="E127" r:id="rId224" xr:uid="{9B894C50-815B-44FC-8BF2-7C7214CD744E}"/>
    <hyperlink ref="A127" r:id="rId225" xr:uid="{C1C09E95-C581-4B6E-B3D7-80CA82C55E45}"/>
    <hyperlink ref="G127" r:id="rId226" xr:uid="{41BE7161-71AC-4A36-8BC4-1E49F6AFDC88}"/>
    <hyperlink ref="F127" r:id="rId227" xr:uid="{B3EF513D-24BB-4004-A69E-6881A7F2A1CE}"/>
    <hyperlink ref="J133" r:id="rId228" xr:uid="{4DCCA595-BBC7-4E68-AB80-4DF3DF8DF65F}"/>
    <hyperlink ref="I28" r:id="rId229" xr:uid="{0E838E68-DD3A-4515-86AF-5198ADAF7B3D}"/>
    <hyperlink ref="F24" r:id="rId230" xr:uid="{5849964B-23B8-4C09-B294-2CB98E3EC7F2}"/>
    <hyperlink ref="G24" r:id="rId231" xr:uid="{AB71441C-6556-4C2D-9817-003BA7033E2B}"/>
    <hyperlink ref="E24" r:id="rId232" xr:uid="{26526496-7F5A-4543-A284-393F6796EF7A}"/>
    <hyperlink ref="A24" r:id="rId233" xr:uid="{217E1AC5-FE2B-416C-955D-E27D1B974146}"/>
    <hyperlink ref="J29" r:id="rId234" xr:uid="{E5572B78-59D1-457E-9F4F-5FD139DF9662}"/>
    <hyperlink ref="E25" r:id="rId235" xr:uid="{6CBE2040-2BAB-48EB-ADC4-3D3722D54DAA}"/>
    <hyperlink ref="I97" r:id="rId236" xr:uid="{311DF7C8-7C4C-4F62-B13B-C6529524CA56}"/>
    <hyperlink ref="F92" r:id="rId237" xr:uid="{34F8E082-1063-453D-B875-F86448E46F84}"/>
    <hyperlink ref="G92" r:id="rId238" xr:uid="{A15E72DA-D02A-45A8-B039-AC7998285833}"/>
    <hyperlink ref="E92" r:id="rId239" xr:uid="{F56F2626-4ED4-49D6-B605-82B0992211FF}"/>
    <hyperlink ref="A92" r:id="rId240" xr:uid="{ECED7728-3BA7-41A6-BD62-B515DE06DA39}"/>
    <hyperlink ref="J96" r:id="rId241" xr:uid="{D32B0C07-16A9-4E1F-8D29-D001BD0770E2}"/>
    <hyperlink ref="I139" r:id="rId242" xr:uid="{8DD4B8AC-2C12-4512-89EA-F692C3A6DCC0}"/>
    <hyperlink ref="E134" r:id="rId243" xr:uid="{BBA14AA4-6BEE-4FA8-984C-C39B72E31F73}"/>
    <hyperlink ref="A134" r:id="rId244" xr:uid="{1DBA8B37-E72F-4E2D-9985-6F1327B7CB88}"/>
    <hyperlink ref="F134" r:id="rId245" xr:uid="{D75695D9-0FCC-4E52-A5BB-171A8F40B816}"/>
    <hyperlink ref="J140" r:id="rId246" xr:uid="{27CD762E-4D44-48F1-91CE-41024EEC1E53}"/>
    <hyperlink ref="I78" r:id="rId247" display="Simon Leigh Robertson" xr:uid="{D5C37241-47CD-4096-BCC1-4B68096F5ECC}"/>
    <hyperlink ref="E73" r:id="rId248" xr:uid="{911F27D9-40A4-432A-8A9C-48B23C678E9E}"/>
    <hyperlink ref="A73" r:id="rId249" xr:uid="{E806B15A-A8D4-44E3-93BF-A75FA3766249}"/>
    <hyperlink ref="F73" r:id="rId250" xr:uid="{F306D6DB-7414-4E01-BBC7-A6E880BF1A8E}"/>
    <hyperlink ref="G73" r:id="rId251" xr:uid="{66CEDE81-2CCB-456C-A525-A7174D9159C8}"/>
    <hyperlink ref="J78" r:id="rId252" xr:uid="{82FE19D4-BF85-4B60-9E06-57E65B3FFCAE}"/>
    <hyperlink ref="I263" r:id="rId253" xr:uid="{B1FCAED0-202D-4240-A1B1-82E90A2E9633}"/>
    <hyperlink ref="F258" r:id="rId254" xr:uid="{3C0B13FE-DDFA-4C0D-A45D-5355725733B3}"/>
    <hyperlink ref="G258" r:id="rId255" xr:uid="{CE07BFE1-E15B-4464-A042-A1CD4A0A1E4E}"/>
    <hyperlink ref="E258" r:id="rId256" xr:uid="{866F68D9-5A88-47DA-BE12-76268D4DA483}"/>
    <hyperlink ref="J263" r:id="rId257" xr:uid="{25055843-D653-4109-BEC6-4FDF6AD4AACE}"/>
    <hyperlink ref="A258" r:id="rId258" xr:uid="{979BBBA4-7511-4514-9B3B-A5091F77E731}"/>
    <hyperlink ref="I171" r:id="rId259" xr:uid="{978B52F0-5C92-4443-9A6D-AE0F201E020E}"/>
    <hyperlink ref="F166" r:id="rId260" xr:uid="{8475789F-3A2B-4BEE-A167-703023BCEED6}"/>
    <hyperlink ref="G166" r:id="rId261" xr:uid="{FA0AE61D-B240-4724-9948-065CC45644ED}"/>
    <hyperlink ref="E166" r:id="rId262" xr:uid="{17958B41-0A43-42F0-9383-6C62014D2C07}"/>
    <hyperlink ref="E167" r:id="rId263" xr:uid="{587525EB-83C2-41CA-8499-0468E58DA4D8}"/>
    <hyperlink ref="J171" r:id="rId264" xr:uid="{3D02A520-F84A-4861-9D24-253297991E8A}"/>
    <hyperlink ref="A166" r:id="rId265" xr:uid="{3661A28C-C6AB-4C37-A3F6-D07CF41EF8CC}"/>
    <hyperlink ref="I7" r:id="rId266" xr:uid="{428DB200-3264-4AEA-B967-55958AF22867}"/>
    <hyperlink ref="F3" r:id="rId267" xr:uid="{F9CEF33C-3D67-42BE-BD51-1021AE18C5CA}"/>
    <hyperlink ref="G3" r:id="rId268" xr:uid="{7012090D-A574-4AE8-9295-4F7752B73A8F}"/>
    <hyperlink ref="E4" r:id="rId269" xr:uid="{398AA2A5-0A6D-470F-8C8C-1D490BEE2821}"/>
    <hyperlink ref="A3" r:id="rId270" xr:uid="{D2CA78A4-F577-4C6F-A90B-9B69668304EA}"/>
    <hyperlink ref="J7" r:id="rId271" xr:uid="{C62E892D-45E2-469B-ADF2-7E39C7E88800}"/>
    <hyperlink ref="E3" r:id="rId272" display="34cM" xr:uid="{9CCF18CE-C12E-41DE-B5DC-6681B08A56B8}"/>
  </hyperlinks>
  <pageMargins left="0.7" right="0.7" top="0.75" bottom="0.75" header="0.3" footer="0.3"/>
  <pageSetup paperSize="9" orientation="portrait" horizontalDpi="0" verticalDpi="0" r:id="rId27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tabColor rgb="FF00B050"/>
  </sheetPr>
  <dimension ref="A1:J189"/>
  <sheetViews>
    <sheetView topLeftCell="A4" workbookViewId="0">
      <selection activeCell="A16" sqref="A16"/>
    </sheetView>
  </sheetViews>
  <sheetFormatPr defaultRowHeight="14.5" x14ac:dyDescent="0.35"/>
  <cols>
    <col min="1" max="1" width="21.36328125" customWidth="1"/>
    <col min="2" max="2" width="10.7265625" customWidth="1"/>
    <col min="3" max="3" width="14.54296875" customWidth="1"/>
    <col min="4" max="4" width="20.54296875" customWidth="1"/>
    <col min="5" max="5" width="13" style="8" customWidth="1"/>
    <col min="6" max="6" width="18.08984375" customWidth="1"/>
    <col min="7" max="7" width="12.81640625" customWidth="1"/>
    <col min="8" max="8" width="16.453125" customWidth="1"/>
    <col min="9" max="9" width="21.81640625" customWidth="1"/>
    <col min="10" max="10" width="21" customWidth="1"/>
  </cols>
  <sheetData>
    <row r="1" spans="1:10" x14ac:dyDescent="0.35">
      <c r="A1" s="34" t="s">
        <v>3196</v>
      </c>
      <c r="B1" s="16">
        <f>COUNTIF(I2:I1116,C1)+COUNTIF(I2:I1116,D1)</f>
        <v>28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48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2470</v>
      </c>
      <c r="B3" s="1" t="s">
        <v>315</v>
      </c>
      <c r="C3" t="s">
        <v>316</v>
      </c>
      <c r="D3" t="s">
        <v>184</v>
      </c>
      <c r="E3" s="49" t="s">
        <v>556</v>
      </c>
      <c r="F3" s="33" t="s">
        <v>595</v>
      </c>
      <c r="G3" s="33" t="s">
        <v>365</v>
      </c>
      <c r="H3" t="s">
        <v>130</v>
      </c>
      <c r="I3" s="1" t="s">
        <v>366</v>
      </c>
      <c r="J3" s="3" t="s">
        <v>367</v>
      </c>
    </row>
    <row r="4" spans="1:10" x14ac:dyDescent="0.35">
      <c r="E4" s="50" t="s">
        <v>363</v>
      </c>
      <c r="I4" t="s">
        <v>345</v>
      </c>
      <c r="J4" t="s">
        <v>368</v>
      </c>
    </row>
    <row r="5" spans="1:10" x14ac:dyDescent="0.35">
      <c r="E5"/>
      <c r="I5" t="s">
        <v>346</v>
      </c>
      <c r="J5" t="s">
        <v>2462</v>
      </c>
    </row>
    <row r="6" spans="1:10" x14ac:dyDescent="0.35">
      <c r="E6"/>
      <c r="I6" t="s">
        <v>1555</v>
      </c>
      <c r="J6" t="s">
        <v>2463</v>
      </c>
    </row>
    <row r="7" spans="1:10" x14ac:dyDescent="0.35">
      <c r="E7"/>
      <c r="I7" t="s">
        <v>104</v>
      </c>
      <c r="J7" t="s">
        <v>2464</v>
      </c>
    </row>
    <row r="8" spans="1:10" x14ac:dyDescent="0.35">
      <c r="E8"/>
      <c r="I8" s="38" t="s">
        <v>18</v>
      </c>
      <c r="J8" s="4" t="s">
        <v>2465</v>
      </c>
    </row>
    <row r="9" spans="1:10" x14ac:dyDescent="0.35">
      <c r="A9" s="33" t="s">
        <v>2838</v>
      </c>
      <c r="B9" s="1" t="s">
        <v>315</v>
      </c>
      <c r="C9" t="s">
        <v>316</v>
      </c>
      <c r="D9" t="s">
        <v>64</v>
      </c>
      <c r="E9" s="49" t="s">
        <v>1240</v>
      </c>
      <c r="F9" s="33" t="s">
        <v>595</v>
      </c>
      <c r="G9" s="33" t="s">
        <v>365</v>
      </c>
      <c r="H9" t="s">
        <v>130</v>
      </c>
      <c r="I9" s="1" t="s">
        <v>366</v>
      </c>
      <c r="J9" s="3" t="s">
        <v>367</v>
      </c>
    </row>
    <row r="10" spans="1:10" x14ac:dyDescent="0.35">
      <c r="E10" s="17"/>
      <c r="I10" t="s">
        <v>345</v>
      </c>
      <c r="J10" t="s">
        <v>368</v>
      </c>
    </row>
    <row r="11" spans="1:10" x14ac:dyDescent="0.35">
      <c r="E11"/>
      <c r="I11" t="s">
        <v>346</v>
      </c>
      <c r="J11" t="s">
        <v>2462</v>
      </c>
    </row>
    <row r="12" spans="1:10" x14ac:dyDescent="0.35">
      <c r="E12"/>
      <c r="I12" t="s">
        <v>1555</v>
      </c>
      <c r="J12" t="s">
        <v>2463</v>
      </c>
    </row>
    <row r="13" spans="1:10" x14ac:dyDescent="0.35">
      <c r="E13"/>
      <c r="I13" t="s">
        <v>104</v>
      </c>
      <c r="J13" t="s">
        <v>2464</v>
      </c>
    </row>
    <row r="14" spans="1:10" x14ac:dyDescent="0.35">
      <c r="E14"/>
      <c r="I14" s="38" t="s">
        <v>18</v>
      </c>
      <c r="J14" t="s">
        <v>2839</v>
      </c>
    </row>
    <row r="15" spans="1:10" x14ac:dyDescent="0.35">
      <c r="E15"/>
      <c r="I15" s="37"/>
      <c r="J15" s="36" t="s">
        <v>2840</v>
      </c>
    </row>
    <row r="16" spans="1:10" x14ac:dyDescent="0.35">
      <c r="A16" s="33" t="s">
        <v>3828</v>
      </c>
      <c r="B16" t="s">
        <v>3</v>
      </c>
      <c r="C16" t="s">
        <v>316</v>
      </c>
      <c r="D16" t="s">
        <v>64</v>
      </c>
      <c r="E16" s="50" t="s">
        <v>1238</v>
      </c>
      <c r="F16" s="33" t="s">
        <v>595</v>
      </c>
      <c r="G16" s="33" t="s">
        <v>365</v>
      </c>
      <c r="H16" t="s">
        <v>130</v>
      </c>
      <c r="I16" s="1" t="s">
        <v>366</v>
      </c>
      <c r="J16" s="3" t="s">
        <v>367</v>
      </c>
    </row>
    <row r="17" spans="1:10" x14ac:dyDescent="0.35">
      <c r="E17" s="15"/>
      <c r="I17" t="s">
        <v>345</v>
      </c>
      <c r="J17" t="s">
        <v>368</v>
      </c>
    </row>
    <row r="18" spans="1:10" x14ac:dyDescent="0.35">
      <c r="E18"/>
      <c r="I18" t="s">
        <v>346</v>
      </c>
      <c r="J18" t="s">
        <v>1278</v>
      </c>
    </row>
    <row r="19" spans="1:10" x14ac:dyDescent="0.35">
      <c r="E19"/>
      <c r="I19" t="s">
        <v>1555</v>
      </c>
      <c r="J19" t="s">
        <v>3829</v>
      </c>
    </row>
    <row r="20" spans="1:10" x14ac:dyDescent="0.35">
      <c r="E20"/>
      <c r="I20" t="s">
        <v>104</v>
      </c>
      <c r="J20" t="s">
        <v>3830</v>
      </c>
    </row>
    <row r="21" spans="1:10" x14ac:dyDescent="0.35">
      <c r="E21"/>
      <c r="I21" s="38" t="s">
        <v>18</v>
      </c>
      <c r="J21" t="s">
        <v>3831</v>
      </c>
    </row>
    <row r="22" spans="1:10" x14ac:dyDescent="0.35">
      <c r="E22"/>
      <c r="I22" s="37"/>
      <c r="J22" s="36" t="s">
        <v>3828</v>
      </c>
    </row>
    <row r="23" spans="1:10" x14ac:dyDescent="0.35">
      <c r="A23" s="33" t="s">
        <v>623</v>
      </c>
      <c r="B23" s="1" t="s">
        <v>315</v>
      </c>
      <c r="C23" t="s">
        <v>316</v>
      </c>
      <c r="D23" t="s">
        <v>41</v>
      </c>
      <c r="E23" s="49" t="s">
        <v>624</v>
      </c>
      <c r="F23" s="33" t="s">
        <v>366</v>
      </c>
      <c r="G23" s="33" t="s">
        <v>383</v>
      </c>
      <c r="H23" t="s">
        <v>73</v>
      </c>
      <c r="I23" s="1" t="s">
        <v>345</v>
      </c>
      <c r="J23" s="3" t="s">
        <v>629</v>
      </c>
    </row>
    <row r="24" spans="1:10" x14ac:dyDescent="0.35">
      <c r="E24" s="17"/>
      <c r="I24" t="s">
        <v>346</v>
      </c>
      <c r="J24" t="s">
        <v>628</v>
      </c>
    </row>
    <row r="25" spans="1:10" x14ac:dyDescent="0.35">
      <c r="E25"/>
      <c r="I25" t="s">
        <v>1555</v>
      </c>
      <c r="J25" t="s">
        <v>627</v>
      </c>
    </row>
    <row r="26" spans="1:10" x14ac:dyDescent="0.35">
      <c r="E26"/>
      <c r="I26" t="s">
        <v>104</v>
      </c>
      <c r="J26" t="s">
        <v>626</v>
      </c>
    </row>
    <row r="27" spans="1:10" x14ac:dyDescent="0.35">
      <c r="E27"/>
      <c r="I27" s="38" t="s">
        <v>18</v>
      </c>
      <c r="J27" s="36" t="s">
        <v>625</v>
      </c>
    </row>
    <row r="28" spans="1:10" x14ac:dyDescent="0.35">
      <c r="A28" s="33" t="s">
        <v>2469</v>
      </c>
      <c r="B28" s="1" t="s">
        <v>315</v>
      </c>
      <c r="C28" t="s">
        <v>316</v>
      </c>
      <c r="D28" t="s">
        <v>184</v>
      </c>
      <c r="E28" s="49" t="s">
        <v>353</v>
      </c>
      <c r="F28" s="33" t="s">
        <v>595</v>
      </c>
      <c r="G28" s="33" t="s">
        <v>365</v>
      </c>
      <c r="H28" t="s">
        <v>130</v>
      </c>
      <c r="I28" s="1" t="s">
        <v>366</v>
      </c>
      <c r="J28" s="3" t="s">
        <v>367</v>
      </c>
    </row>
    <row r="29" spans="1:10" x14ac:dyDescent="0.35">
      <c r="E29" s="50" t="s">
        <v>749</v>
      </c>
      <c r="I29" t="s">
        <v>345</v>
      </c>
      <c r="J29" t="s">
        <v>368</v>
      </c>
    </row>
    <row r="30" spans="1:10" x14ac:dyDescent="0.35">
      <c r="E30"/>
      <c r="I30" t="s">
        <v>346</v>
      </c>
      <c r="J30" t="s">
        <v>2462</v>
      </c>
    </row>
    <row r="31" spans="1:10" x14ac:dyDescent="0.35">
      <c r="E31"/>
      <c r="I31" t="s">
        <v>1555</v>
      </c>
      <c r="J31" t="s">
        <v>2467</v>
      </c>
    </row>
    <row r="32" spans="1:10" x14ac:dyDescent="0.35">
      <c r="E32"/>
      <c r="I32" t="s">
        <v>104</v>
      </c>
      <c r="J32" t="s">
        <v>2468</v>
      </c>
    </row>
    <row r="33" spans="1:10" x14ac:dyDescent="0.35">
      <c r="E33"/>
      <c r="I33" s="38" t="s">
        <v>18</v>
      </c>
      <c r="J33" s="36" t="s">
        <v>2466</v>
      </c>
    </row>
    <row r="34" spans="1:10" x14ac:dyDescent="0.35">
      <c r="A34" s="33" t="s">
        <v>596</v>
      </c>
      <c r="B34" t="s">
        <v>3</v>
      </c>
      <c r="C34" t="s">
        <v>43</v>
      </c>
      <c r="D34" t="s">
        <v>30</v>
      </c>
      <c r="E34" s="51" t="s">
        <v>32</v>
      </c>
      <c r="F34" s="33" t="s">
        <v>366</v>
      </c>
      <c r="G34" s="33" t="s">
        <v>383</v>
      </c>
      <c r="H34" t="s">
        <v>73</v>
      </c>
      <c r="I34" s="1" t="s">
        <v>345</v>
      </c>
      <c r="J34" s="3" t="s">
        <v>601</v>
      </c>
    </row>
    <row r="35" spans="1:10" x14ac:dyDescent="0.35">
      <c r="E35" s="18" t="s">
        <v>363</v>
      </c>
      <c r="I35" t="s">
        <v>346</v>
      </c>
      <c r="J35" t="s">
        <v>600</v>
      </c>
    </row>
    <row r="36" spans="1:10" x14ac:dyDescent="0.35">
      <c r="E36"/>
      <c r="I36" t="s">
        <v>1555</v>
      </c>
      <c r="J36" t="s">
        <v>599</v>
      </c>
    </row>
    <row r="37" spans="1:10" x14ac:dyDescent="0.35">
      <c r="E37"/>
      <c r="I37" t="s">
        <v>104</v>
      </c>
      <c r="J37" s="36" t="s">
        <v>598</v>
      </c>
    </row>
    <row r="38" spans="1:10" x14ac:dyDescent="0.35">
      <c r="E38"/>
      <c r="I38" s="38" t="s">
        <v>18</v>
      </c>
    </row>
    <row r="39" spans="1:10" x14ac:dyDescent="0.35">
      <c r="A39" s="33" t="s">
        <v>1996</v>
      </c>
      <c r="B39" t="s">
        <v>3</v>
      </c>
      <c r="C39" t="s">
        <v>43</v>
      </c>
      <c r="D39" t="s">
        <v>1726</v>
      </c>
      <c r="E39" s="50" t="s">
        <v>145</v>
      </c>
      <c r="F39" s="33" t="s">
        <v>1997</v>
      </c>
      <c r="G39" s="33" t="s">
        <v>1998</v>
      </c>
      <c r="H39" t="s">
        <v>771</v>
      </c>
      <c r="I39" s="1" t="s">
        <v>1999</v>
      </c>
      <c r="J39" s="3" t="s">
        <v>719</v>
      </c>
    </row>
    <row r="40" spans="1:10" x14ac:dyDescent="0.35">
      <c r="E40" s="18" t="s">
        <v>327</v>
      </c>
      <c r="I40" t="s">
        <v>364</v>
      </c>
      <c r="J40" t="s">
        <v>2000</v>
      </c>
    </row>
    <row r="41" spans="1:10" x14ac:dyDescent="0.35">
      <c r="E41"/>
      <c r="I41" t="s">
        <v>719</v>
      </c>
      <c r="J41" t="s">
        <v>367</v>
      </c>
    </row>
    <row r="42" spans="1:10" x14ac:dyDescent="0.35">
      <c r="E42"/>
      <c r="I42" t="s">
        <v>720</v>
      </c>
      <c r="J42" t="s">
        <v>367</v>
      </c>
    </row>
    <row r="43" spans="1:10" x14ac:dyDescent="0.35">
      <c r="E43"/>
      <c r="I43" t="s">
        <v>595</v>
      </c>
      <c r="J43" t="s">
        <v>367</v>
      </c>
    </row>
    <row r="44" spans="1:10" x14ac:dyDescent="0.35">
      <c r="E44"/>
      <c r="I44" t="s">
        <v>366</v>
      </c>
      <c r="J44" t="s">
        <v>364</v>
      </c>
    </row>
    <row r="45" spans="1:10" x14ac:dyDescent="0.35">
      <c r="E45"/>
      <c r="I45" t="s">
        <v>345</v>
      </c>
      <c r="J45" t="s">
        <v>2001</v>
      </c>
    </row>
    <row r="46" spans="1:10" x14ac:dyDescent="0.35">
      <c r="E46"/>
      <c r="I46" t="s">
        <v>346</v>
      </c>
      <c r="J46" t="s">
        <v>2002</v>
      </c>
    </row>
    <row r="47" spans="1:10" x14ac:dyDescent="0.35">
      <c r="E47"/>
      <c r="I47" t="s">
        <v>1555</v>
      </c>
      <c r="J47" t="s">
        <v>2003</v>
      </c>
    </row>
    <row r="48" spans="1:10" x14ac:dyDescent="0.35">
      <c r="E48"/>
      <c r="I48" t="s">
        <v>104</v>
      </c>
      <c r="J48" s="36" t="s">
        <v>2004</v>
      </c>
    </row>
    <row r="49" spans="1:10" x14ac:dyDescent="0.35">
      <c r="E49"/>
      <c r="I49" s="38" t="s">
        <v>18</v>
      </c>
    </row>
    <row r="50" spans="1:10" x14ac:dyDescent="0.35">
      <c r="A50" s="33" t="s">
        <v>2616</v>
      </c>
      <c r="B50" t="s">
        <v>3</v>
      </c>
      <c r="C50" t="s">
        <v>25</v>
      </c>
      <c r="D50" t="s">
        <v>55</v>
      </c>
      <c r="E50" s="51" t="s">
        <v>749</v>
      </c>
      <c r="F50" s="33" t="s">
        <v>720</v>
      </c>
      <c r="G50" s="33" t="s">
        <v>721</v>
      </c>
      <c r="H50" t="s">
        <v>54</v>
      </c>
      <c r="I50" s="1" t="s">
        <v>595</v>
      </c>
      <c r="J50" s="3" t="s">
        <v>366</v>
      </c>
    </row>
    <row r="51" spans="1:10" x14ac:dyDescent="0.35">
      <c r="E51" s="15"/>
      <c r="I51" t="s">
        <v>366</v>
      </c>
      <c r="J51" t="s">
        <v>719</v>
      </c>
    </row>
    <row r="52" spans="1:10" x14ac:dyDescent="0.35">
      <c r="E52"/>
      <c r="I52" t="s">
        <v>345</v>
      </c>
      <c r="J52" t="s">
        <v>1241</v>
      </c>
    </row>
    <row r="53" spans="1:10" x14ac:dyDescent="0.35">
      <c r="E53"/>
      <c r="I53" t="s">
        <v>346</v>
      </c>
      <c r="J53" t="s">
        <v>1242</v>
      </c>
    </row>
    <row r="54" spans="1:10" x14ac:dyDescent="0.35">
      <c r="E54"/>
      <c r="I54" t="s">
        <v>1555</v>
      </c>
      <c r="J54" t="s">
        <v>1243</v>
      </c>
    </row>
    <row r="55" spans="1:10" x14ac:dyDescent="0.35">
      <c r="E55"/>
      <c r="I55" t="s">
        <v>104</v>
      </c>
      <c r="J55" t="s">
        <v>1244</v>
      </c>
    </row>
    <row r="56" spans="1:10" x14ac:dyDescent="0.35">
      <c r="E56"/>
      <c r="I56" s="38" t="s">
        <v>18</v>
      </c>
      <c r="J56" s="36" t="s">
        <v>1245</v>
      </c>
    </row>
    <row r="57" spans="1:10" x14ac:dyDescent="0.35">
      <c r="A57" s="33" t="s">
        <v>362</v>
      </c>
      <c r="B57" t="s">
        <v>3</v>
      </c>
      <c r="C57" t="s">
        <v>43</v>
      </c>
      <c r="D57" t="s">
        <v>64</v>
      </c>
      <c r="E57" s="49" t="s">
        <v>363</v>
      </c>
      <c r="F57" s="33" t="s">
        <v>595</v>
      </c>
      <c r="G57" s="33" t="s">
        <v>365</v>
      </c>
      <c r="H57" t="s">
        <v>130</v>
      </c>
      <c r="I57" s="1" t="s">
        <v>366</v>
      </c>
      <c r="J57" s="3" t="s">
        <v>367</v>
      </c>
    </row>
    <row r="58" spans="1:10" x14ac:dyDescent="0.35">
      <c r="E58" s="17"/>
      <c r="I58" t="s">
        <v>345</v>
      </c>
      <c r="J58" t="s">
        <v>368</v>
      </c>
    </row>
    <row r="59" spans="1:10" x14ac:dyDescent="0.35">
      <c r="E59"/>
      <c r="I59" t="s">
        <v>346</v>
      </c>
      <c r="J59" t="s">
        <v>369</v>
      </c>
    </row>
    <row r="60" spans="1:10" x14ac:dyDescent="0.35">
      <c r="E60"/>
      <c r="I60" t="s">
        <v>1555</v>
      </c>
      <c r="J60" t="s">
        <v>370</v>
      </c>
    </row>
    <row r="61" spans="1:10" x14ac:dyDescent="0.35">
      <c r="E61"/>
      <c r="I61" t="s">
        <v>104</v>
      </c>
      <c r="J61" t="s">
        <v>371</v>
      </c>
    </row>
    <row r="62" spans="1:10" x14ac:dyDescent="0.35">
      <c r="E62"/>
      <c r="I62" s="38" t="s">
        <v>18</v>
      </c>
      <c r="J62" t="s">
        <v>372</v>
      </c>
    </row>
    <row r="63" spans="1:10" x14ac:dyDescent="0.35">
      <c r="E63"/>
      <c r="J63" s="36" t="s">
        <v>373</v>
      </c>
    </row>
    <row r="64" spans="1:10" x14ac:dyDescent="0.35">
      <c r="A64" s="33" t="s">
        <v>711</v>
      </c>
      <c r="B64" s="2" t="s">
        <v>517</v>
      </c>
      <c r="C64" t="s">
        <v>41</v>
      </c>
      <c r="D64" t="s">
        <v>55</v>
      </c>
      <c r="E64" s="49" t="s">
        <v>363</v>
      </c>
      <c r="F64" s="33" t="s">
        <v>720</v>
      </c>
      <c r="G64" s="33" t="s">
        <v>721</v>
      </c>
      <c r="H64" t="s">
        <v>54</v>
      </c>
      <c r="I64" s="1" t="s">
        <v>595</v>
      </c>
      <c r="J64" s="3" t="s">
        <v>366</v>
      </c>
    </row>
    <row r="65" spans="1:10" x14ac:dyDescent="0.35">
      <c r="E65"/>
      <c r="I65" t="s">
        <v>366</v>
      </c>
      <c r="J65" t="s">
        <v>719</v>
      </c>
    </row>
    <row r="66" spans="1:10" x14ac:dyDescent="0.35">
      <c r="E66"/>
      <c r="I66" t="s">
        <v>345</v>
      </c>
      <c r="J66" t="s">
        <v>717</v>
      </c>
    </row>
    <row r="67" spans="1:10" x14ac:dyDescent="0.35">
      <c r="E67"/>
      <c r="I67" t="s">
        <v>346</v>
      </c>
      <c r="J67" t="s">
        <v>716</v>
      </c>
    </row>
    <row r="68" spans="1:10" x14ac:dyDescent="0.35">
      <c r="E68"/>
      <c r="I68" t="s">
        <v>1555</v>
      </c>
      <c r="J68" t="s">
        <v>715</v>
      </c>
    </row>
    <row r="69" spans="1:10" x14ac:dyDescent="0.35">
      <c r="E69"/>
      <c r="I69" t="s">
        <v>104</v>
      </c>
      <c r="J69" t="s">
        <v>714</v>
      </c>
    </row>
    <row r="70" spans="1:10" x14ac:dyDescent="0.35">
      <c r="E70"/>
      <c r="I70" s="38" t="s">
        <v>18</v>
      </c>
      <c r="J70" s="36" t="s">
        <v>713</v>
      </c>
    </row>
    <row r="71" spans="1:10" x14ac:dyDescent="0.35">
      <c r="A71" s="33" t="s">
        <v>2113</v>
      </c>
      <c r="B71" t="s">
        <v>3</v>
      </c>
      <c r="C71" t="s">
        <v>43</v>
      </c>
      <c r="D71" t="s">
        <v>712</v>
      </c>
      <c r="E71" s="49" t="s">
        <v>363</v>
      </c>
      <c r="F71" s="33" t="s">
        <v>720</v>
      </c>
      <c r="G71" s="33" t="s">
        <v>721</v>
      </c>
      <c r="H71" t="s">
        <v>54</v>
      </c>
      <c r="I71" s="1" t="s">
        <v>595</v>
      </c>
      <c r="J71" s="3" t="s">
        <v>366</v>
      </c>
    </row>
    <row r="72" spans="1:10" x14ac:dyDescent="0.35">
      <c r="E72" s="17"/>
      <c r="I72" t="s">
        <v>366</v>
      </c>
      <c r="J72" t="s">
        <v>2116</v>
      </c>
    </row>
    <row r="73" spans="1:10" x14ac:dyDescent="0.35">
      <c r="E73"/>
      <c r="I73" t="s">
        <v>345</v>
      </c>
      <c r="J73" t="s">
        <v>1241</v>
      </c>
    </row>
    <row r="74" spans="1:10" x14ac:dyDescent="0.35">
      <c r="E74"/>
      <c r="I74" t="s">
        <v>346</v>
      </c>
      <c r="J74" t="s">
        <v>401</v>
      </c>
    </row>
    <row r="75" spans="1:10" x14ac:dyDescent="0.35">
      <c r="E75"/>
      <c r="I75" t="s">
        <v>1555</v>
      </c>
      <c r="J75" t="s">
        <v>402</v>
      </c>
    </row>
    <row r="76" spans="1:10" x14ac:dyDescent="0.35">
      <c r="E76"/>
      <c r="I76" t="s">
        <v>104</v>
      </c>
      <c r="J76" t="s">
        <v>1442</v>
      </c>
    </row>
    <row r="77" spans="1:10" x14ac:dyDescent="0.35">
      <c r="E77"/>
      <c r="I77" s="38" t="s">
        <v>18</v>
      </c>
      <c r="J77" t="s">
        <v>2114</v>
      </c>
    </row>
    <row r="78" spans="1:10" x14ac:dyDescent="0.35">
      <c r="E78"/>
      <c r="J78" s="36" t="s">
        <v>2115</v>
      </c>
    </row>
    <row r="79" spans="1:10" x14ac:dyDescent="0.35">
      <c r="A79" s="33" t="s">
        <v>1436</v>
      </c>
      <c r="B79" t="s">
        <v>3</v>
      </c>
      <c r="C79" t="s">
        <v>25</v>
      </c>
      <c r="D79" t="s">
        <v>159</v>
      </c>
      <c r="E79" s="49" t="s">
        <v>327</v>
      </c>
      <c r="F79" s="33" t="s">
        <v>595</v>
      </c>
      <c r="G79" s="33" t="s">
        <v>365</v>
      </c>
      <c r="H79" t="s">
        <v>130</v>
      </c>
      <c r="I79" s="1" t="s">
        <v>366</v>
      </c>
      <c r="J79" s="3" t="s">
        <v>367</v>
      </c>
    </row>
    <row r="80" spans="1:10" x14ac:dyDescent="0.35">
      <c r="E80" s="50" t="s">
        <v>161</v>
      </c>
      <c r="I80" t="s">
        <v>345</v>
      </c>
      <c r="J80" t="s">
        <v>368</v>
      </c>
    </row>
    <row r="81" spans="1:10" x14ac:dyDescent="0.35">
      <c r="E81"/>
      <c r="I81" t="s">
        <v>346</v>
      </c>
      <c r="J81" t="s">
        <v>1278</v>
      </c>
    </row>
    <row r="82" spans="1:10" x14ac:dyDescent="0.35">
      <c r="E82"/>
      <c r="I82" t="s">
        <v>1555</v>
      </c>
      <c r="J82" t="s">
        <v>1437</v>
      </c>
    </row>
    <row r="83" spans="1:10" x14ac:dyDescent="0.35">
      <c r="E83"/>
      <c r="I83" t="s">
        <v>104</v>
      </c>
      <c r="J83" s="36" t="s">
        <v>1438</v>
      </c>
    </row>
    <row r="84" spans="1:10" x14ac:dyDescent="0.35">
      <c r="E84"/>
      <c r="I84" s="38" t="s">
        <v>18</v>
      </c>
    </row>
    <row r="85" spans="1:10" x14ac:dyDescent="0.35">
      <c r="A85" s="33" t="s">
        <v>590</v>
      </c>
      <c r="B85" t="s">
        <v>3</v>
      </c>
      <c r="C85" t="s">
        <v>43</v>
      </c>
      <c r="D85" t="s">
        <v>159</v>
      </c>
      <c r="E85" s="50" t="s">
        <v>340</v>
      </c>
      <c r="F85" s="33" t="s">
        <v>595</v>
      </c>
      <c r="G85" s="33" t="s">
        <v>365</v>
      </c>
      <c r="H85" t="s">
        <v>130</v>
      </c>
      <c r="I85" s="1" t="s">
        <v>366</v>
      </c>
      <c r="J85" s="3" t="s">
        <v>364</v>
      </c>
    </row>
    <row r="86" spans="1:10" x14ac:dyDescent="0.35">
      <c r="E86" s="15"/>
      <c r="I86" t="s">
        <v>345</v>
      </c>
      <c r="J86" t="s">
        <v>594</v>
      </c>
    </row>
    <row r="87" spans="1:10" x14ac:dyDescent="0.35">
      <c r="E87"/>
      <c r="I87" t="s">
        <v>346</v>
      </c>
      <c r="J87" t="s">
        <v>593</v>
      </c>
    </row>
    <row r="88" spans="1:10" x14ac:dyDescent="0.35">
      <c r="E88"/>
      <c r="I88" t="s">
        <v>1555</v>
      </c>
      <c r="J88" t="s">
        <v>592</v>
      </c>
    </row>
    <row r="89" spans="1:10" x14ac:dyDescent="0.35">
      <c r="E89"/>
      <c r="I89" t="s">
        <v>104</v>
      </c>
      <c r="J89" s="36" t="s">
        <v>591</v>
      </c>
    </row>
    <row r="90" spans="1:10" x14ac:dyDescent="0.35">
      <c r="E90"/>
      <c r="I90" s="38" t="s">
        <v>18</v>
      </c>
    </row>
    <row r="91" spans="1:10" x14ac:dyDescent="0.35">
      <c r="A91" s="33" t="s">
        <v>2406</v>
      </c>
      <c r="B91" t="s">
        <v>3</v>
      </c>
      <c r="C91" t="s">
        <v>43</v>
      </c>
      <c r="D91" t="s">
        <v>55</v>
      </c>
      <c r="E91" s="50" t="s">
        <v>340</v>
      </c>
      <c r="F91" s="33" t="s">
        <v>720</v>
      </c>
      <c r="G91" s="33" t="s">
        <v>721</v>
      </c>
      <c r="H91" t="s">
        <v>54</v>
      </c>
      <c r="I91" s="1" t="s">
        <v>595</v>
      </c>
      <c r="J91" s="3" t="s">
        <v>366</v>
      </c>
    </row>
    <row r="92" spans="1:10" x14ac:dyDescent="0.35">
      <c r="E92" s="15"/>
      <c r="I92" t="s">
        <v>366</v>
      </c>
      <c r="J92" t="s">
        <v>719</v>
      </c>
    </row>
    <row r="93" spans="1:10" x14ac:dyDescent="0.35">
      <c r="E93"/>
      <c r="I93" t="s">
        <v>345</v>
      </c>
      <c r="J93" t="s">
        <v>717</v>
      </c>
    </row>
    <row r="94" spans="1:10" x14ac:dyDescent="0.35">
      <c r="E94"/>
      <c r="I94" t="s">
        <v>346</v>
      </c>
      <c r="J94" t="s">
        <v>2409</v>
      </c>
    </row>
    <row r="95" spans="1:10" x14ac:dyDescent="0.35">
      <c r="E95"/>
      <c r="I95" t="s">
        <v>1555</v>
      </c>
      <c r="J95" t="s">
        <v>2410</v>
      </c>
    </row>
    <row r="96" spans="1:10" x14ac:dyDescent="0.35">
      <c r="E96"/>
      <c r="I96" t="s">
        <v>104</v>
      </c>
      <c r="J96" t="s">
        <v>2408</v>
      </c>
    </row>
    <row r="97" spans="1:10" x14ac:dyDescent="0.35">
      <c r="E97"/>
      <c r="I97" s="38" t="s">
        <v>1249</v>
      </c>
      <c r="J97" s="36" t="s">
        <v>2406</v>
      </c>
    </row>
    <row r="98" spans="1:10" x14ac:dyDescent="0.35">
      <c r="A98" s="33" t="s">
        <v>590</v>
      </c>
      <c r="B98" t="s">
        <v>3</v>
      </c>
      <c r="C98" t="s">
        <v>43</v>
      </c>
      <c r="D98" t="s">
        <v>879</v>
      </c>
      <c r="E98" s="50" t="s">
        <v>340</v>
      </c>
      <c r="F98" s="33" t="s">
        <v>595</v>
      </c>
      <c r="G98" s="33" t="s">
        <v>365</v>
      </c>
      <c r="H98" t="s">
        <v>130</v>
      </c>
      <c r="I98" s="1" t="s">
        <v>366</v>
      </c>
      <c r="J98" s="3" t="s">
        <v>364</v>
      </c>
    </row>
    <row r="99" spans="1:10" x14ac:dyDescent="0.35">
      <c r="E99" s="15"/>
      <c r="I99" t="s">
        <v>345</v>
      </c>
      <c r="J99" t="s">
        <v>1331</v>
      </c>
    </row>
    <row r="100" spans="1:10" x14ac:dyDescent="0.35">
      <c r="E100"/>
      <c r="I100" t="s">
        <v>346</v>
      </c>
      <c r="J100" t="s">
        <v>593</v>
      </c>
    </row>
    <row r="101" spans="1:10" x14ac:dyDescent="0.35">
      <c r="E101"/>
      <c r="I101" t="s">
        <v>1555</v>
      </c>
      <c r="J101" t="s">
        <v>592</v>
      </c>
    </row>
    <row r="102" spans="1:10" x14ac:dyDescent="0.35">
      <c r="E102"/>
      <c r="I102" t="s">
        <v>104</v>
      </c>
      <c r="J102" s="36" t="s">
        <v>1332</v>
      </c>
    </row>
    <row r="103" spans="1:10" x14ac:dyDescent="0.35">
      <c r="E103"/>
      <c r="I103" s="38" t="s">
        <v>1249</v>
      </c>
    </row>
    <row r="104" spans="1:10" x14ac:dyDescent="0.35">
      <c r="A104" s="33" t="s">
        <v>2991</v>
      </c>
      <c r="B104" t="s">
        <v>3</v>
      </c>
      <c r="C104" t="s">
        <v>43</v>
      </c>
      <c r="D104" t="s">
        <v>159</v>
      </c>
      <c r="E104" s="40" t="s">
        <v>909</v>
      </c>
      <c r="F104" s="33" t="s">
        <v>366</v>
      </c>
      <c r="G104" s="33" t="s">
        <v>383</v>
      </c>
      <c r="H104" t="s">
        <v>73</v>
      </c>
      <c r="I104" s="1" t="s">
        <v>345</v>
      </c>
      <c r="J104" s="3" t="s">
        <v>364</v>
      </c>
    </row>
    <row r="105" spans="1:10" x14ac:dyDescent="0.35">
      <c r="E105" s="34" t="s">
        <v>179</v>
      </c>
      <c r="I105" t="s">
        <v>346</v>
      </c>
      <c r="J105" t="s">
        <v>366</v>
      </c>
    </row>
    <row r="106" spans="1:10" x14ac:dyDescent="0.35">
      <c r="E106"/>
      <c r="I106" t="s">
        <v>1555</v>
      </c>
      <c r="J106" t="s">
        <v>2693</v>
      </c>
    </row>
    <row r="107" spans="1:10" x14ac:dyDescent="0.35">
      <c r="E107"/>
      <c r="I107" t="s">
        <v>104</v>
      </c>
      <c r="J107" s="36" t="s">
        <v>2694</v>
      </c>
    </row>
    <row r="108" spans="1:10" x14ac:dyDescent="0.35">
      <c r="E108"/>
      <c r="I108" s="38" t="s">
        <v>1249</v>
      </c>
    </row>
    <row r="109" spans="1:10" x14ac:dyDescent="0.35">
      <c r="A109" s="33" t="s">
        <v>2849</v>
      </c>
      <c r="B109" t="s">
        <v>3</v>
      </c>
      <c r="C109" t="s">
        <v>43</v>
      </c>
      <c r="D109" t="s">
        <v>1327</v>
      </c>
      <c r="E109" s="49" t="s">
        <v>608</v>
      </c>
      <c r="F109" s="33" t="s">
        <v>1328</v>
      </c>
      <c r="G109" s="33" t="s">
        <v>1329</v>
      </c>
      <c r="H109" t="s">
        <v>130</v>
      </c>
      <c r="I109" s="1" t="s">
        <v>366</v>
      </c>
      <c r="J109" s="3" t="s">
        <v>364</v>
      </c>
    </row>
    <row r="110" spans="1:10" x14ac:dyDescent="0.35">
      <c r="E110" s="17"/>
      <c r="I110" t="s">
        <v>345</v>
      </c>
      <c r="J110" t="s">
        <v>1331</v>
      </c>
    </row>
    <row r="111" spans="1:10" x14ac:dyDescent="0.35">
      <c r="E111"/>
      <c r="I111" t="s">
        <v>346</v>
      </c>
      <c r="J111" t="s">
        <v>1711</v>
      </c>
    </row>
    <row r="112" spans="1:10" x14ac:dyDescent="0.35">
      <c r="E112"/>
      <c r="I112" t="s">
        <v>1555</v>
      </c>
      <c r="J112" t="s">
        <v>1712</v>
      </c>
    </row>
    <row r="113" spans="1:10" x14ac:dyDescent="0.35">
      <c r="E113"/>
      <c r="I113" t="s">
        <v>104</v>
      </c>
      <c r="J113" s="36" t="s">
        <v>1713</v>
      </c>
    </row>
    <row r="114" spans="1:10" x14ac:dyDescent="0.35">
      <c r="E114"/>
      <c r="I114" s="38" t="s">
        <v>18</v>
      </c>
    </row>
    <row r="115" spans="1:10" x14ac:dyDescent="0.35">
      <c r="A115" s="33" t="s">
        <v>1453</v>
      </c>
      <c r="B115" t="s">
        <v>3</v>
      </c>
      <c r="C115" t="s">
        <v>43</v>
      </c>
      <c r="D115" t="s">
        <v>184</v>
      </c>
      <c r="E115" s="49" t="s">
        <v>608</v>
      </c>
      <c r="F115" s="33" t="s">
        <v>595</v>
      </c>
      <c r="G115" s="33" t="s">
        <v>365</v>
      </c>
      <c r="H115" t="s">
        <v>130</v>
      </c>
      <c r="I115" s="1" t="s">
        <v>366</v>
      </c>
      <c r="J115" s="3" t="s">
        <v>367</v>
      </c>
    </row>
    <row r="116" spans="1:10" x14ac:dyDescent="0.35">
      <c r="E116" s="17"/>
      <c r="I116" t="s">
        <v>345</v>
      </c>
      <c r="J116" t="s">
        <v>368</v>
      </c>
    </row>
    <row r="117" spans="1:10" x14ac:dyDescent="0.35">
      <c r="E117"/>
      <c r="I117" t="s">
        <v>346</v>
      </c>
      <c r="J117" t="s">
        <v>1454</v>
      </c>
    </row>
    <row r="118" spans="1:10" x14ac:dyDescent="0.35">
      <c r="E118"/>
      <c r="I118" t="s">
        <v>1555</v>
      </c>
      <c r="J118" t="s">
        <v>1455</v>
      </c>
    </row>
    <row r="119" spans="1:10" x14ac:dyDescent="0.35">
      <c r="E119"/>
      <c r="I119" t="s">
        <v>104</v>
      </c>
      <c r="J119" t="s">
        <v>1456</v>
      </c>
    </row>
    <row r="120" spans="1:10" x14ac:dyDescent="0.35">
      <c r="E120"/>
      <c r="I120" s="38" t="s">
        <v>18</v>
      </c>
      <c r="J120" s="36" t="s">
        <v>1453</v>
      </c>
    </row>
    <row r="121" spans="1:10" x14ac:dyDescent="0.35">
      <c r="A121" s="33" t="s">
        <v>2617</v>
      </c>
      <c r="B121" t="s">
        <v>3</v>
      </c>
      <c r="C121" t="s">
        <v>43</v>
      </c>
      <c r="D121" t="s">
        <v>64</v>
      </c>
      <c r="E121" s="50" t="s">
        <v>179</v>
      </c>
      <c r="F121" s="33" t="s">
        <v>595</v>
      </c>
      <c r="G121" s="33" t="s">
        <v>365</v>
      </c>
      <c r="H121" t="s">
        <v>130</v>
      </c>
      <c r="I121" s="1" t="s">
        <v>366</v>
      </c>
      <c r="J121" s="3" t="s">
        <v>367</v>
      </c>
    </row>
    <row r="122" spans="1:10" x14ac:dyDescent="0.35">
      <c r="E122" s="15"/>
      <c r="I122" t="s">
        <v>345</v>
      </c>
      <c r="J122" t="s">
        <v>368</v>
      </c>
    </row>
    <row r="123" spans="1:10" x14ac:dyDescent="0.35">
      <c r="E123"/>
      <c r="I123" t="s">
        <v>346</v>
      </c>
      <c r="J123" t="s">
        <v>1267</v>
      </c>
    </row>
    <row r="124" spans="1:10" x14ac:dyDescent="0.35">
      <c r="E124"/>
      <c r="I124" t="s">
        <v>1555</v>
      </c>
      <c r="J124" t="s">
        <v>1268</v>
      </c>
    </row>
    <row r="125" spans="1:10" x14ac:dyDescent="0.35">
      <c r="E125"/>
      <c r="I125" t="s">
        <v>104</v>
      </c>
      <c r="J125" t="s">
        <v>1269</v>
      </c>
    </row>
    <row r="126" spans="1:10" x14ac:dyDescent="0.35">
      <c r="E126"/>
      <c r="I126" s="38" t="s">
        <v>1249</v>
      </c>
      <c r="J126" t="s">
        <v>1270</v>
      </c>
    </row>
    <row r="127" spans="1:10" x14ac:dyDescent="0.35">
      <c r="E127"/>
      <c r="J127" s="36" t="s">
        <v>1271</v>
      </c>
    </row>
    <row r="128" spans="1:10" x14ac:dyDescent="0.35">
      <c r="A128" s="33" t="s">
        <v>2584</v>
      </c>
      <c r="B128" t="s">
        <v>3</v>
      </c>
      <c r="C128" t="s">
        <v>316</v>
      </c>
      <c r="D128" t="s">
        <v>712</v>
      </c>
      <c r="E128" s="50" t="s">
        <v>189</v>
      </c>
      <c r="F128" s="33" t="s">
        <v>595</v>
      </c>
      <c r="G128" s="33" t="s">
        <v>365</v>
      </c>
      <c r="H128" t="s">
        <v>130</v>
      </c>
      <c r="I128" s="1" t="s">
        <v>366</v>
      </c>
      <c r="J128" s="3" t="s">
        <v>367</v>
      </c>
    </row>
    <row r="129" spans="1:10" x14ac:dyDescent="0.35">
      <c r="E129" s="15"/>
      <c r="I129" t="s">
        <v>345</v>
      </c>
      <c r="J129" t="s">
        <v>368</v>
      </c>
    </row>
    <row r="130" spans="1:10" x14ac:dyDescent="0.35">
      <c r="E130"/>
      <c r="I130" t="s">
        <v>346</v>
      </c>
      <c r="J130" t="s">
        <v>2585</v>
      </c>
    </row>
    <row r="131" spans="1:10" x14ac:dyDescent="0.35">
      <c r="E131"/>
      <c r="I131" t="s">
        <v>1555</v>
      </c>
      <c r="J131" t="s">
        <v>2586</v>
      </c>
    </row>
    <row r="132" spans="1:10" x14ac:dyDescent="0.35">
      <c r="E132"/>
      <c r="I132" t="s">
        <v>104</v>
      </c>
      <c r="J132" t="s">
        <v>2587</v>
      </c>
    </row>
    <row r="133" spans="1:10" x14ac:dyDescent="0.35">
      <c r="E133"/>
      <c r="I133" s="38" t="s">
        <v>1249</v>
      </c>
      <c r="J133" t="s">
        <v>2588</v>
      </c>
    </row>
    <row r="134" spans="1:10" x14ac:dyDescent="0.35">
      <c r="E134"/>
      <c r="J134" s="36" t="s">
        <v>2589</v>
      </c>
    </row>
    <row r="135" spans="1:10" x14ac:dyDescent="0.35">
      <c r="A135" s="33" t="s">
        <v>2692</v>
      </c>
      <c r="B135" t="s">
        <v>3</v>
      </c>
      <c r="C135" t="s">
        <v>43</v>
      </c>
      <c r="D135" t="s">
        <v>159</v>
      </c>
      <c r="E135" s="50" t="s">
        <v>189</v>
      </c>
      <c r="F135" s="33" t="s">
        <v>366</v>
      </c>
      <c r="G135" s="33" t="s">
        <v>383</v>
      </c>
      <c r="H135" t="s">
        <v>73</v>
      </c>
      <c r="I135" s="1" t="s">
        <v>345</v>
      </c>
      <c r="J135" s="3" t="s">
        <v>364</v>
      </c>
    </row>
    <row r="136" spans="1:10" x14ac:dyDescent="0.35">
      <c r="E136" s="15"/>
      <c r="I136" t="s">
        <v>346</v>
      </c>
      <c r="J136" t="s">
        <v>366</v>
      </c>
    </row>
    <row r="137" spans="1:10" x14ac:dyDescent="0.35">
      <c r="E137"/>
      <c r="I137" t="s">
        <v>1555</v>
      </c>
      <c r="J137" t="s">
        <v>2693</v>
      </c>
    </row>
    <row r="138" spans="1:10" x14ac:dyDescent="0.35">
      <c r="E138"/>
      <c r="I138" t="s">
        <v>104</v>
      </c>
      <c r="J138" t="s">
        <v>2694</v>
      </c>
    </row>
    <row r="139" spans="1:10" x14ac:dyDescent="0.35">
      <c r="E139"/>
      <c r="I139" s="38" t="s">
        <v>1249</v>
      </c>
      <c r="J139" t="s">
        <v>2695</v>
      </c>
    </row>
    <row r="140" spans="1:10" x14ac:dyDescent="0.35">
      <c r="E140"/>
      <c r="J140" s="36" t="s">
        <v>2696</v>
      </c>
    </row>
    <row r="141" spans="1:10" x14ac:dyDescent="0.35">
      <c r="A141" s="33" t="s">
        <v>3005</v>
      </c>
      <c r="B141" t="s">
        <v>3</v>
      </c>
      <c r="C141" t="s">
        <v>25</v>
      </c>
      <c r="D141" t="s">
        <v>159</v>
      </c>
      <c r="E141" s="50" t="s">
        <v>189</v>
      </c>
      <c r="F141" s="33" t="s">
        <v>720</v>
      </c>
      <c r="G141" s="33" t="s">
        <v>721</v>
      </c>
      <c r="H141" t="s">
        <v>54</v>
      </c>
      <c r="I141" s="1" t="s">
        <v>595</v>
      </c>
      <c r="J141" s="3" t="s">
        <v>366</v>
      </c>
    </row>
    <row r="142" spans="1:10" x14ac:dyDescent="0.35">
      <c r="E142" s="15"/>
      <c r="I142" t="s">
        <v>366</v>
      </c>
      <c r="J142" t="s">
        <v>719</v>
      </c>
    </row>
    <row r="143" spans="1:10" x14ac:dyDescent="0.35">
      <c r="E143"/>
      <c r="I143" t="s">
        <v>345</v>
      </c>
      <c r="J143" t="s">
        <v>1241</v>
      </c>
    </row>
    <row r="144" spans="1:10" x14ac:dyDescent="0.35">
      <c r="E144"/>
      <c r="I144" t="s">
        <v>346</v>
      </c>
      <c r="J144" t="s">
        <v>401</v>
      </c>
    </row>
    <row r="145" spans="1:10" x14ac:dyDescent="0.35">
      <c r="E145"/>
      <c r="I145" t="s">
        <v>1555</v>
      </c>
      <c r="J145" t="s">
        <v>3003</v>
      </c>
    </row>
    <row r="146" spans="1:10" x14ac:dyDescent="0.35">
      <c r="E146"/>
      <c r="I146" t="s">
        <v>104</v>
      </c>
      <c r="J146" s="36" t="s">
        <v>3004</v>
      </c>
    </row>
    <row r="147" spans="1:10" x14ac:dyDescent="0.35">
      <c r="E147"/>
      <c r="I147" s="38" t="s">
        <v>1249</v>
      </c>
    </row>
    <row r="148" spans="1:10" x14ac:dyDescent="0.35">
      <c r="A148" s="33" t="s">
        <v>388</v>
      </c>
      <c r="B148" t="s">
        <v>3</v>
      </c>
      <c r="C148" t="s">
        <v>43</v>
      </c>
      <c r="D148" t="s">
        <v>41</v>
      </c>
      <c r="E148" s="49" t="s">
        <v>201</v>
      </c>
      <c r="F148" s="33" t="s">
        <v>366</v>
      </c>
      <c r="G148" s="33" t="s">
        <v>383</v>
      </c>
      <c r="H148" t="s">
        <v>73</v>
      </c>
      <c r="I148" s="1" t="s">
        <v>345</v>
      </c>
      <c r="J148" s="3" t="s">
        <v>389</v>
      </c>
    </row>
    <row r="149" spans="1:10" x14ac:dyDescent="0.35">
      <c r="E149" s="17"/>
      <c r="I149" t="s">
        <v>346</v>
      </c>
      <c r="J149" t="s">
        <v>390</v>
      </c>
    </row>
    <row r="150" spans="1:10" x14ac:dyDescent="0.35">
      <c r="E150"/>
      <c r="I150" t="s">
        <v>1555</v>
      </c>
      <c r="J150" t="s">
        <v>391</v>
      </c>
    </row>
    <row r="151" spans="1:10" x14ac:dyDescent="0.35">
      <c r="E151"/>
      <c r="I151" t="s">
        <v>104</v>
      </c>
      <c r="J151" t="s">
        <v>392</v>
      </c>
    </row>
    <row r="152" spans="1:10" x14ac:dyDescent="0.35">
      <c r="E152"/>
      <c r="I152" s="38" t="s">
        <v>18</v>
      </c>
      <c r="J152" s="36" t="s">
        <v>393</v>
      </c>
    </row>
    <row r="153" spans="1:10" x14ac:dyDescent="0.35">
      <c r="A153" s="33" t="s">
        <v>2618</v>
      </c>
      <c r="B153" t="s">
        <v>3</v>
      </c>
      <c r="C153" t="s">
        <v>43</v>
      </c>
      <c r="D153" t="s">
        <v>159</v>
      </c>
      <c r="E153" s="50" t="s">
        <v>201</v>
      </c>
      <c r="F153" s="33" t="s">
        <v>595</v>
      </c>
      <c r="G153" s="33" t="s">
        <v>365</v>
      </c>
      <c r="H153" t="s">
        <v>130</v>
      </c>
      <c r="I153" s="1" t="s">
        <v>366</v>
      </c>
      <c r="J153" s="3" t="s">
        <v>367</v>
      </c>
    </row>
    <row r="154" spans="1:10" x14ac:dyDescent="0.35">
      <c r="E154" s="15"/>
      <c r="I154" t="s">
        <v>345</v>
      </c>
      <c r="J154" t="s">
        <v>368</v>
      </c>
    </row>
    <row r="155" spans="1:10" x14ac:dyDescent="0.35">
      <c r="E155"/>
      <c r="I155" t="s">
        <v>346</v>
      </c>
      <c r="J155" t="s">
        <v>1278</v>
      </c>
    </row>
    <row r="156" spans="1:10" x14ac:dyDescent="0.35">
      <c r="E156"/>
      <c r="I156" t="s">
        <v>1555</v>
      </c>
      <c r="J156" t="s">
        <v>1279</v>
      </c>
    </row>
    <row r="157" spans="1:10" x14ac:dyDescent="0.35">
      <c r="E157"/>
      <c r="I157" t="s">
        <v>104</v>
      </c>
      <c r="J157" t="s">
        <v>1280</v>
      </c>
    </row>
    <row r="158" spans="1:10" x14ac:dyDescent="0.35">
      <c r="E158"/>
      <c r="I158" s="38" t="s">
        <v>1249</v>
      </c>
      <c r="J158" s="36" t="s">
        <v>1281</v>
      </c>
    </row>
    <row r="159" spans="1:10" x14ac:dyDescent="0.35">
      <c r="A159" s="33" t="s">
        <v>1854</v>
      </c>
      <c r="B159" t="s">
        <v>3</v>
      </c>
      <c r="C159" t="s">
        <v>25</v>
      </c>
      <c r="D159" t="s">
        <v>55</v>
      </c>
      <c r="E159" s="50" t="s">
        <v>216</v>
      </c>
      <c r="F159" s="33" t="s">
        <v>720</v>
      </c>
      <c r="G159" s="33" t="s">
        <v>721</v>
      </c>
      <c r="H159" t="s">
        <v>54</v>
      </c>
      <c r="I159" s="1" t="s">
        <v>595</v>
      </c>
      <c r="J159" s="3" t="s">
        <v>366</v>
      </c>
    </row>
    <row r="160" spans="1:10" x14ac:dyDescent="0.35">
      <c r="E160" s="15"/>
      <c r="I160" t="s">
        <v>366</v>
      </c>
      <c r="J160" t="s">
        <v>719</v>
      </c>
    </row>
    <row r="161" spans="1:10" x14ac:dyDescent="0.35">
      <c r="E161"/>
      <c r="I161" t="s">
        <v>345</v>
      </c>
      <c r="J161" t="s">
        <v>717</v>
      </c>
    </row>
    <row r="162" spans="1:10" x14ac:dyDescent="0.35">
      <c r="E162"/>
      <c r="I162" t="s">
        <v>346</v>
      </c>
      <c r="J162" t="s">
        <v>1855</v>
      </c>
    </row>
    <row r="163" spans="1:10" x14ac:dyDescent="0.35">
      <c r="E163"/>
      <c r="I163" t="s">
        <v>1555</v>
      </c>
      <c r="J163" t="s">
        <v>1856</v>
      </c>
    </row>
    <row r="164" spans="1:10" x14ac:dyDescent="0.35">
      <c r="E164"/>
      <c r="I164" t="s">
        <v>104</v>
      </c>
      <c r="J164" t="s">
        <v>1859</v>
      </c>
    </row>
    <row r="165" spans="1:10" x14ac:dyDescent="0.35">
      <c r="E165"/>
      <c r="I165" s="38" t="s">
        <v>1249</v>
      </c>
      <c r="J165" t="s">
        <v>1290</v>
      </c>
    </row>
    <row r="166" spans="1:10" x14ac:dyDescent="0.35">
      <c r="E166"/>
      <c r="J166" s="36" t="s">
        <v>1854</v>
      </c>
    </row>
    <row r="167" spans="1:10" x14ac:dyDescent="0.35">
      <c r="A167" s="33" t="s">
        <v>1866</v>
      </c>
      <c r="B167" t="s">
        <v>3</v>
      </c>
      <c r="C167" t="s">
        <v>1867</v>
      </c>
      <c r="D167" t="s">
        <v>615</v>
      </c>
      <c r="E167" s="49" t="s">
        <v>72</v>
      </c>
      <c r="F167" s="33" t="s">
        <v>364</v>
      </c>
      <c r="G167" s="33" t="s">
        <v>1865</v>
      </c>
      <c r="H167" t="s">
        <v>91</v>
      </c>
      <c r="I167" s="1" t="s">
        <v>719</v>
      </c>
      <c r="J167" s="3" t="s">
        <v>364</v>
      </c>
    </row>
    <row r="168" spans="1:10" x14ac:dyDescent="0.35">
      <c r="E168" s="17"/>
      <c r="I168" t="s">
        <v>720</v>
      </c>
      <c r="J168" t="s">
        <v>1868</v>
      </c>
    </row>
    <row r="169" spans="1:10" x14ac:dyDescent="0.35">
      <c r="E169"/>
      <c r="I169" t="s">
        <v>595</v>
      </c>
      <c r="J169" t="s">
        <v>1869</v>
      </c>
    </row>
    <row r="170" spans="1:10" x14ac:dyDescent="0.35">
      <c r="E170"/>
      <c r="I170" t="s">
        <v>366</v>
      </c>
      <c r="J170" t="s">
        <v>1870</v>
      </c>
    </row>
    <row r="171" spans="1:10" x14ac:dyDescent="0.35">
      <c r="E171"/>
      <c r="I171" t="s">
        <v>345</v>
      </c>
      <c r="J171" t="s">
        <v>1871</v>
      </c>
    </row>
    <row r="172" spans="1:10" x14ac:dyDescent="0.35">
      <c r="E172"/>
      <c r="I172" t="s">
        <v>346</v>
      </c>
      <c r="J172" t="s">
        <v>1872</v>
      </c>
    </row>
    <row r="173" spans="1:10" x14ac:dyDescent="0.35">
      <c r="E173"/>
      <c r="I173" t="s">
        <v>1555</v>
      </c>
      <c r="J173" t="s">
        <v>1873</v>
      </c>
    </row>
    <row r="174" spans="1:10" x14ac:dyDescent="0.35">
      <c r="E174"/>
      <c r="I174" t="s">
        <v>104</v>
      </c>
      <c r="J174" t="s">
        <v>1874</v>
      </c>
    </row>
    <row r="175" spans="1:10" x14ac:dyDescent="0.35">
      <c r="E175"/>
      <c r="I175" s="38" t="s">
        <v>18</v>
      </c>
      <c r="J175" s="36" t="s">
        <v>1875</v>
      </c>
    </row>
    <row r="176" spans="1:10" x14ac:dyDescent="0.35">
      <c r="A176" s="33" t="s">
        <v>2685</v>
      </c>
      <c r="B176" t="s">
        <v>3</v>
      </c>
      <c r="C176" t="s">
        <v>25</v>
      </c>
      <c r="D176" t="s">
        <v>55</v>
      </c>
      <c r="E176" s="49" t="s">
        <v>65</v>
      </c>
      <c r="F176" s="33" t="s">
        <v>720</v>
      </c>
      <c r="G176" s="33" t="s">
        <v>721</v>
      </c>
      <c r="H176" t="s">
        <v>54</v>
      </c>
      <c r="I176" s="1" t="s">
        <v>595</v>
      </c>
      <c r="J176" s="3" t="s">
        <v>2686</v>
      </c>
    </row>
    <row r="177" spans="1:10" x14ac:dyDescent="0.35">
      <c r="E177" s="17"/>
      <c r="I177" t="s">
        <v>366</v>
      </c>
      <c r="J177" t="s">
        <v>2687</v>
      </c>
    </row>
    <row r="178" spans="1:10" x14ac:dyDescent="0.35">
      <c r="E178"/>
      <c r="I178" t="s">
        <v>345</v>
      </c>
      <c r="J178" t="s">
        <v>389</v>
      </c>
    </row>
    <row r="179" spans="1:10" x14ac:dyDescent="0.35">
      <c r="E179"/>
      <c r="I179" t="s">
        <v>346</v>
      </c>
      <c r="J179" t="s">
        <v>2688</v>
      </c>
    </row>
    <row r="180" spans="1:10" x14ac:dyDescent="0.35">
      <c r="E180"/>
      <c r="I180" t="s">
        <v>1555</v>
      </c>
      <c r="J180" t="s">
        <v>2689</v>
      </c>
    </row>
    <row r="181" spans="1:10" x14ac:dyDescent="0.35">
      <c r="E181"/>
      <c r="I181" t="s">
        <v>104</v>
      </c>
      <c r="J181" t="s">
        <v>2690</v>
      </c>
    </row>
    <row r="182" spans="1:10" x14ac:dyDescent="0.35">
      <c r="E182"/>
      <c r="I182" s="38" t="s">
        <v>1249</v>
      </c>
      <c r="J182" s="36" t="s">
        <v>2691</v>
      </c>
    </row>
    <row r="183" spans="1:10" x14ac:dyDescent="0.35">
      <c r="A183" s="33" t="s">
        <v>2672</v>
      </c>
      <c r="B183" t="s">
        <v>3</v>
      </c>
      <c r="C183" t="s">
        <v>43</v>
      </c>
      <c r="D183" t="s">
        <v>64</v>
      </c>
      <c r="E183" s="49" t="s">
        <v>89</v>
      </c>
      <c r="F183" s="33" t="s">
        <v>595</v>
      </c>
      <c r="G183" s="33" t="s">
        <v>365</v>
      </c>
      <c r="H183" t="s">
        <v>130</v>
      </c>
      <c r="I183" s="1" t="s">
        <v>366</v>
      </c>
      <c r="J183" s="3" t="s">
        <v>367</v>
      </c>
    </row>
    <row r="184" spans="1:10" x14ac:dyDescent="0.35">
      <c r="E184" s="17"/>
      <c r="I184" t="s">
        <v>345</v>
      </c>
      <c r="J184" t="s">
        <v>368</v>
      </c>
    </row>
    <row r="185" spans="1:10" x14ac:dyDescent="0.35">
      <c r="E185"/>
      <c r="I185" t="s">
        <v>346</v>
      </c>
      <c r="J185" t="s">
        <v>369</v>
      </c>
    </row>
    <row r="186" spans="1:10" x14ac:dyDescent="0.35">
      <c r="E186"/>
      <c r="I186" t="s">
        <v>1555</v>
      </c>
      <c r="J186" t="s">
        <v>2673</v>
      </c>
    </row>
    <row r="187" spans="1:10" x14ac:dyDescent="0.35">
      <c r="E187"/>
      <c r="I187" t="s">
        <v>104</v>
      </c>
      <c r="J187" t="s">
        <v>2674</v>
      </c>
    </row>
    <row r="188" spans="1:10" x14ac:dyDescent="0.35">
      <c r="E188"/>
      <c r="I188" s="38" t="s">
        <v>1249</v>
      </c>
      <c r="J188" t="s">
        <v>2675</v>
      </c>
    </row>
    <row r="189" spans="1:10" x14ac:dyDescent="0.35">
      <c r="E189"/>
      <c r="J189" s="36" t="s">
        <v>2676</v>
      </c>
    </row>
  </sheetData>
  <autoFilter ref="E1:E189" xr:uid="{00000000-0001-0000-0500-000000000000}"/>
  <hyperlinks>
    <hyperlink ref="A1" location="Summary!B9" tooltip="Return to Totals" display="Back to Totals" xr:uid="{86DAC650-CF3D-4EA8-95BD-80BB9B5455D7}"/>
    <hyperlink ref="I8" r:id="rId1" xr:uid="{2B4F6678-42B5-4B18-9762-578608092792}"/>
    <hyperlink ref="I27" r:id="rId2" xr:uid="{D5C32889-8361-4799-80BA-2160C461E834}"/>
    <hyperlink ref="I33" r:id="rId3" xr:uid="{5E2A90C5-AB9F-422E-A1EA-69567CEAD325}"/>
    <hyperlink ref="I38" r:id="rId4" xr:uid="{E15EF633-DCE6-46F1-9964-5DCC2EDD351C}"/>
    <hyperlink ref="I49" r:id="rId5" xr:uid="{888C5F09-3B8B-4105-B20B-47B237CFE05C}"/>
    <hyperlink ref="I56" r:id="rId6" xr:uid="{BEA17065-0C43-421D-BCD2-289549997B5E}"/>
    <hyperlink ref="I62" r:id="rId7" xr:uid="{34B735BE-843E-4CA0-98E7-EBA1A60906F3}"/>
    <hyperlink ref="I70" r:id="rId8" xr:uid="{5573F30F-09B0-400B-9E3A-42CCB4A55762}"/>
    <hyperlink ref="I77" r:id="rId9" xr:uid="{2A9C3211-BAE5-4099-A611-52CEA992C2D2}"/>
    <hyperlink ref="I84" r:id="rId10" xr:uid="{BADE0CF9-B830-467C-BD1E-E234FBDFC52C}"/>
    <hyperlink ref="I90" r:id="rId11" xr:uid="{607CAC6F-CC76-41BC-BC05-208D9CE3F5A6}"/>
    <hyperlink ref="I120" r:id="rId12" xr:uid="{E2BB8852-49DD-40F7-B7D1-667691B70AE7}"/>
    <hyperlink ref="I152" r:id="rId13" xr:uid="{B7DD68A4-F58C-4D35-93A1-DB94F34456C8}"/>
    <hyperlink ref="I175" r:id="rId14" xr:uid="{5D2D1A77-6895-4EE6-B9FD-91617CA1E89B}"/>
    <hyperlink ref="I97" r:id="rId15" xr:uid="{E7AD9D8C-830A-49A3-8D6A-25ADBDB8603C}"/>
    <hyperlink ref="I126" r:id="rId16" xr:uid="{B02CD498-6DF5-44F5-A07C-743FB9909C63}"/>
    <hyperlink ref="I133" r:id="rId17" xr:uid="{DD28F805-CD41-46F7-AD09-64EBACF53957}"/>
    <hyperlink ref="I158" r:id="rId18" xr:uid="{0018706C-EFA4-4C52-8C53-926EC959709F}"/>
    <hyperlink ref="I165" r:id="rId19" xr:uid="{6EC579C7-B166-4BBF-90C2-857B17E28369}"/>
    <hyperlink ref="I182" r:id="rId20" xr:uid="{1F53BD2E-5F31-4358-A2B6-F2C3C880100A}"/>
    <hyperlink ref="I188" r:id="rId21" xr:uid="{87DC2641-B2BE-4FD4-AB8A-A5DE9F6E157A}"/>
    <hyperlink ref="F3" r:id="rId22" display="John Bushell" xr:uid="{CB292B50-7186-4BD8-93E7-644E6F960F67}"/>
    <hyperlink ref="F28" r:id="rId23" display="John Bushell" xr:uid="{3C8AED3F-D58B-4DCF-B6A1-5314F6DE23D1}"/>
    <hyperlink ref="F57" r:id="rId24" display="John Bushell" xr:uid="{217BB3B6-3EB3-4D01-997B-AD29AC69E167}"/>
    <hyperlink ref="F79" r:id="rId25" display="John Bushell" xr:uid="{32516A82-4F30-4E05-BBB6-F490EDE5E1AF}"/>
    <hyperlink ref="F85" r:id="rId26" display="John Bushell" xr:uid="{D7F75712-C33D-46E9-8A29-3869F769717A}"/>
    <hyperlink ref="F115" r:id="rId27" display="John Bushell" xr:uid="{401311CF-4C29-424C-82B9-46E2AA90C4A0}"/>
    <hyperlink ref="F121" r:id="rId28" display="John Bushell" xr:uid="{09836FC0-D6C6-4953-87D9-21EF1A1CC723}"/>
    <hyperlink ref="F128" r:id="rId29" display="John Bushell" xr:uid="{A3DA59EC-3F03-455E-AEC0-60A336F65679}"/>
    <hyperlink ref="F153" r:id="rId30" display="John Bushell" xr:uid="{2EC2C963-9894-4CF9-B620-43E178C26ECA}"/>
    <hyperlink ref="F183" r:id="rId31" display="John Bushell" xr:uid="{BD2BFC71-1988-463E-9D2F-623C1389334F}"/>
    <hyperlink ref="G183" r:id="rId32" xr:uid="{312101AA-B6E9-4454-9492-A866710327C3}"/>
    <hyperlink ref="G153" r:id="rId33" xr:uid="{D67133D5-9C36-4977-86C4-8869F8B3A7DF}"/>
    <hyperlink ref="G128" r:id="rId34" xr:uid="{D3049E8F-ABDB-46B4-9FF7-AC6450026163}"/>
    <hyperlink ref="G121" r:id="rId35" xr:uid="{77988E37-2297-4192-8491-299B656955F4}"/>
    <hyperlink ref="G115" r:id="rId36" xr:uid="{AD7D1B96-4FD0-41F1-A66C-4B2CDA9EADFA}"/>
    <hyperlink ref="G85" r:id="rId37" xr:uid="{5B8AD61C-6378-4AD4-BB73-D2DA22E8FB25}"/>
    <hyperlink ref="G79" r:id="rId38" xr:uid="{3BB4F77E-9227-4454-AAD0-91BEF8AAF589}"/>
    <hyperlink ref="G57" r:id="rId39" xr:uid="{276E0A43-EFBF-4486-B30B-57A04FFC10F6}"/>
    <hyperlink ref="G28" r:id="rId40" xr:uid="{11D50456-C1CD-4BD8-A0AA-0EC55D999452}"/>
    <hyperlink ref="G3" r:id="rId41" xr:uid="{93DE6A51-2560-4C8B-ACF3-3F063DBFD7D3}"/>
    <hyperlink ref="F23" r:id="rId42" xr:uid="{219BD425-5DF6-45BE-83A5-5E60DB5FF93C}"/>
    <hyperlink ref="F34" r:id="rId43" xr:uid="{5B3C375B-0C64-471E-A32C-E5490A83929D}"/>
    <hyperlink ref="F135" r:id="rId44" xr:uid="{E0FB31DE-F600-4BBD-955B-102BE6B507B6}"/>
    <hyperlink ref="F148" r:id="rId45" xr:uid="{1E0EE987-63A3-4045-8E69-EACA3957C475}"/>
    <hyperlink ref="G148" r:id="rId46" xr:uid="{A1C80F43-9AD4-40C6-8E3D-656F891CCDFC}"/>
    <hyperlink ref="G135" r:id="rId47" xr:uid="{19123D30-52B9-45E3-A6FB-3B045A781CDD}"/>
    <hyperlink ref="G34" r:id="rId48" xr:uid="{287E8461-57B7-4447-8E45-A707F2FB99F2}"/>
    <hyperlink ref="G23" r:id="rId49" xr:uid="{9562E845-F82E-41AC-9A51-08EF73F864CC}"/>
    <hyperlink ref="F50" r:id="rId50" display="https://www.ancestry.co.uk/family-tree/person/tree/163868056/person/342173268093/facts" xr:uid="{381ED72C-25D3-4362-85D2-18B7686B6C8E}"/>
    <hyperlink ref="F64" r:id="rId51" display="https://www.ancestry.co.uk/family-tree/person/tree/163868056/person/342173268093/facts" xr:uid="{95E1CA74-BA09-48CB-A340-95531721D215}"/>
    <hyperlink ref="F71" r:id="rId52" display="https://www.ancestry.co.uk/family-tree/person/tree/163868056/person/342173268093/facts" xr:uid="{34524E2C-655D-4A77-B9F2-D2B8005D7E50}"/>
    <hyperlink ref="F91" r:id="rId53" display="https://www.ancestry.co.uk/family-tree/person/tree/163868056/person/342173268093/facts" xr:uid="{4DAB7127-367B-4888-A59C-AA81B92DC770}"/>
    <hyperlink ref="F159" r:id="rId54" display="https://www.ancestry.co.uk/family-tree/person/tree/163868056/person/342173268093/facts" xr:uid="{7B85DCAE-510E-47B6-AAC7-652404532C63}"/>
    <hyperlink ref="F176" r:id="rId55" display="https://www.ancestry.co.uk/family-tree/person/tree/163868056/person/342173268093/facts" xr:uid="{FCBF889D-D661-4CEB-8B7D-E52E88D2606A}"/>
    <hyperlink ref="G176" r:id="rId56" xr:uid="{94FAA180-B4F8-4368-84E2-554D77D30175}"/>
    <hyperlink ref="G159" r:id="rId57" xr:uid="{08974BAF-8B10-435A-BEAE-BF813238E43A}"/>
    <hyperlink ref="G91" r:id="rId58" xr:uid="{EF5B446B-6C60-435C-88C9-A7BF38193558}"/>
    <hyperlink ref="G71" r:id="rId59" xr:uid="{8C694996-1B46-4DF6-A0FA-88C3B5D4C620}"/>
    <hyperlink ref="G64" r:id="rId60" xr:uid="{9311FD41-7701-4928-BF97-A3D269393CE7}"/>
    <hyperlink ref="G50" r:id="rId61" xr:uid="{2A4A7B7B-4975-4019-A958-CF13A68D1CC8}"/>
    <hyperlink ref="F39" r:id="rId62" xr:uid="{1D6AEB00-95BD-4B8C-85EA-BB7A605E870A}"/>
    <hyperlink ref="G39" r:id="rId63" xr:uid="{A2CC7B85-84FA-4C33-82DC-4B49CC5CED91}"/>
    <hyperlink ref="F167" r:id="rId64" xr:uid="{FB62680C-B10C-4C6F-B85A-E5AEF23C951D}"/>
    <hyperlink ref="G167" r:id="rId65" xr:uid="{271990A7-98A0-4FD6-A101-E407EE3496BA}"/>
    <hyperlink ref="J33" r:id="rId66" xr:uid="{7DF680FC-D587-4A37-B916-73936042B4BC}"/>
    <hyperlink ref="A3" r:id="rId67" xr:uid="{F71CB3EC-8D87-463F-BD09-05E39F6ED8E8}"/>
    <hyperlink ref="I21" r:id="rId68" xr:uid="{C91821DF-4545-430C-A15D-1A47A1B7B543}"/>
    <hyperlink ref="F16" r:id="rId69" display="John Bushell" xr:uid="{86B648B6-A0D1-49E1-BBFF-90B7C134AB55}"/>
    <hyperlink ref="G16" r:id="rId70" xr:uid="{0BC73069-919B-4CA2-AE24-8772D9C43968}"/>
    <hyperlink ref="A16" r:id="rId71" xr:uid="{67B8F14D-19AC-4423-A8E6-347E6F9CE154}"/>
    <hyperlink ref="J22" r:id="rId72" xr:uid="{7044C16A-6617-4D94-A605-29E42562A5FA}"/>
    <hyperlink ref="J27" r:id="rId73" xr:uid="{9DB570FD-6C76-4416-9226-D6E8B44DBA09}"/>
    <hyperlink ref="A23" r:id="rId74" xr:uid="{EC7E6DD2-3145-481B-B873-A08952A7CD67}"/>
    <hyperlink ref="A28" r:id="rId75" xr:uid="{8862BD04-83D2-430E-8449-D422347E3671}"/>
    <hyperlink ref="J37" r:id="rId76" xr:uid="{FADB44F1-8F34-4356-AF8D-DAB65ADBEA5D}"/>
    <hyperlink ref="A34" r:id="rId77" xr:uid="{E44A0D5F-C435-4C6F-AB6F-9FB1AA576FDC}"/>
    <hyperlink ref="J48" r:id="rId78" xr:uid="{7A29EAAE-F1EA-401C-A698-A7293B949DF0}"/>
    <hyperlink ref="A39" r:id="rId79" xr:uid="{2A4F4632-DFE6-487B-8C97-66253D2BFC37}"/>
    <hyperlink ref="J56" r:id="rId80" xr:uid="{D39DD85B-ECD3-4C09-B338-C39B20AD2F8D}"/>
    <hyperlink ref="J63" r:id="rId81" xr:uid="{F87E8AC7-EBD8-427F-99AA-C6071F2E553C}"/>
    <hyperlink ref="A57" r:id="rId82" xr:uid="{F40E063C-5E28-4D30-94F2-E909FDA527DB}"/>
    <hyperlink ref="J70" r:id="rId83" xr:uid="{226A4BA6-5E21-4138-9EA8-CE130C10851F}"/>
    <hyperlink ref="A64" r:id="rId84" xr:uid="{AD317A95-FFB7-4544-A555-1A2274099CFC}"/>
    <hyperlink ref="J78" r:id="rId85" xr:uid="{99FCFBC8-CA14-44A9-BB64-659EE777BBBD}"/>
    <hyperlink ref="J83" r:id="rId86" xr:uid="{48407530-4517-4CC4-B886-72FC9EF49F17}"/>
    <hyperlink ref="A79" r:id="rId87" xr:uid="{E6A5287D-A45B-4712-BFED-ADA9EAAFD86F}"/>
    <hyperlink ref="J89" r:id="rId88" xr:uid="{C45EAA22-506F-485B-9D96-7EC82E39F49B}"/>
    <hyperlink ref="A85" r:id="rId89" xr:uid="{01597BA9-515E-4E4A-A3E0-76C5CA10D69B}"/>
    <hyperlink ref="J97" r:id="rId90" xr:uid="{DCF4967E-713D-4EF9-9006-D75D43FABEE2}"/>
    <hyperlink ref="J120" r:id="rId91" xr:uid="{FFE9AC48-EC13-40B9-9565-3BEA1A4ACC8A}"/>
    <hyperlink ref="A115" r:id="rId92" xr:uid="{25493E01-C439-43D7-ADFC-093D38B0ADFF}"/>
    <hyperlink ref="J127" r:id="rId93" xr:uid="{26B44340-1658-4BC9-AAD2-096170B370E4}"/>
    <hyperlink ref="J134" r:id="rId94" xr:uid="{99559CDE-88CC-453F-9BF6-4B97A65DA4D0}"/>
    <hyperlink ref="J140" r:id="rId95" xr:uid="{69C4636C-DC81-4826-A937-85BBA0CA7A96}"/>
    <hyperlink ref="J152" r:id="rId96" xr:uid="{1DC67FFF-E417-453F-9BB0-CBC41B0BDA8D}"/>
    <hyperlink ref="A148" r:id="rId97" xr:uid="{9DAC2145-36A6-4E27-8385-C9854D67FF06}"/>
    <hyperlink ref="J158" r:id="rId98" xr:uid="{8BB6192C-EC67-4EA2-84B6-76749B23AF4B}"/>
    <hyperlink ref="J166" r:id="rId99" xr:uid="{EAA5AFF1-A368-459D-A47D-08BD0F0DB618}"/>
    <hyperlink ref="J175" r:id="rId100" xr:uid="{2D8CF9DD-C1A8-4344-B4D5-57C706385C1D}"/>
    <hyperlink ref="A167" r:id="rId101" xr:uid="{336953C4-3783-4851-91F8-CBC273667025}"/>
    <hyperlink ref="J182" r:id="rId102" xr:uid="{4B30A443-D429-49C0-BEE2-A8B6E74C2EE4}"/>
    <hyperlink ref="A176" r:id="rId103" xr:uid="{9EFECDAD-2FD4-4375-B1E1-268AA9A087F0}"/>
    <hyperlink ref="J189" r:id="rId104" xr:uid="{3B271BC7-184E-4FE2-8411-8D07FBEC72F0}"/>
    <hyperlink ref="A183" r:id="rId105" xr:uid="{F6E7CB1F-3C88-4F5C-AC57-124C0D59E5DF}"/>
    <hyperlink ref="A159" r:id="rId106" xr:uid="{0025486F-4292-4A01-8DE6-B9F4510E031E}"/>
    <hyperlink ref="A153" r:id="rId107" xr:uid="{15F83A01-FB32-44ED-B135-73D656DD304D}"/>
    <hyperlink ref="A135" r:id="rId108" xr:uid="{0A905A64-51EC-4770-8274-B28A3DD60634}"/>
    <hyperlink ref="I139" r:id="rId109" xr:uid="{FAB056E3-463F-48AA-B5C3-3932BA30F48D}"/>
    <hyperlink ref="A128" r:id="rId110" xr:uid="{908DC252-6CEE-44DE-971B-45F2ECC4ADE7}"/>
    <hyperlink ref="A121" r:id="rId111" xr:uid="{562CFEEA-B713-4368-8CC7-ECAF747DCD48}"/>
    <hyperlink ref="A91" r:id="rId112" xr:uid="{57E3BB20-CFBA-4DD2-B49A-03690B7D7F22}"/>
    <hyperlink ref="A71" r:id="rId113" xr:uid="{81972DDB-0867-4C27-8334-CDD21B15D4E9}"/>
    <hyperlink ref="A50" r:id="rId114" xr:uid="{EB9EC8FC-7B39-47DA-9AA9-C6665E98670B}"/>
    <hyperlink ref="I114" r:id="rId115" xr:uid="{CF40C51D-16BA-4D91-8DCE-ABBF5CE11FB5}"/>
    <hyperlink ref="F109" r:id="rId116" xr:uid="{61A73367-7B73-4252-B283-B9A89AAE280D}"/>
    <hyperlink ref="G109" r:id="rId117" xr:uid="{432E38B2-8377-44EE-89CB-F3CD448AC628}"/>
    <hyperlink ref="F98" r:id="rId118" display="John Bushell" xr:uid="{21DC9E9C-7933-429A-87E8-61E51DD63F91}"/>
    <hyperlink ref="G98" r:id="rId119" xr:uid="{781AE41F-08AB-4174-889E-41EC3C678C1F}"/>
    <hyperlink ref="I103" r:id="rId120" xr:uid="{EC4AE55B-F3B9-45B3-B806-1DDD38CB7E42}"/>
    <hyperlink ref="J102" r:id="rId121" xr:uid="{D4B42EE6-539E-462C-B0E9-AD9683C18E04}"/>
    <hyperlink ref="A98" r:id="rId122" xr:uid="{6E787035-4A3B-4361-B1FC-268B8649CC83}"/>
    <hyperlink ref="J113" r:id="rId123" xr:uid="{5C74DCDE-C203-4952-BB9F-79A9DC2BD34B}"/>
    <hyperlink ref="A109" r:id="rId124" xr:uid="{D756F6AB-6A46-42A5-82FB-DE41EE7B4F6A}"/>
    <hyperlink ref="E3" r:id="rId125" xr:uid="{A17B1095-37D2-4770-AC35-478C491F6A86}"/>
    <hyperlink ref="E4" r:id="rId126" xr:uid="{79485C54-36A2-49D8-9ADA-425827539D3D}"/>
    <hyperlink ref="E57" r:id="rId127" xr:uid="{4DB557F1-BFE1-41D1-9DB6-3F48D6324EA2}"/>
    <hyperlink ref="E64" r:id="rId128" xr:uid="{23108E7E-303B-4080-9AB1-DBAA1CB5100B}"/>
    <hyperlink ref="E71" r:id="rId129" xr:uid="{379DF27B-7D5F-4206-BAE4-A7E620E347BD}"/>
    <hyperlink ref="E16" r:id="rId130" display="32cM" xr:uid="{979379CE-5BB2-424D-94C4-D6058AEED8D3}"/>
    <hyperlink ref="E23" r:id="rId131" xr:uid="{AF89EA2D-56D2-4CC0-85C0-C4E48CADE78F}"/>
    <hyperlink ref="E28" r:id="rId132" xr:uid="{F6ECE961-6431-497A-AE46-914DA6B233D7}"/>
    <hyperlink ref="E34" r:id="rId133" xr:uid="{84596F52-2714-41FD-8444-08BD6FEFFC6C}"/>
    <hyperlink ref="E39" r:id="rId134" xr:uid="{57D2BB66-F380-4FBA-9EDE-CC80B9237358}"/>
    <hyperlink ref="E29" r:id="rId135" xr:uid="{19B59A36-9A0E-4B92-929F-F4345DE30FD1}"/>
    <hyperlink ref="E50" r:id="rId136" xr:uid="{5688DE81-5F40-4966-89A0-7EFB848F6A44}"/>
    <hyperlink ref="E79" r:id="rId137" xr:uid="{1E5F752B-6D09-4AF6-9DB3-A4AFEF0AD0FD}"/>
    <hyperlink ref="E80" r:id="rId138" xr:uid="{77E05577-4525-4E56-843F-7253F1F88EB5}"/>
    <hyperlink ref="E85" r:id="rId139" xr:uid="{A5850D3B-BBF6-4AAF-B43B-B51EA8E24F9F}"/>
    <hyperlink ref="E91" r:id="rId140" xr:uid="{260452E5-D37B-47AE-B228-3E3969558FC9}"/>
    <hyperlink ref="E98" r:id="rId141" xr:uid="{9E499D05-8489-45C0-9885-05DA0DAB0208}"/>
    <hyperlink ref="E109" r:id="rId142" xr:uid="{CBE78618-434A-44F6-BC99-9FC903CA3754}"/>
    <hyperlink ref="E115" r:id="rId143" xr:uid="{531EC6E4-28C1-4CAA-B3C6-57A27E9C9168}"/>
    <hyperlink ref="E121" r:id="rId144" xr:uid="{CC2FE728-592C-4114-9520-C08388396603}"/>
    <hyperlink ref="E128" r:id="rId145" xr:uid="{991EB35D-D523-4A9F-9076-A12357320164}"/>
    <hyperlink ref="E135" r:id="rId146" xr:uid="{02711A4A-579E-4330-A878-4964ED0B196B}"/>
    <hyperlink ref="E148" r:id="rId147" xr:uid="{167077D2-B6CB-4CC2-B703-4A45562D1DE2}"/>
    <hyperlink ref="E153" r:id="rId148" xr:uid="{288AD2A7-4300-4E02-A911-9ED4A940C98E}"/>
    <hyperlink ref="E159" r:id="rId149" xr:uid="{676E1E24-C7EC-4B44-8477-930E865ECCAF}"/>
    <hyperlink ref="E167" r:id="rId150" xr:uid="{00563457-38DE-436C-964E-948B1338BB80}"/>
    <hyperlink ref="E176" r:id="rId151" xr:uid="{A1D1EA38-0F57-4DC2-8EC1-B3936965AB14}"/>
    <hyperlink ref="E183" r:id="rId152" xr:uid="{3313D27F-3D81-4007-9863-ED3708497702}"/>
    <hyperlink ref="F104" r:id="rId153" xr:uid="{E234E80D-BA3D-4A13-A966-ACC3B6848E14}"/>
    <hyperlink ref="G104" r:id="rId154" xr:uid="{6466BC47-D67B-4D9B-8B90-732B423FFE88}"/>
    <hyperlink ref="A104" r:id="rId155" xr:uid="{167FD943-97CA-48E9-B7F7-4FEB502C8930}"/>
    <hyperlink ref="I108" r:id="rId156" xr:uid="{6DA57F5D-ABDF-4D5A-A0A1-728FAD700067}"/>
    <hyperlink ref="E104" r:id="rId157" xr:uid="{68048A59-3E37-453D-AB93-A043CA7C71B3}"/>
    <hyperlink ref="J107" r:id="rId158" xr:uid="{476AF13E-3569-4D54-B37D-2B0AAD4DC37F}"/>
    <hyperlink ref="E105" r:id="rId159" xr:uid="{99CA3B2D-503F-4D1C-95D8-D046109DF229}"/>
    <hyperlink ref="I147" r:id="rId160" xr:uid="{762F3226-3C7A-426C-BB67-F07520E1F7EB}"/>
    <hyperlink ref="F141" r:id="rId161" display="https://www.ancestry.co.uk/family-tree/person/tree/163868056/person/342173268093/facts" xr:uid="{2DD509EA-322F-4E73-A7A3-E52CDEE799DF}"/>
    <hyperlink ref="G141" r:id="rId162" xr:uid="{628F7FBF-4290-483B-BD73-2D5490987D10}"/>
    <hyperlink ref="A141" r:id="rId163" display="Mark Sedman" xr:uid="{8DA3BE6A-7520-4149-B857-4E91C49A552D}"/>
    <hyperlink ref="E141" r:id="rId164" xr:uid="{8C06208B-FC26-4A2C-A550-6E2DADF5A8F3}"/>
    <hyperlink ref="J146" r:id="rId165" xr:uid="{9E9279A9-6ED0-453E-8334-9541D4848D72}"/>
    <hyperlink ref="I14" r:id="rId166" xr:uid="{86F3E09E-3AFE-45C4-87DD-12E196368651}"/>
    <hyperlink ref="F9" r:id="rId167" display="John Bushell" xr:uid="{B30D85B9-8995-471C-A058-C2792B6D2FFD}"/>
    <hyperlink ref="G9" r:id="rId168" xr:uid="{9B938539-45B1-4AAE-921F-D102BE9076D6}"/>
    <hyperlink ref="A9" r:id="rId169" xr:uid="{9D2403D3-BE8F-418D-B213-C9F44D367610}"/>
    <hyperlink ref="J15" r:id="rId170" xr:uid="{74E4CBB2-49E2-4A35-935D-FF426AE8EF5E}"/>
    <hyperlink ref="E9" r:id="rId171" xr:uid="{255E9E26-5529-4578-BAA3-40FE7AA3753C}"/>
  </hyperlinks>
  <pageMargins left="0.7" right="0.7" top="0.75" bottom="0.75" header="0.3" footer="0.3"/>
  <pageSetup paperSize="9" orientation="portrait" horizontalDpi="0" verticalDpi="0" r:id="rId17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tabColor rgb="FF92D050"/>
  </sheetPr>
  <dimension ref="A1:J16"/>
  <sheetViews>
    <sheetView workbookViewId="0">
      <selection activeCell="B2" sqref="B2"/>
    </sheetView>
  </sheetViews>
  <sheetFormatPr defaultRowHeight="14.5" x14ac:dyDescent="0.35"/>
  <cols>
    <col min="1" max="1" width="21.08984375" customWidth="1"/>
    <col min="2" max="2" width="15.7265625" customWidth="1"/>
    <col min="3" max="3" width="24.1796875" customWidth="1"/>
    <col min="4" max="4" width="23.81640625" customWidth="1"/>
    <col min="5" max="5" width="12.81640625" customWidth="1"/>
    <col min="6" max="6" width="23.54296875" customWidth="1"/>
    <col min="7" max="7" width="28.54296875" customWidth="1"/>
    <col min="8" max="8" width="24.453125" customWidth="1"/>
    <col min="9" max="9" width="23.90625" customWidth="1"/>
    <col min="10" max="10" width="21.36328125" customWidth="1"/>
  </cols>
  <sheetData>
    <row r="1" spans="1:10" x14ac:dyDescent="0.35">
      <c r="A1" s="34" t="s">
        <v>3196</v>
      </c>
      <c r="B1" s="16">
        <f>COUNTIF(I2:I1067,C1)+COUNTIF(I2:I1067,D1)</f>
        <v>2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2163</v>
      </c>
      <c r="B3" t="s">
        <v>3</v>
      </c>
      <c r="C3" t="s">
        <v>43</v>
      </c>
      <c r="D3" t="s">
        <v>55</v>
      </c>
      <c r="E3" s="34" t="s">
        <v>608</v>
      </c>
      <c r="F3" s="33" t="s">
        <v>45</v>
      </c>
      <c r="G3" s="33" t="s">
        <v>46</v>
      </c>
      <c r="H3" t="s">
        <v>54</v>
      </c>
      <c r="I3" s="1" t="s">
        <v>53</v>
      </c>
      <c r="J3" s="3" t="s">
        <v>2164</v>
      </c>
    </row>
    <row r="4" spans="1:10" x14ac:dyDescent="0.35">
      <c r="E4" s="17"/>
      <c r="I4" t="s">
        <v>33</v>
      </c>
      <c r="J4" t="s">
        <v>2165</v>
      </c>
    </row>
    <row r="5" spans="1:10" x14ac:dyDescent="0.35">
      <c r="I5" t="s">
        <v>35</v>
      </c>
      <c r="J5" t="s">
        <v>2166</v>
      </c>
    </row>
    <row r="6" spans="1:10" x14ac:dyDescent="0.35">
      <c r="I6" t="s">
        <v>36</v>
      </c>
      <c r="J6" t="s">
        <v>2167</v>
      </c>
    </row>
    <row r="7" spans="1:10" x14ac:dyDescent="0.35">
      <c r="I7" t="s">
        <v>16</v>
      </c>
      <c r="J7" t="s">
        <v>2168</v>
      </c>
    </row>
    <row r="8" spans="1:10" x14ac:dyDescent="0.35">
      <c r="I8" t="s">
        <v>17</v>
      </c>
      <c r="J8" t="s">
        <v>2169</v>
      </c>
    </row>
    <row r="9" spans="1:10" x14ac:dyDescent="0.35">
      <c r="I9" s="38" t="s">
        <v>18</v>
      </c>
      <c r="J9" s="36" t="s">
        <v>2170</v>
      </c>
    </row>
    <row r="10" spans="1:10" x14ac:dyDescent="0.35">
      <c r="A10" s="33" t="s">
        <v>42</v>
      </c>
      <c r="B10" t="s">
        <v>3</v>
      </c>
      <c r="C10" t="s">
        <v>43</v>
      </c>
      <c r="D10" t="s">
        <v>55</v>
      </c>
      <c r="E10" s="34" t="s">
        <v>44</v>
      </c>
      <c r="F10" s="33" t="s">
        <v>45</v>
      </c>
      <c r="G10" s="33" t="s">
        <v>46</v>
      </c>
      <c r="H10" t="s">
        <v>54</v>
      </c>
      <c r="I10" s="1" t="s">
        <v>53</v>
      </c>
      <c r="J10" s="3" t="s">
        <v>52</v>
      </c>
    </row>
    <row r="11" spans="1:10" x14ac:dyDescent="0.35">
      <c r="E11" s="17"/>
      <c r="I11" t="s">
        <v>33</v>
      </c>
      <c r="J11" t="s">
        <v>51</v>
      </c>
    </row>
    <row r="12" spans="1:10" x14ac:dyDescent="0.35">
      <c r="I12" t="s">
        <v>35</v>
      </c>
      <c r="J12" t="s">
        <v>50</v>
      </c>
    </row>
    <row r="13" spans="1:10" x14ac:dyDescent="0.35">
      <c r="I13" t="s">
        <v>36</v>
      </c>
      <c r="J13" t="s">
        <v>49</v>
      </c>
    </row>
    <row r="14" spans="1:10" x14ac:dyDescent="0.35">
      <c r="I14" t="s">
        <v>16</v>
      </c>
      <c r="J14" t="s">
        <v>48</v>
      </c>
    </row>
    <row r="15" spans="1:10" x14ac:dyDescent="0.35">
      <c r="I15" t="s">
        <v>17</v>
      </c>
      <c r="J15" t="s">
        <v>47</v>
      </c>
    </row>
    <row r="16" spans="1:10" x14ac:dyDescent="0.35">
      <c r="I16" s="38" t="s">
        <v>18</v>
      </c>
      <c r="J16" s="36" t="s">
        <v>42</v>
      </c>
    </row>
  </sheetData>
  <hyperlinks>
    <hyperlink ref="A1" location="Summary!B10" tooltip="Return to Totals" display="Back to Totals" xr:uid="{9ED58894-FCEB-4C18-9795-FE18B241CD68}"/>
    <hyperlink ref="I9" r:id="rId1" xr:uid="{3160B037-9A7E-4BA4-9717-FC5043A31B45}"/>
    <hyperlink ref="I16" r:id="rId2" xr:uid="{53A06400-097B-45E5-8AFD-2D632D94D8C3}"/>
    <hyperlink ref="F3" r:id="rId3" xr:uid="{0EFEE0DE-D01F-4508-BEF6-73C3313C2A3D}"/>
    <hyperlink ref="F10" r:id="rId4" xr:uid="{869511DE-9752-45CB-A965-2845F10E82B2}"/>
    <hyperlink ref="G3" r:id="rId5" xr:uid="{0FE50E9C-491B-496C-B32E-91A1574D6E2B}"/>
    <hyperlink ref="G10" r:id="rId6" xr:uid="{925992B3-38A1-410E-81D1-E7E3732D4053}"/>
    <hyperlink ref="J16" r:id="rId7" xr:uid="{F7F0EBD8-4AC7-48DE-90A4-1F6544CC9995}"/>
    <hyperlink ref="A10" r:id="rId8" xr:uid="{9B2749DB-00BB-450C-A48F-A269B82980B2}"/>
    <hyperlink ref="J9" r:id="rId9" xr:uid="{ED44D30D-A51F-4C5E-8F76-81A354CA673E}"/>
    <hyperlink ref="A3" r:id="rId10" xr:uid="{2B671C20-BDB6-401D-B93B-E17FC1345721}"/>
    <hyperlink ref="E3" r:id="rId11" xr:uid="{6B64E0ED-3B84-4775-BD27-0D95FD773916}"/>
    <hyperlink ref="E10" r:id="rId12" xr:uid="{AD01F43E-C50F-49E5-86E5-A6765FCF4B5A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BD9CE-AEF3-407F-9F59-906DD4B445B0}">
  <sheetPr codeName="Sheet11">
    <tabColor theme="7" tint="0.59999389629810485"/>
  </sheetPr>
  <dimension ref="A1:J80"/>
  <sheetViews>
    <sheetView workbookViewId="0"/>
  </sheetViews>
  <sheetFormatPr defaultRowHeight="14.5" x14ac:dyDescent="0.35"/>
  <cols>
    <col min="1" max="1" width="22.6328125" customWidth="1"/>
    <col min="2" max="2" width="15.1796875" customWidth="1"/>
    <col min="3" max="3" width="23.26953125" customWidth="1"/>
    <col min="4" max="4" width="20.81640625" customWidth="1"/>
    <col min="5" max="5" width="13.1796875" customWidth="1"/>
    <col min="6" max="6" width="23.81640625" customWidth="1"/>
    <col min="7" max="7" width="25.1796875" customWidth="1"/>
    <col min="8" max="8" width="24.453125" customWidth="1"/>
    <col min="9" max="9" width="21.90625" customWidth="1"/>
    <col min="10" max="10" width="20.26953125" customWidth="1"/>
  </cols>
  <sheetData>
    <row r="1" spans="1:10" x14ac:dyDescent="0.35">
      <c r="A1" s="34" t="s">
        <v>3196</v>
      </c>
      <c r="B1" s="16">
        <f>COUNTIF(I2:I1067,C1)+COUNTIF(I2:I1067,D1)</f>
        <v>11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4219</v>
      </c>
      <c r="B3" t="s">
        <v>3</v>
      </c>
      <c r="C3" t="s">
        <v>43</v>
      </c>
      <c r="D3" t="s">
        <v>712</v>
      </c>
      <c r="E3" s="40" t="s">
        <v>26</v>
      </c>
      <c r="F3" s="33" t="s">
        <v>1892</v>
      </c>
      <c r="G3" s="33" t="s">
        <v>1893</v>
      </c>
      <c r="H3" t="s">
        <v>130</v>
      </c>
      <c r="I3" s="1" t="s">
        <v>1894</v>
      </c>
      <c r="J3" s="3" t="s">
        <v>1895</v>
      </c>
    </row>
    <row r="4" spans="1:10" x14ac:dyDescent="0.35">
      <c r="E4" s="18"/>
      <c r="I4" t="s">
        <v>1676</v>
      </c>
      <c r="J4" t="s">
        <v>4220</v>
      </c>
    </row>
    <row r="5" spans="1:10" x14ac:dyDescent="0.35">
      <c r="I5" t="s">
        <v>1554</v>
      </c>
      <c r="J5" t="s">
        <v>4221</v>
      </c>
    </row>
    <row r="6" spans="1:10" x14ac:dyDescent="0.35">
      <c r="I6" t="s">
        <v>1555</v>
      </c>
      <c r="J6" t="s">
        <v>4222</v>
      </c>
    </row>
    <row r="7" spans="1:10" x14ac:dyDescent="0.35">
      <c r="I7" t="s">
        <v>104</v>
      </c>
      <c r="J7" t="s">
        <v>4223</v>
      </c>
    </row>
    <row r="8" spans="1:10" x14ac:dyDescent="0.35">
      <c r="I8" s="38" t="s">
        <v>1249</v>
      </c>
      <c r="J8" t="s">
        <v>4225</v>
      </c>
    </row>
    <row r="9" spans="1:10" x14ac:dyDescent="0.35">
      <c r="I9" s="110"/>
      <c r="J9" s="36" t="s">
        <v>4224</v>
      </c>
    </row>
    <row r="10" spans="1:10" x14ac:dyDescent="0.35">
      <c r="A10" s="33" t="s">
        <v>3326</v>
      </c>
      <c r="B10" s="1" t="s">
        <v>315</v>
      </c>
      <c r="C10" t="s">
        <v>43</v>
      </c>
      <c r="D10" t="s">
        <v>184</v>
      </c>
      <c r="E10" s="40" t="s">
        <v>169</v>
      </c>
      <c r="F10" s="33" t="s">
        <v>1892</v>
      </c>
      <c r="G10" s="33" t="s">
        <v>1893</v>
      </c>
      <c r="H10" t="s">
        <v>130</v>
      </c>
      <c r="I10" s="1" t="s">
        <v>1894</v>
      </c>
      <c r="J10" s="3" t="s">
        <v>1895</v>
      </c>
    </row>
    <row r="11" spans="1:10" x14ac:dyDescent="0.35">
      <c r="E11" s="18"/>
      <c r="I11" t="s">
        <v>1676</v>
      </c>
      <c r="J11" t="s">
        <v>1896</v>
      </c>
    </row>
    <row r="12" spans="1:10" x14ac:dyDescent="0.35">
      <c r="I12" t="s">
        <v>1554</v>
      </c>
      <c r="J12" t="s">
        <v>1897</v>
      </c>
    </row>
    <row r="13" spans="1:10" x14ac:dyDescent="0.35">
      <c r="I13" t="s">
        <v>1555</v>
      </c>
      <c r="J13" t="s">
        <v>1898</v>
      </c>
    </row>
    <row r="14" spans="1:10" x14ac:dyDescent="0.35">
      <c r="I14" t="s">
        <v>104</v>
      </c>
      <c r="J14" t="s">
        <v>3324</v>
      </c>
    </row>
    <row r="15" spans="1:10" x14ac:dyDescent="0.35">
      <c r="I15" s="38" t="s">
        <v>1249</v>
      </c>
      <c r="J15" s="36" t="s">
        <v>3325</v>
      </c>
    </row>
    <row r="16" spans="1:10" x14ac:dyDescent="0.35">
      <c r="A16" s="33" t="s">
        <v>3786</v>
      </c>
      <c r="B16" t="s">
        <v>3</v>
      </c>
      <c r="C16" t="s">
        <v>43</v>
      </c>
      <c r="D16" t="s">
        <v>184</v>
      </c>
      <c r="E16" s="40" t="s">
        <v>608</v>
      </c>
      <c r="F16" s="33" t="s">
        <v>1892</v>
      </c>
      <c r="G16" s="33" t="s">
        <v>1893</v>
      </c>
      <c r="H16" t="s">
        <v>130</v>
      </c>
      <c r="I16" s="1" t="s">
        <v>1892</v>
      </c>
      <c r="J16" s="3" t="s">
        <v>1895</v>
      </c>
    </row>
    <row r="17" spans="1:10" x14ac:dyDescent="0.35">
      <c r="E17" s="15"/>
      <c r="I17" t="s">
        <v>1894</v>
      </c>
      <c r="J17" t="s">
        <v>1896</v>
      </c>
    </row>
    <row r="18" spans="1:10" x14ac:dyDescent="0.35">
      <c r="I18" t="s">
        <v>1676</v>
      </c>
      <c r="J18" t="s">
        <v>3781</v>
      </c>
    </row>
    <row r="19" spans="1:10" x14ac:dyDescent="0.35">
      <c r="I19" t="s">
        <v>1554</v>
      </c>
      <c r="J19" t="s">
        <v>3782</v>
      </c>
    </row>
    <row r="20" spans="1:10" x14ac:dyDescent="0.35">
      <c r="I20" t="s">
        <v>1555</v>
      </c>
      <c r="J20" t="s">
        <v>3783</v>
      </c>
    </row>
    <row r="21" spans="1:10" x14ac:dyDescent="0.35">
      <c r="I21" t="s">
        <v>104</v>
      </c>
      <c r="J21" t="s">
        <v>3784</v>
      </c>
    </row>
    <row r="22" spans="1:10" x14ac:dyDescent="0.35">
      <c r="I22" s="38" t="s">
        <v>1249</v>
      </c>
      <c r="J22" s="36" t="s">
        <v>3787</v>
      </c>
    </row>
    <row r="23" spans="1:10" x14ac:dyDescent="0.35">
      <c r="A23" s="33" t="s">
        <v>3780</v>
      </c>
      <c r="B23" t="s">
        <v>3</v>
      </c>
      <c r="C23" t="s">
        <v>43</v>
      </c>
      <c r="D23" t="s">
        <v>184</v>
      </c>
      <c r="E23" s="40" t="s">
        <v>179</v>
      </c>
      <c r="F23" s="33" t="s">
        <v>1892</v>
      </c>
      <c r="G23" s="33" t="s">
        <v>1893</v>
      </c>
      <c r="H23" t="s">
        <v>130</v>
      </c>
      <c r="I23" s="1" t="s">
        <v>1892</v>
      </c>
      <c r="J23" s="3" t="s">
        <v>1895</v>
      </c>
    </row>
    <row r="24" spans="1:10" x14ac:dyDescent="0.35">
      <c r="E24" s="15"/>
      <c r="I24" t="s">
        <v>1894</v>
      </c>
      <c r="J24" t="s">
        <v>1896</v>
      </c>
    </row>
    <row r="25" spans="1:10" x14ac:dyDescent="0.35">
      <c r="I25" t="s">
        <v>1676</v>
      </c>
      <c r="J25" t="s">
        <v>3781</v>
      </c>
    </row>
    <row r="26" spans="1:10" x14ac:dyDescent="0.35">
      <c r="I26" t="s">
        <v>1554</v>
      </c>
      <c r="J26" t="s">
        <v>3782</v>
      </c>
    </row>
    <row r="27" spans="1:10" x14ac:dyDescent="0.35">
      <c r="I27" t="s">
        <v>1555</v>
      </c>
      <c r="J27" t="s">
        <v>3783</v>
      </c>
    </row>
    <row r="28" spans="1:10" x14ac:dyDescent="0.35">
      <c r="I28" t="s">
        <v>104</v>
      </c>
      <c r="J28" t="s">
        <v>3784</v>
      </c>
    </row>
    <row r="29" spans="1:10" x14ac:dyDescent="0.35">
      <c r="I29" s="38" t="s">
        <v>1249</v>
      </c>
      <c r="J29" s="36" t="s">
        <v>3785</v>
      </c>
    </row>
    <row r="30" spans="1:10" x14ac:dyDescent="0.35">
      <c r="A30" s="33" t="s">
        <v>3788</v>
      </c>
      <c r="B30" t="s">
        <v>3</v>
      </c>
      <c r="C30" t="s">
        <v>43</v>
      </c>
      <c r="D30" t="s">
        <v>159</v>
      </c>
      <c r="E30" s="40" t="s">
        <v>179</v>
      </c>
      <c r="F30" s="33" t="s">
        <v>1892</v>
      </c>
      <c r="G30" s="33" t="s">
        <v>1893</v>
      </c>
      <c r="H30" t="s">
        <v>130</v>
      </c>
      <c r="I30" s="1" t="s">
        <v>1892</v>
      </c>
      <c r="J30" s="3" t="s">
        <v>1895</v>
      </c>
    </row>
    <row r="31" spans="1:10" x14ac:dyDescent="0.35">
      <c r="E31" s="15"/>
      <c r="I31" t="s">
        <v>1894</v>
      </c>
      <c r="J31" t="s">
        <v>1896</v>
      </c>
    </row>
    <row r="32" spans="1:10" x14ac:dyDescent="0.35">
      <c r="I32" t="s">
        <v>1676</v>
      </c>
      <c r="J32" t="s">
        <v>3781</v>
      </c>
    </row>
    <row r="33" spans="1:10" x14ac:dyDescent="0.35">
      <c r="I33" t="s">
        <v>1554</v>
      </c>
      <c r="J33" t="s">
        <v>3782</v>
      </c>
    </row>
    <row r="34" spans="1:10" x14ac:dyDescent="0.35">
      <c r="I34" t="s">
        <v>1555</v>
      </c>
      <c r="J34" t="s">
        <v>3783</v>
      </c>
    </row>
    <row r="35" spans="1:10" x14ac:dyDescent="0.35">
      <c r="I35" t="s">
        <v>104</v>
      </c>
      <c r="J35" s="36" t="s">
        <v>3784</v>
      </c>
    </row>
    <row r="36" spans="1:10" x14ac:dyDescent="0.35">
      <c r="I36" s="38" t="s">
        <v>1249</v>
      </c>
    </row>
    <row r="37" spans="1:10" x14ac:dyDescent="0.35">
      <c r="A37" s="33" t="s">
        <v>1941</v>
      </c>
      <c r="B37" t="s">
        <v>3</v>
      </c>
      <c r="C37" t="s">
        <v>43</v>
      </c>
      <c r="D37" t="s">
        <v>282</v>
      </c>
      <c r="E37" s="40" t="s">
        <v>216</v>
      </c>
      <c r="F37" s="33" t="s">
        <v>1892</v>
      </c>
      <c r="G37" s="33" t="s">
        <v>1942</v>
      </c>
      <c r="H37" t="s">
        <v>54</v>
      </c>
      <c r="I37" s="1" t="s">
        <v>1892</v>
      </c>
      <c r="J37" s="3" t="s">
        <v>1943</v>
      </c>
    </row>
    <row r="38" spans="1:10" x14ac:dyDescent="0.35">
      <c r="E38" s="15"/>
      <c r="I38" t="s">
        <v>1894</v>
      </c>
      <c r="J38" t="s">
        <v>1944</v>
      </c>
    </row>
    <row r="39" spans="1:10" x14ac:dyDescent="0.35">
      <c r="I39" t="s">
        <v>1676</v>
      </c>
      <c r="J39" t="s">
        <v>1945</v>
      </c>
    </row>
    <row r="40" spans="1:10" x14ac:dyDescent="0.35">
      <c r="I40" t="s">
        <v>1554</v>
      </c>
      <c r="J40" t="s">
        <v>1946</v>
      </c>
    </row>
    <row r="41" spans="1:10" x14ac:dyDescent="0.35">
      <c r="I41" t="s">
        <v>1555</v>
      </c>
      <c r="J41" s="36" t="s">
        <v>1947</v>
      </c>
    </row>
    <row r="42" spans="1:10" x14ac:dyDescent="0.35">
      <c r="I42" t="s">
        <v>104</v>
      </c>
    </row>
    <row r="43" spans="1:10" x14ac:dyDescent="0.35">
      <c r="I43" s="38" t="s">
        <v>1249</v>
      </c>
    </row>
    <row r="44" spans="1:10" x14ac:dyDescent="0.35">
      <c r="A44" s="33" t="s">
        <v>1948</v>
      </c>
      <c r="B44" t="s">
        <v>3</v>
      </c>
      <c r="C44" t="s">
        <v>43</v>
      </c>
      <c r="D44" t="s">
        <v>282</v>
      </c>
      <c r="E44" s="40" t="s">
        <v>216</v>
      </c>
      <c r="F44" s="33" t="s">
        <v>1892</v>
      </c>
      <c r="G44" s="33" t="s">
        <v>1942</v>
      </c>
      <c r="H44" t="s">
        <v>54</v>
      </c>
      <c r="I44" s="1" t="s">
        <v>1892</v>
      </c>
      <c r="J44" s="3" t="s">
        <v>1943</v>
      </c>
    </row>
    <row r="45" spans="1:10" x14ac:dyDescent="0.35">
      <c r="E45" s="15"/>
      <c r="I45" t="s">
        <v>1894</v>
      </c>
      <c r="J45" t="s">
        <v>1944</v>
      </c>
    </row>
    <row r="46" spans="1:10" x14ac:dyDescent="0.35">
      <c r="I46" t="s">
        <v>1676</v>
      </c>
      <c r="J46" t="s">
        <v>1945</v>
      </c>
    </row>
    <row r="47" spans="1:10" x14ac:dyDescent="0.35">
      <c r="I47" t="s">
        <v>1554</v>
      </c>
      <c r="J47" t="s">
        <v>1946</v>
      </c>
    </row>
    <row r="48" spans="1:10" x14ac:dyDescent="0.35">
      <c r="I48" t="s">
        <v>1555</v>
      </c>
      <c r="J48" s="36" t="s">
        <v>1949</v>
      </c>
    </row>
    <row r="49" spans="1:10" x14ac:dyDescent="0.35">
      <c r="I49" t="s">
        <v>104</v>
      </c>
    </row>
    <row r="50" spans="1:10" x14ac:dyDescent="0.35">
      <c r="I50" s="38" t="s">
        <v>1249</v>
      </c>
    </row>
    <row r="51" spans="1:10" x14ac:dyDescent="0.35">
      <c r="A51" s="33" t="s">
        <v>1891</v>
      </c>
      <c r="B51" t="s">
        <v>3</v>
      </c>
      <c r="C51" t="s">
        <v>43</v>
      </c>
      <c r="D51" t="s">
        <v>184</v>
      </c>
      <c r="E51" s="40" t="s">
        <v>65</v>
      </c>
      <c r="F51" s="33" t="s">
        <v>1892</v>
      </c>
      <c r="G51" s="33" t="s">
        <v>1893</v>
      </c>
      <c r="H51" t="s">
        <v>130</v>
      </c>
      <c r="I51" s="1" t="s">
        <v>1894</v>
      </c>
      <c r="J51" s="3" t="s">
        <v>1895</v>
      </c>
    </row>
    <row r="52" spans="1:10" x14ac:dyDescent="0.35">
      <c r="E52" s="18"/>
      <c r="I52" t="s">
        <v>1676</v>
      </c>
      <c r="J52" t="s">
        <v>1896</v>
      </c>
    </row>
    <row r="53" spans="1:10" x14ac:dyDescent="0.35">
      <c r="I53" t="s">
        <v>1554</v>
      </c>
      <c r="J53" t="s">
        <v>1897</v>
      </c>
    </row>
    <row r="54" spans="1:10" x14ac:dyDescent="0.35">
      <c r="I54" t="s">
        <v>1555</v>
      </c>
      <c r="J54" t="s">
        <v>1898</v>
      </c>
    </row>
    <row r="55" spans="1:10" x14ac:dyDescent="0.35">
      <c r="I55" t="s">
        <v>104</v>
      </c>
      <c r="J55" t="s">
        <v>1899</v>
      </c>
    </row>
    <row r="56" spans="1:10" x14ac:dyDescent="0.35">
      <c r="I56" s="38" t="s">
        <v>1249</v>
      </c>
      <c r="J56" s="36" t="s">
        <v>3811</v>
      </c>
    </row>
    <row r="57" spans="1:10" x14ac:dyDescent="0.35">
      <c r="A57" s="33" t="s">
        <v>3809</v>
      </c>
      <c r="B57" t="s">
        <v>3</v>
      </c>
      <c r="C57" t="s">
        <v>43</v>
      </c>
      <c r="D57" t="s">
        <v>159</v>
      </c>
      <c r="E57" s="40" t="s">
        <v>65</v>
      </c>
      <c r="F57" s="33" t="s">
        <v>1892</v>
      </c>
      <c r="G57" s="33" t="s">
        <v>1893</v>
      </c>
      <c r="H57" t="s">
        <v>130</v>
      </c>
      <c r="I57" s="1" t="s">
        <v>1894</v>
      </c>
      <c r="J57" s="3" t="s">
        <v>1895</v>
      </c>
    </row>
    <row r="58" spans="1:10" x14ac:dyDescent="0.35">
      <c r="E58" s="18"/>
      <c r="I58" t="s">
        <v>1676</v>
      </c>
      <c r="J58" t="s">
        <v>1896</v>
      </c>
    </row>
    <row r="59" spans="1:10" x14ac:dyDescent="0.35">
      <c r="I59" t="s">
        <v>1554</v>
      </c>
      <c r="J59" t="s">
        <v>1897</v>
      </c>
    </row>
    <row r="60" spans="1:10" x14ac:dyDescent="0.35">
      <c r="I60" t="s">
        <v>1555</v>
      </c>
      <c r="J60" t="s">
        <v>1898</v>
      </c>
    </row>
    <row r="61" spans="1:10" x14ac:dyDescent="0.35">
      <c r="I61" t="s">
        <v>104</v>
      </c>
      <c r="J61" s="36" t="s">
        <v>3810</v>
      </c>
    </row>
    <row r="62" spans="1:10" x14ac:dyDescent="0.35">
      <c r="I62" s="38" t="s">
        <v>1249</v>
      </c>
    </row>
    <row r="63" spans="1:10" x14ac:dyDescent="0.35">
      <c r="A63" s="33" t="s">
        <v>2277</v>
      </c>
      <c r="B63" t="s">
        <v>3</v>
      </c>
      <c r="C63" t="s">
        <v>43</v>
      </c>
      <c r="D63" t="s">
        <v>615</v>
      </c>
      <c r="E63" s="34" t="s">
        <v>44</v>
      </c>
      <c r="F63" s="33" t="s">
        <v>1896</v>
      </c>
      <c r="G63" s="33" t="s">
        <v>2278</v>
      </c>
      <c r="H63" t="s">
        <v>91</v>
      </c>
      <c r="I63" s="1" t="s">
        <v>1892</v>
      </c>
      <c r="J63" s="3" t="s">
        <v>2279</v>
      </c>
    </row>
    <row r="64" spans="1:10" x14ac:dyDescent="0.35">
      <c r="E64" s="17"/>
      <c r="I64" t="s">
        <v>1892</v>
      </c>
      <c r="J64" t="s">
        <v>2280</v>
      </c>
    </row>
    <row r="65" spans="1:10" x14ac:dyDescent="0.35">
      <c r="I65" t="s">
        <v>1892</v>
      </c>
      <c r="J65" t="s">
        <v>2282</v>
      </c>
    </row>
    <row r="66" spans="1:10" x14ac:dyDescent="0.35">
      <c r="I66" t="s">
        <v>1894</v>
      </c>
      <c r="J66" t="s">
        <v>2283</v>
      </c>
    </row>
    <row r="67" spans="1:10" x14ac:dyDescent="0.35">
      <c r="I67" t="s">
        <v>1676</v>
      </c>
      <c r="J67" t="s">
        <v>2284</v>
      </c>
    </row>
    <row r="68" spans="1:10" x14ac:dyDescent="0.35">
      <c r="I68" t="s">
        <v>1554</v>
      </c>
      <c r="J68" t="s">
        <v>2285</v>
      </c>
    </row>
    <row r="69" spans="1:10" x14ac:dyDescent="0.35">
      <c r="I69" t="s">
        <v>1555</v>
      </c>
      <c r="J69" t="s">
        <v>2286</v>
      </c>
    </row>
    <row r="70" spans="1:10" x14ac:dyDescent="0.35">
      <c r="I70" t="s">
        <v>104</v>
      </c>
      <c r="J70" t="s">
        <v>2287</v>
      </c>
    </row>
    <row r="71" spans="1:10" x14ac:dyDescent="0.35">
      <c r="I71" s="38" t="s">
        <v>18</v>
      </c>
      <c r="J71" s="36" t="s">
        <v>2288</v>
      </c>
    </row>
    <row r="72" spans="1:10" x14ac:dyDescent="0.35">
      <c r="A72" s="33" t="s">
        <v>2311</v>
      </c>
      <c r="B72" t="s">
        <v>3</v>
      </c>
      <c r="C72" t="s">
        <v>43</v>
      </c>
      <c r="D72" t="s">
        <v>951</v>
      </c>
      <c r="E72" s="34" t="s">
        <v>44</v>
      </c>
      <c r="F72" t="s">
        <v>1896</v>
      </c>
      <c r="G72" t="s">
        <v>2278</v>
      </c>
      <c r="H72" t="s">
        <v>91</v>
      </c>
      <c r="I72" s="1" t="s">
        <v>1892</v>
      </c>
      <c r="J72" s="3" t="s">
        <v>2279</v>
      </c>
    </row>
    <row r="73" spans="1:10" x14ac:dyDescent="0.35">
      <c r="E73" s="17"/>
      <c r="I73" t="s">
        <v>1892</v>
      </c>
      <c r="J73" t="s">
        <v>2280</v>
      </c>
    </row>
    <row r="74" spans="1:10" x14ac:dyDescent="0.35">
      <c r="I74" t="s">
        <v>1892</v>
      </c>
      <c r="J74" t="s">
        <v>2282</v>
      </c>
    </row>
    <row r="75" spans="1:10" x14ac:dyDescent="0.35">
      <c r="I75" t="s">
        <v>1894</v>
      </c>
      <c r="J75" t="s">
        <v>2283</v>
      </c>
    </row>
    <row r="76" spans="1:10" x14ac:dyDescent="0.35">
      <c r="I76" t="s">
        <v>1676</v>
      </c>
      <c r="J76" t="s">
        <v>2284</v>
      </c>
    </row>
    <row r="77" spans="1:10" x14ac:dyDescent="0.35">
      <c r="I77" t="s">
        <v>1554</v>
      </c>
      <c r="J77" t="s">
        <v>2285</v>
      </c>
    </row>
    <row r="78" spans="1:10" x14ac:dyDescent="0.35">
      <c r="I78" t="s">
        <v>1555</v>
      </c>
      <c r="J78" t="s">
        <v>2286</v>
      </c>
    </row>
    <row r="79" spans="1:10" x14ac:dyDescent="0.35">
      <c r="I79" t="s">
        <v>104</v>
      </c>
      <c r="J79" s="36" t="s">
        <v>2312</v>
      </c>
    </row>
    <row r="80" spans="1:10" x14ac:dyDescent="0.35">
      <c r="I80" s="38" t="s">
        <v>18</v>
      </c>
    </row>
  </sheetData>
  <autoFilter ref="E1:E80" xr:uid="{E69BD9CE-AEF3-407F-9F59-906DD4B445B0}"/>
  <hyperlinks>
    <hyperlink ref="A1" location="Summary!B11" tooltip="Return to Totals" display="Back to Totals" xr:uid="{B2477B6F-CCF9-4E58-9151-D543397248E6}"/>
    <hyperlink ref="I43" r:id="rId1" xr:uid="{6217CFB6-4C92-470F-A173-BFAB585B5AE6}"/>
    <hyperlink ref="I50" r:id="rId2" xr:uid="{986BB9E5-2A44-4242-8510-0B66E0D89D30}"/>
    <hyperlink ref="I56" r:id="rId3" xr:uid="{1656CE78-F2FD-4B00-BFD1-208A05B3CEA8}"/>
    <hyperlink ref="F37" r:id="rId4" xr:uid="{E0564D0E-BDA6-406A-A79B-DF225BF87FB0}"/>
    <hyperlink ref="F44" r:id="rId5" xr:uid="{2DD915BB-88E2-4C69-81C6-3BA9E5973B81}"/>
    <hyperlink ref="F51" r:id="rId6" xr:uid="{BEB3722A-DB68-4125-9689-FA6372AB40F7}"/>
    <hyperlink ref="G37" r:id="rId7" xr:uid="{F5AD3A3C-4763-4359-A1F1-A8B3A6E1F26E}"/>
    <hyperlink ref="G44" r:id="rId8" xr:uid="{5DA37DA4-7A7D-4F8D-828F-D6AB99FD2990}"/>
    <hyperlink ref="G51" r:id="rId9" xr:uid="{249D8497-0B47-40B2-B8C6-3C4C581EC268}"/>
    <hyperlink ref="F63" r:id="rId10" xr:uid="{608F89ED-59E7-4063-BD10-2EAA87C2C514}"/>
    <hyperlink ref="G63" r:id="rId11" xr:uid="{9978C0CE-8DA3-42F4-A655-0AD19481D61F}"/>
    <hyperlink ref="J41" r:id="rId12" xr:uid="{AB72F220-2339-4D6A-B5E1-512C3B85EFC2}"/>
    <hyperlink ref="J48" r:id="rId13" xr:uid="{4F005A18-DF66-407C-94C7-45F40103C031}"/>
    <hyperlink ref="J56" r:id="rId14" display="Lily ?" xr:uid="{35EFF9B5-E719-43AA-8DA6-92AEE48B6166}"/>
    <hyperlink ref="J71" r:id="rId15" xr:uid="{B73C9C24-8013-4988-A527-BD5F11183BC9}"/>
    <hyperlink ref="A63" r:id="rId16" xr:uid="{46EA35AA-3962-410E-84F6-386A55808C7D}"/>
    <hyperlink ref="J79" r:id="rId17" xr:uid="{C36432BB-1E90-4474-937A-F8537112794F}"/>
    <hyperlink ref="I71" r:id="rId18" xr:uid="{2D3A9A6C-648C-4A33-A938-426336544F81}"/>
    <hyperlink ref="I80" r:id="rId19" xr:uid="{BD9C0701-6ACB-40E6-825C-4508C8DFDBEE}"/>
    <hyperlink ref="A72" r:id="rId20" xr:uid="{A943967A-0410-41BC-8206-3FCBCD0DFF9A}"/>
    <hyperlink ref="A44" r:id="rId21" xr:uid="{E015DD07-BC8A-443D-A494-CFDCC193B79B}"/>
    <hyperlink ref="A51" r:id="rId22" xr:uid="{198C7A6C-25CD-47CF-B492-AF6BDDC2EE47}"/>
    <hyperlink ref="A37" r:id="rId23" xr:uid="{47366383-B2D1-4A86-A3F3-03A70A1B917B}"/>
    <hyperlink ref="E72" r:id="rId24" xr:uid="{0C4D616D-9221-434C-A5F5-E8FE43C714A2}"/>
    <hyperlink ref="E63" r:id="rId25" xr:uid="{F7460BCD-91A9-4811-9185-7E799E7FDAF1}"/>
    <hyperlink ref="E51" r:id="rId26" xr:uid="{B9D0173C-F4E6-4E99-988A-882D0B362466}"/>
    <hyperlink ref="E44" r:id="rId27" xr:uid="{B136B052-8F52-4A5C-8329-E56249168133}"/>
    <hyperlink ref="E37" r:id="rId28" xr:uid="{44367C5A-17F5-457D-B9C2-BB18F2279582}"/>
    <hyperlink ref="I15" r:id="rId29" xr:uid="{AD2A46AE-E252-47CF-89FD-0197B17A6052}"/>
    <hyperlink ref="F10" r:id="rId30" xr:uid="{A4D06E89-A3CA-4EBB-A5ED-34E385E99F2D}"/>
    <hyperlink ref="G10" r:id="rId31" xr:uid="{000ECB7A-E0EC-49ED-8828-71DC88B3B4C6}"/>
    <hyperlink ref="J15" r:id="rId32" xr:uid="{E76FF472-75E5-41DF-A948-FCB5F799AAE4}"/>
    <hyperlink ref="A10" r:id="rId33" xr:uid="{F009D49A-57A3-47CB-A0D1-B4BE32847DA9}"/>
    <hyperlink ref="E10" r:id="rId34" xr:uid="{C1A66EBE-1E4A-4F75-BFC9-53CE32244653}"/>
    <hyperlink ref="I29" r:id="rId35" xr:uid="{410FDF86-A54B-4068-AD15-92DD41E571C7}"/>
    <hyperlink ref="A23" r:id="rId36" xr:uid="{2F560A33-ED5D-4AD1-A33C-FE391A9C6367}"/>
    <hyperlink ref="G23" r:id="rId37" xr:uid="{D8077F0A-D0DF-4667-BC98-E063B692C2C5}"/>
    <hyperlink ref="F23" r:id="rId38" xr:uid="{496A8CAC-CC05-452F-98EA-E05132D58199}"/>
    <hyperlink ref="J29" r:id="rId39" xr:uid="{68545F81-63CA-428E-A14F-7949014F09C1}"/>
    <hyperlink ref="I22" r:id="rId40" xr:uid="{285C8336-80F3-4AE2-8E1B-74C39D5606AB}"/>
    <hyperlink ref="A16" r:id="rId41" display="Donald Kiefiuk" xr:uid="{F3250972-C953-494B-851C-34C3E516001C}"/>
    <hyperlink ref="E16" r:id="rId42" xr:uid="{B89EB1F9-3495-4B53-8A03-067FE1FEDD86}"/>
    <hyperlink ref="G16" r:id="rId43" xr:uid="{EA668679-48D8-4C76-AA5A-9BE0E1B37E29}"/>
    <hyperlink ref="F16" r:id="rId44" xr:uid="{D7C723EF-BB30-4BE1-8984-E0A94932CD31}"/>
    <hyperlink ref="J22" r:id="rId45" xr:uid="{21DAB163-B13D-41B4-8D11-BC371603274B}"/>
    <hyperlink ref="I36" r:id="rId46" xr:uid="{C32A94BB-27E1-4FBF-B742-26F17F17AEA9}"/>
    <hyperlink ref="A30" r:id="rId47" xr:uid="{5BC60E3F-0003-4B3F-8A80-DCB1DEBC6083}"/>
    <hyperlink ref="E30" r:id="rId48" xr:uid="{A68F0CBA-E84F-4923-81BD-F28FB8FB28DF}"/>
    <hyperlink ref="G30" r:id="rId49" xr:uid="{644CF84B-F1D4-4454-8853-D600590D4332}"/>
    <hyperlink ref="F30" r:id="rId50" xr:uid="{4FA59B7E-FB21-4962-9FEF-51F5886A8292}"/>
    <hyperlink ref="J35" r:id="rId51" xr:uid="{AF67E1AD-8BF7-4C86-995D-CA8308274B9E}"/>
    <hyperlink ref="I62" r:id="rId52" xr:uid="{DCDEE0DB-2E6B-47C6-92B6-25C1E997B630}"/>
    <hyperlink ref="F57" r:id="rId53" xr:uid="{6C640D1F-8C3B-4A8E-B71D-4D928E7C54A7}"/>
    <hyperlink ref="G57" r:id="rId54" xr:uid="{539B8A24-CB29-4BFC-90D5-A84DB095C2D4}"/>
    <hyperlink ref="A57" r:id="rId55" xr:uid="{A85A71D9-D2DC-4586-BF0D-0CD1FBB3DBAC}"/>
    <hyperlink ref="E57" r:id="rId56" xr:uid="{00349E1E-84F7-4477-A2D4-4FA542F6F33D}"/>
    <hyperlink ref="J61" r:id="rId57" xr:uid="{A7EAD79D-3559-438B-933B-DF3B4EC6248D}"/>
    <hyperlink ref="E23" r:id="rId58" xr:uid="{FF4743C4-85E8-4D48-8853-E3D4A7E2797D}"/>
    <hyperlink ref="I8" r:id="rId59" xr:uid="{A71E5904-CBE4-403F-94F0-51E395666972}"/>
    <hyperlink ref="F3" r:id="rId60" xr:uid="{40A63170-3B5B-4AD1-B4A7-20CC1DC9D87E}"/>
    <hyperlink ref="G3" r:id="rId61" xr:uid="{AEE14A7D-D05A-4431-A4BD-23D4CC2E266E}"/>
    <hyperlink ref="A3" r:id="rId62" xr:uid="{960F5F39-ED0B-43FE-A77E-7039BC8A251A}"/>
    <hyperlink ref="E3" r:id="rId63" xr:uid="{3A4CBF96-2B03-4E02-BCAB-FE523D868642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4829A-7FA3-476E-B71A-4C3708135368}">
  <sheetPr>
    <tabColor rgb="FFFF0000"/>
  </sheetPr>
  <dimension ref="A1:J9"/>
  <sheetViews>
    <sheetView workbookViewId="0"/>
  </sheetViews>
  <sheetFormatPr defaultRowHeight="14.5" x14ac:dyDescent="0.35"/>
  <cols>
    <col min="1" max="1" width="14.1796875" customWidth="1"/>
    <col min="3" max="3" width="20.08984375" customWidth="1"/>
    <col min="4" max="4" width="19.6328125" customWidth="1"/>
    <col min="5" max="5" width="11.54296875" customWidth="1"/>
    <col min="6" max="6" width="22.6328125" customWidth="1"/>
    <col min="7" max="7" width="24.1796875" customWidth="1"/>
    <col min="8" max="8" width="23.1796875" customWidth="1"/>
    <col min="9" max="9" width="23.90625" customWidth="1"/>
    <col min="10" max="10" width="19" customWidth="1"/>
  </cols>
  <sheetData>
    <row r="1" spans="1:10" x14ac:dyDescent="0.35">
      <c r="A1" s="34" t="s">
        <v>3196</v>
      </c>
      <c r="B1" s="16">
        <f>COUNTIF(I2:I1083,C1)+COUNTIF(I2:I1083,D1)</f>
        <v>1</v>
      </c>
      <c r="C1" s="9" t="s">
        <v>18</v>
      </c>
      <c r="D1" s="17" t="s">
        <v>1249</v>
      </c>
      <c r="E1" s="8"/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48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3447</v>
      </c>
      <c r="B3" t="s">
        <v>3</v>
      </c>
      <c r="C3" t="s">
        <v>25</v>
      </c>
      <c r="D3" t="s">
        <v>55</v>
      </c>
      <c r="E3" s="34" t="s">
        <v>44</v>
      </c>
      <c r="F3" s="33" t="s">
        <v>3438</v>
      </c>
      <c r="G3" s="33" t="s">
        <v>3439</v>
      </c>
      <c r="H3" t="s">
        <v>54</v>
      </c>
      <c r="I3" s="1" t="s">
        <v>485</v>
      </c>
      <c r="J3" s="3" t="s">
        <v>3440</v>
      </c>
    </row>
    <row r="4" spans="1:10" x14ac:dyDescent="0.35">
      <c r="E4" s="51"/>
      <c r="I4" t="s">
        <v>122</v>
      </c>
      <c r="J4" t="s">
        <v>3441</v>
      </c>
    </row>
    <row r="5" spans="1:10" x14ac:dyDescent="0.35">
      <c r="E5" s="8"/>
      <c r="I5" t="s">
        <v>112</v>
      </c>
      <c r="J5" t="s">
        <v>3442</v>
      </c>
    </row>
    <row r="6" spans="1:10" x14ac:dyDescent="0.35">
      <c r="E6" s="8"/>
      <c r="I6" t="s">
        <v>116</v>
      </c>
      <c r="J6" t="s">
        <v>3443</v>
      </c>
    </row>
    <row r="7" spans="1:10" x14ac:dyDescent="0.35">
      <c r="E7" s="8"/>
      <c r="I7" t="s">
        <v>117</v>
      </c>
      <c r="J7" t="s">
        <v>3444</v>
      </c>
    </row>
    <row r="8" spans="1:10" x14ac:dyDescent="0.35">
      <c r="E8" s="8"/>
      <c r="I8" t="s">
        <v>17</v>
      </c>
      <c r="J8" t="s">
        <v>3445</v>
      </c>
    </row>
    <row r="9" spans="1:10" x14ac:dyDescent="0.35">
      <c r="E9" s="8"/>
      <c r="I9" s="38" t="s">
        <v>18</v>
      </c>
      <c r="J9" s="36" t="s">
        <v>3446</v>
      </c>
    </row>
  </sheetData>
  <hyperlinks>
    <hyperlink ref="I9" r:id="rId1" xr:uid="{5F7F9112-D4F6-4E8A-8DC1-659C223EC8F5}"/>
    <hyperlink ref="A1" location="Summary!B3" tooltip="Return to Totals" display="Back to Totals" xr:uid="{D803E84B-477D-4F13-B345-D1F636547C8D}"/>
    <hyperlink ref="F3" r:id="rId2" xr:uid="{2CA2F4F4-D2CB-44F2-BAAA-57EDC1979DBA}"/>
    <hyperlink ref="G3" r:id="rId3" xr:uid="{DAB0B66E-4D19-4847-BEB6-7870F1562144}"/>
    <hyperlink ref="J9" r:id="rId4" xr:uid="{91F1C9F2-A9A6-4A4B-8CDB-A2CE1189DDD9}"/>
    <hyperlink ref="A3" r:id="rId5" xr:uid="{A604B10F-D7D1-486F-91A9-5356E975E035}"/>
    <hyperlink ref="E3" r:id="rId6" xr:uid="{653514AF-2CC0-458C-B10B-25725B555267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7554B-6027-44A4-A8C8-89860FC516A0}">
  <sheetPr codeName="Sheet12">
    <tabColor theme="3" tint="-0.249977111117893"/>
  </sheetPr>
  <dimension ref="A1:J9"/>
  <sheetViews>
    <sheetView workbookViewId="0">
      <selection activeCell="A3" sqref="A3"/>
    </sheetView>
  </sheetViews>
  <sheetFormatPr defaultRowHeight="14.5" x14ac:dyDescent="0.35"/>
  <cols>
    <col min="1" max="1" width="16.54296875" customWidth="1"/>
    <col min="2" max="2" width="21.90625" customWidth="1"/>
    <col min="3" max="3" width="21.54296875" customWidth="1"/>
    <col min="4" max="4" width="21.36328125" customWidth="1"/>
    <col min="5" max="5" width="18.453125" customWidth="1"/>
    <col min="6" max="6" width="21.81640625" customWidth="1"/>
    <col min="7" max="7" width="23.81640625" customWidth="1"/>
    <col min="8" max="8" width="25.453125" customWidth="1"/>
    <col min="9" max="9" width="27" customWidth="1"/>
    <col min="10" max="10" width="17.7265625" customWidth="1"/>
  </cols>
  <sheetData>
    <row r="1" spans="1:10" x14ac:dyDescent="0.35">
      <c r="A1" s="34" t="s">
        <v>3196</v>
      </c>
      <c r="B1" s="16">
        <f>COUNTIF(I2:I1067,C1)+COUNTIF(I2:I1067,D1)</f>
        <v>1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2122</v>
      </c>
      <c r="B3" t="s">
        <v>3</v>
      </c>
      <c r="C3" t="s">
        <v>43</v>
      </c>
      <c r="D3" t="s">
        <v>55</v>
      </c>
      <c r="E3" s="34" t="s">
        <v>65</v>
      </c>
      <c r="F3" s="33" t="s">
        <v>2123</v>
      </c>
      <c r="H3" t="s">
        <v>54</v>
      </c>
      <c r="I3" s="1" t="s">
        <v>355</v>
      </c>
      <c r="J3" s="3" t="s">
        <v>2124</v>
      </c>
    </row>
    <row r="4" spans="1:10" x14ac:dyDescent="0.35">
      <c r="E4" s="17"/>
      <c r="I4" t="s">
        <v>356</v>
      </c>
      <c r="J4" t="s">
        <v>2126</v>
      </c>
    </row>
    <row r="5" spans="1:10" x14ac:dyDescent="0.35">
      <c r="I5" t="s">
        <v>357</v>
      </c>
      <c r="J5" t="s">
        <v>2127</v>
      </c>
    </row>
    <row r="6" spans="1:10" x14ac:dyDescent="0.35">
      <c r="I6" t="s">
        <v>346</v>
      </c>
      <c r="J6" t="s">
        <v>2128</v>
      </c>
    </row>
    <row r="7" spans="1:10" x14ac:dyDescent="0.35">
      <c r="I7" t="s">
        <v>2125</v>
      </c>
      <c r="J7" t="s">
        <v>2129</v>
      </c>
    </row>
    <row r="8" spans="1:10" x14ac:dyDescent="0.35">
      <c r="I8" t="s">
        <v>104</v>
      </c>
      <c r="J8" t="s">
        <v>2130</v>
      </c>
    </row>
    <row r="9" spans="1:10" x14ac:dyDescent="0.35">
      <c r="I9" s="38" t="s">
        <v>18</v>
      </c>
      <c r="J9" s="36" t="s">
        <v>2131</v>
      </c>
    </row>
  </sheetData>
  <hyperlinks>
    <hyperlink ref="A1" location="Summary!A1" tooltip="Return to Totals" display="Back to Totals" xr:uid="{C21701E0-E736-4991-9368-04D5B4FFF7A6}"/>
    <hyperlink ref="I9" r:id="rId1" xr:uid="{1105D958-15AF-4287-989B-1EE9AB958FDF}"/>
    <hyperlink ref="J9" r:id="rId2" xr:uid="{C2AF82A2-E175-4F8D-891E-714791AE409F}"/>
    <hyperlink ref="F3" r:id="rId3" xr:uid="{C57B969D-F6FA-4B58-9ECB-AA3FFFBD29E6}"/>
    <hyperlink ref="A3" r:id="rId4" xr:uid="{98C54FF8-6F7B-45D4-8B69-8C43C75F606A}"/>
    <hyperlink ref="E3" r:id="rId5" xr:uid="{30232982-14CB-4527-97BA-7B141513E3F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30E8F-469F-46B0-A278-1B4E02BE2CC8}">
  <sheetPr>
    <tabColor theme="4"/>
  </sheetPr>
  <dimension ref="A1:J11"/>
  <sheetViews>
    <sheetView topLeftCell="C1" workbookViewId="0">
      <selection activeCell="A3" sqref="A3"/>
    </sheetView>
  </sheetViews>
  <sheetFormatPr defaultRowHeight="14.5" x14ac:dyDescent="0.35"/>
  <cols>
    <col min="1" max="1" width="16.36328125" customWidth="1"/>
    <col min="2" max="2" width="11.54296875" customWidth="1"/>
    <col min="3" max="3" width="22.08984375" customWidth="1"/>
    <col min="4" max="4" width="19.90625" customWidth="1"/>
    <col min="5" max="5" width="11" customWidth="1"/>
    <col min="6" max="6" width="22.6328125" customWidth="1"/>
    <col min="7" max="7" width="23.54296875" customWidth="1"/>
    <col min="8" max="8" width="23.6328125" customWidth="1"/>
    <col min="9" max="9" width="20.81640625" customWidth="1"/>
    <col min="10" max="10" width="21.36328125" customWidth="1"/>
  </cols>
  <sheetData>
    <row r="1" spans="1:10" x14ac:dyDescent="0.35">
      <c r="A1" s="34" t="s">
        <v>3196</v>
      </c>
      <c r="B1" s="16">
        <f>COUNTIF(I2:I1067,C1)+COUNTIF(I2:I1067,D1)</f>
        <v>1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2939</v>
      </c>
      <c r="B3" t="s">
        <v>3</v>
      </c>
      <c r="C3" t="s">
        <v>43</v>
      </c>
      <c r="D3" t="s">
        <v>951</v>
      </c>
      <c r="E3" s="34" t="s">
        <v>65</v>
      </c>
      <c r="F3" s="33" t="s">
        <v>2929</v>
      </c>
      <c r="G3" s="33" t="s">
        <v>2930</v>
      </c>
      <c r="H3" t="s">
        <v>1716</v>
      </c>
      <c r="I3" s="1" t="s">
        <v>2890</v>
      </c>
      <c r="J3" s="3" t="s">
        <v>2931</v>
      </c>
    </row>
    <row r="4" spans="1:10" x14ac:dyDescent="0.35">
      <c r="E4" s="17"/>
      <c r="G4" s="33"/>
      <c r="I4" t="s">
        <v>2891</v>
      </c>
      <c r="J4" t="s">
        <v>2932</v>
      </c>
    </row>
    <row r="5" spans="1:10" x14ac:dyDescent="0.35">
      <c r="I5" t="s">
        <v>382</v>
      </c>
      <c r="J5" t="s">
        <v>2933</v>
      </c>
    </row>
    <row r="6" spans="1:10" x14ac:dyDescent="0.35">
      <c r="I6" t="s">
        <v>383</v>
      </c>
      <c r="J6" t="s">
        <v>2934</v>
      </c>
    </row>
    <row r="7" spans="1:10" x14ac:dyDescent="0.35">
      <c r="I7" t="s">
        <v>345</v>
      </c>
      <c r="J7" t="s">
        <v>2935</v>
      </c>
    </row>
    <row r="8" spans="1:10" x14ac:dyDescent="0.35">
      <c r="I8" t="s">
        <v>346</v>
      </c>
      <c r="J8" t="s">
        <v>2936</v>
      </c>
    </row>
    <row r="9" spans="1:10" x14ac:dyDescent="0.35">
      <c r="I9" t="s">
        <v>1555</v>
      </c>
      <c r="J9" t="s">
        <v>2937</v>
      </c>
    </row>
    <row r="10" spans="1:10" x14ac:dyDescent="0.35">
      <c r="I10" t="s">
        <v>104</v>
      </c>
      <c r="J10" s="36" t="s">
        <v>2938</v>
      </c>
    </row>
    <row r="11" spans="1:10" x14ac:dyDescent="0.35">
      <c r="I11" s="38" t="s">
        <v>18</v>
      </c>
    </row>
  </sheetData>
  <hyperlinks>
    <hyperlink ref="A1" location="Summary!A1" tooltip="Return to Totals" display="Back to Totals" xr:uid="{6DA77156-EBED-4848-98F4-7D9502BCF2D2}"/>
    <hyperlink ref="A3" r:id="rId1" display="Tim Olsen" xr:uid="{25AEDA05-336C-4FE6-B5FC-3958C99EDB87}"/>
    <hyperlink ref="F3" r:id="rId2" display="Francis Mayes" xr:uid="{15F0F228-897D-4F2A-B865-AAD3F6143A12}"/>
    <hyperlink ref="G3" r:id="rId3" display="Mary Dibal" xr:uid="{3824BF27-E1A5-48B8-95F4-1A34C80BE473}"/>
    <hyperlink ref="J10" r:id="rId4" xr:uid="{6F65FDF1-6CC6-4F44-A839-A3583872FFF5}"/>
    <hyperlink ref="E3" r:id="rId5" xr:uid="{6C46ECB4-AF18-4576-90D3-28F8AB7CE8A7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F6FB-8FE4-422B-9A91-958518B4C93E}">
  <sheetPr codeName="Sheet13">
    <tabColor rgb="FFFFFF00"/>
  </sheetPr>
  <dimension ref="A1:K41"/>
  <sheetViews>
    <sheetView tabSelected="1" topLeftCell="A7" workbookViewId="0"/>
  </sheetViews>
  <sheetFormatPr defaultRowHeight="14.5" x14ac:dyDescent="0.35"/>
  <cols>
    <col min="1" max="1" width="18.6328125" customWidth="1"/>
    <col min="2" max="2" width="13.7265625" customWidth="1"/>
    <col min="3" max="3" width="20.1796875" customWidth="1"/>
    <col min="4" max="4" width="19.7265625" customWidth="1"/>
    <col min="5" max="5" width="12.36328125" customWidth="1"/>
    <col min="6" max="6" width="25.26953125" customWidth="1"/>
    <col min="7" max="7" width="22.7265625" customWidth="1"/>
    <col min="8" max="8" width="23.08984375" customWidth="1"/>
    <col min="9" max="9" width="24.90625" customWidth="1"/>
    <col min="10" max="10" width="23.08984375" customWidth="1"/>
    <col min="11" max="11" width="28" customWidth="1"/>
  </cols>
  <sheetData>
    <row r="1" spans="1:11" x14ac:dyDescent="0.35">
      <c r="A1" s="34" t="s">
        <v>3196</v>
      </c>
      <c r="B1" s="16">
        <f>COUNTIF(I2:I1087,C1)+COUNTIF(I2:I1087,D1)</f>
        <v>4</v>
      </c>
      <c r="C1" s="9" t="s">
        <v>18</v>
      </c>
      <c r="D1" s="17" t="s">
        <v>1249</v>
      </c>
    </row>
    <row r="2" spans="1:11" s="11" customFormat="1" x14ac:dyDescent="0.35">
      <c r="A2" s="11" t="s">
        <v>0</v>
      </c>
      <c r="B2" s="11" t="s">
        <v>2</v>
      </c>
      <c r="C2" s="11" t="s">
        <v>4</v>
      </c>
      <c r="D2" s="11" t="s">
        <v>5</v>
      </c>
      <c r="E2" s="11" t="s">
        <v>7</v>
      </c>
      <c r="F2" s="11" t="s">
        <v>10</v>
      </c>
      <c r="G2" s="11" t="s">
        <v>11</v>
      </c>
      <c r="H2" s="11" t="s">
        <v>23</v>
      </c>
      <c r="I2" s="11" t="s">
        <v>15</v>
      </c>
      <c r="J2" s="11" t="s">
        <v>1654</v>
      </c>
    </row>
    <row r="3" spans="1:11" x14ac:dyDescent="0.35">
      <c r="A3" s="98" t="s">
        <v>4428</v>
      </c>
      <c r="B3" t="s">
        <v>3</v>
      </c>
      <c r="C3" t="s">
        <v>41</v>
      </c>
      <c r="D3" t="s">
        <v>879</v>
      </c>
      <c r="E3" s="34" t="s">
        <v>327</v>
      </c>
      <c r="F3" s="98" t="s">
        <v>1662</v>
      </c>
      <c r="G3" s="98" t="s">
        <v>684</v>
      </c>
      <c r="H3" t="s">
        <v>130</v>
      </c>
      <c r="I3" s="1" t="s">
        <v>530</v>
      </c>
      <c r="J3" s="3" t="s">
        <v>4423</v>
      </c>
    </row>
    <row r="4" spans="1:11" x14ac:dyDescent="0.35">
      <c r="E4" s="40" t="s">
        <v>327</v>
      </c>
      <c r="I4" t="s">
        <v>532</v>
      </c>
      <c r="J4" t="s">
        <v>4424</v>
      </c>
    </row>
    <row r="5" spans="1:11" x14ac:dyDescent="0.35">
      <c r="I5" t="s">
        <v>98</v>
      </c>
      <c r="J5" t="s">
        <v>4425</v>
      </c>
    </row>
    <row r="6" spans="1:11" x14ac:dyDescent="0.35">
      <c r="I6" t="s">
        <v>100</v>
      </c>
      <c r="J6" t="s">
        <v>4426</v>
      </c>
    </row>
    <row r="7" spans="1:11" x14ac:dyDescent="0.35">
      <c r="I7" t="s">
        <v>104</v>
      </c>
      <c r="J7" s="43" t="s">
        <v>4427</v>
      </c>
    </row>
    <row r="8" spans="1:11" s="111" customFormat="1" x14ac:dyDescent="0.35">
      <c r="I8" s="38" t="s">
        <v>18</v>
      </c>
    </row>
    <row r="9" spans="1:11" x14ac:dyDescent="0.35">
      <c r="A9" s="33" t="s">
        <v>4245</v>
      </c>
      <c r="B9" t="s">
        <v>3</v>
      </c>
      <c r="C9" t="s">
        <v>43</v>
      </c>
      <c r="D9" t="s">
        <v>55</v>
      </c>
      <c r="E9" s="40" t="s">
        <v>909</v>
      </c>
      <c r="F9" s="33" t="s">
        <v>2611</v>
      </c>
      <c r="G9" s="33" t="s">
        <v>1653</v>
      </c>
      <c r="H9" t="s">
        <v>54</v>
      </c>
      <c r="I9" s="1" t="s">
        <v>1662</v>
      </c>
      <c r="J9" s="3" t="s">
        <v>4246</v>
      </c>
      <c r="K9" t="e" cm="1" vm="2">
        <f t="array" aca="1" ref="K9" ca="1">_xlfn._xlws.SORT(_xlfn.UNIQUE(J:J))</f>
        <v>#VALUE!</v>
      </c>
    </row>
    <row r="10" spans="1:11" x14ac:dyDescent="0.35">
      <c r="E10" s="15"/>
      <c r="I10" t="s">
        <v>530</v>
      </c>
      <c r="J10" t="s">
        <v>4247</v>
      </c>
    </row>
    <row r="11" spans="1:11" x14ac:dyDescent="0.35">
      <c r="I11" t="s">
        <v>532</v>
      </c>
      <c r="J11" t="s">
        <v>4248</v>
      </c>
    </row>
    <row r="12" spans="1:11" x14ac:dyDescent="0.35">
      <c r="I12" t="s">
        <v>98</v>
      </c>
      <c r="J12" t="s">
        <v>4249</v>
      </c>
    </row>
    <row r="13" spans="1:11" x14ac:dyDescent="0.35">
      <c r="I13" t="s">
        <v>100</v>
      </c>
      <c r="J13" t="s">
        <v>4250</v>
      </c>
    </row>
    <row r="14" spans="1:11" x14ac:dyDescent="0.35">
      <c r="I14" t="s">
        <v>104</v>
      </c>
      <c r="J14" t="s">
        <v>4251</v>
      </c>
    </row>
    <row r="15" spans="1:11" x14ac:dyDescent="0.35">
      <c r="I15" s="38" t="s">
        <v>1249</v>
      </c>
      <c r="J15" s="36" t="s">
        <v>4245</v>
      </c>
    </row>
    <row r="16" spans="1:11" x14ac:dyDescent="0.35">
      <c r="A16" s="33" t="s">
        <v>4439</v>
      </c>
      <c r="B16" t="s">
        <v>3</v>
      </c>
      <c r="C16" t="s">
        <v>43</v>
      </c>
      <c r="D16" t="s">
        <v>282</v>
      </c>
      <c r="E16" s="40" t="s">
        <v>608</v>
      </c>
      <c r="F16" s="33" t="s">
        <v>2611</v>
      </c>
      <c r="G16" s="33" t="s">
        <v>4440</v>
      </c>
      <c r="H16" t="s">
        <v>54</v>
      </c>
      <c r="I16" s="1" t="s">
        <v>1662</v>
      </c>
      <c r="J16" s="3" t="s">
        <v>4441</v>
      </c>
      <c r="K16" t="str" cm="1">
        <f t="array" ref="K16:K41">_xlfn._xlws.SORT(_xlfn.UNIQUE(J:J))</f>
        <v>Alice Maud Lord</v>
      </c>
    </row>
    <row r="17" spans="1:11" x14ac:dyDescent="0.35">
      <c r="E17" s="15"/>
      <c r="I17" t="s">
        <v>530</v>
      </c>
      <c r="J17" t="s">
        <v>4442</v>
      </c>
      <c r="K17" t="str">
        <v>Bette Jane Cavill</v>
      </c>
    </row>
    <row r="18" spans="1:11" x14ac:dyDescent="0.35">
      <c r="I18" t="s">
        <v>532</v>
      </c>
      <c r="J18" t="s">
        <v>4443</v>
      </c>
      <c r="K18" t="str">
        <v>Brenda S Bourchier</v>
      </c>
    </row>
    <row r="19" spans="1:11" x14ac:dyDescent="0.35">
      <c r="I19" t="s">
        <v>98</v>
      </c>
      <c r="J19" t="s">
        <v>4444</v>
      </c>
      <c r="K19" t="str">
        <v>Charles M Sturgeon</v>
      </c>
    </row>
    <row r="20" spans="1:11" x14ac:dyDescent="0.35">
      <c r="I20" t="s">
        <v>100</v>
      </c>
      <c r="J20" s="36" t="s">
        <v>4445</v>
      </c>
      <c r="K20" t="str">
        <v>Charles Sturgeon</v>
      </c>
    </row>
    <row r="21" spans="1:11" x14ac:dyDescent="0.35">
      <c r="I21" t="s">
        <v>104</v>
      </c>
      <c r="K21" t="str">
        <v>Edith May Cole</v>
      </c>
    </row>
    <row r="22" spans="1:11" x14ac:dyDescent="0.35">
      <c r="I22" s="38" t="s">
        <v>1249</v>
      </c>
      <c r="K22" t="str">
        <v>Elizabeth Mary Scott</v>
      </c>
    </row>
    <row r="23" spans="1:11" x14ac:dyDescent="0.35">
      <c r="A23" s="33" t="s">
        <v>1652</v>
      </c>
      <c r="B23" t="s">
        <v>3</v>
      </c>
      <c r="C23" t="s">
        <v>43</v>
      </c>
      <c r="D23" t="s">
        <v>55</v>
      </c>
      <c r="E23" s="40" t="s">
        <v>65</v>
      </c>
      <c r="F23" s="33" t="s">
        <v>2611</v>
      </c>
      <c r="G23" s="33" t="s">
        <v>1653</v>
      </c>
      <c r="H23" t="s">
        <v>54</v>
      </c>
      <c r="I23" s="1" t="s">
        <v>1662</v>
      </c>
      <c r="J23" s="3" t="s">
        <v>1655</v>
      </c>
      <c r="K23" t="str">
        <v>Elizabeth Mayhew</v>
      </c>
    </row>
    <row r="24" spans="1:11" x14ac:dyDescent="0.35">
      <c r="E24" s="15"/>
      <c r="I24" t="s">
        <v>530</v>
      </c>
      <c r="J24" t="s">
        <v>1656</v>
      </c>
      <c r="K24" t="str">
        <v>Elizabeth Olive Cook</v>
      </c>
    </row>
    <row r="25" spans="1:11" x14ac:dyDescent="0.35">
      <c r="I25" t="s">
        <v>532</v>
      </c>
      <c r="J25" t="s">
        <v>1657</v>
      </c>
      <c r="K25" t="str">
        <v>Ileana Edith Rowland</v>
      </c>
    </row>
    <row r="26" spans="1:11" x14ac:dyDescent="0.35">
      <c r="I26" t="s">
        <v>98</v>
      </c>
      <c r="J26" t="s">
        <v>1658</v>
      </c>
      <c r="K26" t="str">
        <v>Jeffrey Leigh Miller</v>
      </c>
    </row>
    <row r="27" spans="1:11" x14ac:dyDescent="0.35">
      <c r="I27" t="s">
        <v>100</v>
      </c>
      <c r="J27" t="s">
        <v>1659</v>
      </c>
      <c r="K27" t="str">
        <v>Jennifer Roberts</v>
      </c>
    </row>
    <row r="28" spans="1:11" x14ac:dyDescent="0.35">
      <c r="I28" t="s">
        <v>104</v>
      </c>
      <c r="J28" t="s">
        <v>1660</v>
      </c>
      <c r="K28" t="str">
        <v>Joan Lilian Disdale</v>
      </c>
    </row>
    <row r="29" spans="1:11" x14ac:dyDescent="0.35">
      <c r="I29" s="38" t="s">
        <v>1249</v>
      </c>
      <c r="J29" s="36" t="s">
        <v>1661</v>
      </c>
      <c r="K29" t="str">
        <v>John Charles Disdale</v>
      </c>
    </row>
    <row r="30" spans="1:11" x14ac:dyDescent="0.35">
      <c r="K30" t="str">
        <v>Mary Disdale</v>
      </c>
    </row>
    <row r="31" spans="1:11" x14ac:dyDescent="0.35">
      <c r="K31" t="str">
        <v>Mary E Sturgeon</v>
      </c>
    </row>
    <row r="32" spans="1:11" x14ac:dyDescent="0.35">
      <c r="K32" t="str">
        <v xml:space="preserve">Matched Ancestry </v>
      </c>
    </row>
    <row r="33" spans="11:11" x14ac:dyDescent="0.35">
      <c r="K33" t="str">
        <v>Michael Scott Phelan</v>
      </c>
    </row>
    <row r="34" spans="11:11" x14ac:dyDescent="0.35">
      <c r="K34" t="str">
        <v>Reginald Robert Disdale</v>
      </c>
    </row>
    <row r="35" spans="11:11" x14ac:dyDescent="0.35">
      <c r="K35" t="str">
        <v>Richard Maurice Cavill</v>
      </c>
    </row>
    <row r="36" spans="11:11" x14ac:dyDescent="0.35">
      <c r="K36" t="str">
        <v>Robert Warner Disdale</v>
      </c>
    </row>
    <row r="37" spans="11:11" x14ac:dyDescent="0.35">
      <c r="K37" t="str">
        <v>Sarah Angier</v>
      </c>
    </row>
    <row r="38" spans="11:11" x14ac:dyDescent="0.35">
      <c r="K38" t="str">
        <v>Sarah Disdale</v>
      </c>
    </row>
    <row r="39" spans="11:11" x14ac:dyDescent="0.35">
      <c r="K39" t="str">
        <v>Sarah Lawrence</v>
      </c>
    </row>
    <row r="40" spans="11:11" x14ac:dyDescent="0.35">
      <c r="K40" t="str">
        <v>William Cole</v>
      </c>
    </row>
    <row r="41" spans="11:11" x14ac:dyDescent="0.35">
      <c r="K41">
        <v>0</v>
      </c>
    </row>
  </sheetData>
  <hyperlinks>
    <hyperlink ref="A1" location="Summary!A1" tooltip="Return to Totals" display="Back to Totals" xr:uid="{660EA80E-92EA-47CD-A4AD-609F08C2B22C}"/>
    <hyperlink ref="I29" r:id="rId1" xr:uid="{AE1BE76E-67ED-4622-83D7-95B8F5A283C6}"/>
    <hyperlink ref="F23" r:id="rId2" xr:uid="{8D3732FC-B8B0-46D9-AB4F-62BBD7CA8EEE}"/>
    <hyperlink ref="G23" r:id="rId3" xr:uid="{4196CDA8-11A5-4295-B2C8-8B12846C214E}"/>
    <hyperlink ref="J29" r:id="rId4" xr:uid="{DBA84E84-B8D3-480E-86D3-C3D9F8FBB874}"/>
    <hyperlink ref="A23" r:id="rId5" xr:uid="{1CE30103-3A92-40E9-AB97-E23BB3DA4E9C}"/>
    <hyperlink ref="E23" r:id="rId6" xr:uid="{5F9F45B7-5589-4EA8-A445-F83FC4761037}"/>
    <hyperlink ref="I15" r:id="rId7" xr:uid="{D91330FD-57A5-43E7-85D3-77F9F38104B1}"/>
    <hyperlink ref="F9" r:id="rId8" xr:uid="{77D7EBA8-63A4-4D91-8686-5B34A285CB4E}"/>
    <hyperlink ref="G9" r:id="rId9" xr:uid="{216907B1-3617-48F4-8D1B-ADD97D9B36BF}"/>
    <hyperlink ref="J15" r:id="rId10" xr:uid="{08D6D69D-16F5-4F5D-AB11-D223B4DBC1BB}"/>
    <hyperlink ref="A9" r:id="rId11" display="Jennifer Parry" xr:uid="{F0990E19-121B-4393-BC41-A5CD3623EC21}"/>
    <hyperlink ref="E9" r:id="rId12" xr:uid="{E3E085A0-2586-439A-A5CB-595B10BEE05D}"/>
    <hyperlink ref="I8" r:id="rId13" xr:uid="{7EDA0064-D64F-4611-9ECD-6CF0D7A3C84B}"/>
    <hyperlink ref="J7" r:id="rId14" xr:uid="{3366B1DB-E3E2-4F9B-85EC-0CC694E50110}"/>
    <hyperlink ref="E3" r:id="rId15" xr:uid="{753BD4E0-29D2-4D27-AB84-EE94FE17C785}"/>
    <hyperlink ref="A3" r:id="rId16" xr:uid="{0FCB2083-6D80-4535-B49E-1B69A3636C55}"/>
    <hyperlink ref="F3" r:id="rId17" xr:uid="{90C7DD74-BA87-4D8B-ACC3-3ED074AD86D2}"/>
    <hyperlink ref="G3" r:id="rId18" xr:uid="{1F8E83AA-DCC6-42BC-B030-663DD7D2E12A}"/>
    <hyperlink ref="E4" r:id="rId19" xr:uid="{BBF5E45C-7233-4694-9164-0D7E4DC2960E}"/>
    <hyperlink ref="I22" r:id="rId20" xr:uid="{BC1D43DA-881E-4EFE-94E7-037BA86EF47D}"/>
    <hyperlink ref="F16" r:id="rId21" xr:uid="{E98A2C73-B967-4538-81DA-EAF718670563}"/>
    <hyperlink ref="G16" r:id="rId22" xr:uid="{6B9816F4-9F23-4A57-B5AE-311E879B0CDB}"/>
    <hyperlink ref="A16" r:id="rId23" xr:uid="{30158179-3416-484E-84FE-DAB3B71E5254}"/>
    <hyperlink ref="E16" r:id="rId24" xr:uid="{D6EFF074-5A2E-4D15-A986-C70D9977121C}"/>
    <hyperlink ref="J20" r:id="rId25" xr:uid="{446D89A6-EC56-4B2C-83A0-558B8F51252D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B1DB2-F0AD-48BA-87D2-C9673C6C2A0F}">
  <sheetPr>
    <tabColor rgb="FFC00000"/>
  </sheetPr>
  <dimension ref="A1:J18"/>
  <sheetViews>
    <sheetView workbookViewId="0">
      <selection activeCell="A14" sqref="A14"/>
    </sheetView>
  </sheetViews>
  <sheetFormatPr defaultRowHeight="14.5" x14ac:dyDescent="0.35"/>
  <cols>
    <col min="1" max="1" width="17.54296875" customWidth="1"/>
    <col min="3" max="3" width="19.36328125" customWidth="1"/>
    <col min="4" max="4" width="20.7265625" customWidth="1"/>
    <col min="6" max="6" width="16.08984375" customWidth="1"/>
    <col min="7" max="7" width="15.08984375" customWidth="1"/>
    <col min="8" max="8" width="17.1796875" customWidth="1"/>
    <col min="9" max="9" width="21.453125" customWidth="1"/>
    <col min="10" max="10" width="23.1796875" customWidth="1"/>
  </cols>
  <sheetData>
    <row r="1" spans="1:10" x14ac:dyDescent="0.35">
      <c r="A1" s="34" t="s">
        <v>3196</v>
      </c>
      <c r="B1" s="16">
        <f>COUNTIF(I2:I1087,C1)+COUNTIF(I2:I1087,D1)</f>
        <v>3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3832</v>
      </c>
      <c r="B3" t="s">
        <v>3</v>
      </c>
      <c r="C3" t="s">
        <v>43</v>
      </c>
      <c r="D3" t="s">
        <v>2133</v>
      </c>
      <c r="E3" s="34" t="s">
        <v>353</v>
      </c>
      <c r="G3" t="s">
        <v>2762</v>
      </c>
      <c r="H3" t="s">
        <v>73</v>
      </c>
      <c r="I3" s="1" t="s">
        <v>170</v>
      </c>
      <c r="J3" s="3" t="s">
        <v>3833</v>
      </c>
    </row>
    <row r="4" spans="1:10" x14ac:dyDescent="0.35">
      <c r="E4" s="40"/>
      <c r="I4" t="s">
        <v>521</v>
      </c>
      <c r="J4" s="8" t="s">
        <v>3834</v>
      </c>
    </row>
    <row r="5" spans="1:10" x14ac:dyDescent="0.35">
      <c r="I5" t="s">
        <v>117</v>
      </c>
      <c r="J5" s="8" t="s">
        <v>3835</v>
      </c>
    </row>
    <row r="6" spans="1:10" x14ac:dyDescent="0.35">
      <c r="I6" t="s">
        <v>17</v>
      </c>
      <c r="J6" s="8" t="s">
        <v>3836</v>
      </c>
    </row>
    <row r="7" spans="1:10" x14ac:dyDescent="0.35">
      <c r="I7" s="38" t="s">
        <v>18</v>
      </c>
      <c r="J7" s="36" t="s">
        <v>3837</v>
      </c>
    </row>
    <row r="8" spans="1:10" x14ac:dyDescent="0.35">
      <c r="A8" s="33" t="s">
        <v>3844</v>
      </c>
      <c r="B8" t="s">
        <v>3</v>
      </c>
      <c r="C8" t="s">
        <v>43</v>
      </c>
      <c r="D8" t="s">
        <v>159</v>
      </c>
      <c r="E8" s="34" t="s">
        <v>156</v>
      </c>
      <c r="G8" t="s">
        <v>2762</v>
      </c>
      <c r="H8" t="s">
        <v>73</v>
      </c>
      <c r="I8" s="1" t="s">
        <v>170</v>
      </c>
      <c r="J8" s="3" t="s">
        <v>3833</v>
      </c>
    </row>
    <row r="9" spans="1:10" x14ac:dyDescent="0.35">
      <c r="E9" s="40"/>
      <c r="I9" t="s">
        <v>521</v>
      </c>
      <c r="J9" s="8" t="s">
        <v>3834</v>
      </c>
    </row>
    <row r="10" spans="1:10" x14ac:dyDescent="0.35">
      <c r="I10" t="s">
        <v>117</v>
      </c>
      <c r="J10" s="8" t="s">
        <v>3835</v>
      </c>
    </row>
    <row r="11" spans="1:10" x14ac:dyDescent="0.35">
      <c r="I11" t="s">
        <v>17</v>
      </c>
      <c r="J11" s="8" t="s">
        <v>3836</v>
      </c>
    </row>
    <row r="12" spans="1:10" x14ac:dyDescent="0.35">
      <c r="I12" s="38" t="s">
        <v>18</v>
      </c>
      <c r="J12" t="s">
        <v>3845</v>
      </c>
    </row>
    <row r="13" spans="1:10" x14ac:dyDescent="0.35">
      <c r="J13" s="43" t="s">
        <v>3844</v>
      </c>
    </row>
    <row r="14" spans="1:10" x14ac:dyDescent="0.35">
      <c r="A14" s="33" t="s">
        <v>3846</v>
      </c>
      <c r="B14" t="s">
        <v>3</v>
      </c>
      <c r="C14" t="s">
        <v>43</v>
      </c>
      <c r="D14" t="s">
        <v>2133</v>
      </c>
      <c r="E14" s="34" t="s">
        <v>156</v>
      </c>
      <c r="G14" t="s">
        <v>2762</v>
      </c>
      <c r="H14" t="s">
        <v>73</v>
      </c>
      <c r="I14" s="1" t="s">
        <v>170</v>
      </c>
      <c r="J14" s="3" t="s">
        <v>3833</v>
      </c>
    </row>
    <row r="15" spans="1:10" x14ac:dyDescent="0.35">
      <c r="E15" s="40"/>
      <c r="I15" t="s">
        <v>521</v>
      </c>
      <c r="J15" s="8" t="s">
        <v>3834</v>
      </c>
    </row>
    <row r="16" spans="1:10" x14ac:dyDescent="0.35">
      <c r="I16" t="s">
        <v>117</v>
      </c>
      <c r="J16" s="8" t="s">
        <v>3835</v>
      </c>
    </row>
    <row r="17" spans="9:10" x14ac:dyDescent="0.35">
      <c r="I17" t="s">
        <v>17</v>
      </c>
      <c r="J17" s="8" t="s">
        <v>3836</v>
      </c>
    </row>
    <row r="18" spans="9:10" x14ac:dyDescent="0.35">
      <c r="I18" s="38" t="s">
        <v>18</v>
      </c>
      <c r="J18" s="36" t="s">
        <v>3847</v>
      </c>
    </row>
  </sheetData>
  <hyperlinks>
    <hyperlink ref="I7" r:id="rId1" xr:uid="{D7F24494-3764-40F7-9646-412A19CEC23A}"/>
    <hyperlink ref="A3" r:id="rId2" xr:uid="{3BD4F630-9832-40EA-8DC9-29AC458B5C92}"/>
    <hyperlink ref="E3" r:id="rId3" xr:uid="{DFB754FA-C519-4ABE-860D-7C6C9FF2EC80}"/>
    <hyperlink ref="A1" location="Summary!A1" tooltip="Return to Totals" display="Back to Totals" xr:uid="{321CADCA-17EE-42B8-ACB3-C3F2A5C64167}"/>
    <hyperlink ref="J7" r:id="rId4" xr:uid="{48F0269A-9C1B-44FE-A2F7-F04CE86444C3}"/>
    <hyperlink ref="I12" r:id="rId5" xr:uid="{FEB3EE5B-9835-4F82-A0FD-1D5BAA3EEDC2}"/>
    <hyperlink ref="A8" r:id="rId6" xr:uid="{65BE190D-02D6-4DD7-AF17-00E596002357}"/>
    <hyperlink ref="E8" r:id="rId7" xr:uid="{4DB73ABF-8AA2-497E-8406-445CB05CD64F}"/>
    <hyperlink ref="J13" r:id="rId8" xr:uid="{84A5FA40-192B-4AAD-B96D-B0F461FDAD55}"/>
    <hyperlink ref="I18" r:id="rId9" xr:uid="{206FF866-A1CA-4FF6-BDE2-32F0485A6C11}"/>
    <hyperlink ref="A14" r:id="rId10" xr:uid="{F68D8109-E2C2-4ADB-B1DC-E59E45851E81}"/>
    <hyperlink ref="E14" r:id="rId11" xr:uid="{A0D26C19-5344-43F1-8CA0-B32EC0983EE4}"/>
    <hyperlink ref="J18" r:id="rId12" xr:uid="{A1C736D7-D395-4CA0-8B37-F60E9D006F5E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823E7-C08C-4077-B82A-9EDE7361A653}">
  <sheetPr codeName="Sheet14">
    <tabColor theme="4" tint="-0.249977111117893"/>
  </sheetPr>
  <dimension ref="A1:J123"/>
  <sheetViews>
    <sheetView zoomScale="93" zoomScaleNormal="93" workbookViewId="0"/>
  </sheetViews>
  <sheetFormatPr defaultRowHeight="14.5" x14ac:dyDescent="0.35"/>
  <cols>
    <col min="1" max="1" width="21" customWidth="1"/>
    <col min="2" max="2" width="10.7265625" customWidth="1"/>
    <col min="3" max="3" width="19.7265625" customWidth="1"/>
    <col min="4" max="4" width="21.36328125" customWidth="1"/>
    <col min="5" max="5" width="11.81640625" customWidth="1"/>
    <col min="6" max="6" width="24.1796875" customWidth="1"/>
    <col min="7" max="7" width="25.26953125" customWidth="1"/>
    <col min="8" max="8" width="21.90625" customWidth="1"/>
    <col min="9" max="9" width="21.26953125" customWidth="1"/>
    <col min="10" max="10" width="21.36328125" customWidth="1"/>
  </cols>
  <sheetData>
    <row r="1" spans="1:10" x14ac:dyDescent="0.35">
      <c r="A1" s="34" t="s">
        <v>3196</v>
      </c>
      <c r="B1" s="16">
        <f>COUNTIF(I2:I1097,C1)+COUNTIF(I2:I1097,D1)</f>
        <v>12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2511</v>
      </c>
      <c r="B3" s="1" t="s">
        <v>315</v>
      </c>
      <c r="C3" t="s">
        <v>43</v>
      </c>
      <c r="D3" t="s">
        <v>2515</v>
      </c>
      <c r="E3" s="100" t="s">
        <v>132</v>
      </c>
      <c r="F3" s="33" t="s">
        <v>1877</v>
      </c>
      <c r="G3" s="33" t="s">
        <v>1878</v>
      </c>
      <c r="H3" t="s">
        <v>1716</v>
      </c>
      <c r="I3" s="1" t="s">
        <v>1889</v>
      </c>
      <c r="J3" s="3" t="s">
        <v>1879</v>
      </c>
    </row>
    <row r="4" spans="1:10" x14ac:dyDescent="0.35">
      <c r="E4" s="18"/>
      <c r="I4" t="s">
        <v>1880</v>
      </c>
      <c r="J4" t="s">
        <v>1879</v>
      </c>
    </row>
    <row r="5" spans="1:10" x14ac:dyDescent="0.35">
      <c r="I5" t="s">
        <v>1890</v>
      </c>
      <c r="J5" t="s">
        <v>1877</v>
      </c>
    </row>
    <row r="6" spans="1:10" x14ac:dyDescent="0.35">
      <c r="I6" t="s">
        <v>718</v>
      </c>
      <c r="J6" t="s">
        <v>1879</v>
      </c>
    </row>
    <row r="7" spans="1:10" x14ac:dyDescent="0.35">
      <c r="I7" t="s">
        <v>383</v>
      </c>
      <c r="J7" t="s">
        <v>2512</v>
      </c>
    </row>
    <row r="8" spans="1:10" x14ac:dyDescent="0.35">
      <c r="I8" t="s">
        <v>345</v>
      </c>
      <c r="J8" t="s">
        <v>2513</v>
      </c>
    </row>
    <row r="9" spans="1:10" x14ac:dyDescent="0.35">
      <c r="I9" t="s">
        <v>346</v>
      </c>
      <c r="J9" s="36" t="s">
        <v>2514</v>
      </c>
    </row>
    <row r="10" spans="1:10" x14ac:dyDescent="0.35">
      <c r="I10" t="s">
        <v>1555</v>
      </c>
    </row>
    <row r="11" spans="1:10" x14ac:dyDescent="0.35">
      <c r="I11" t="s">
        <v>104</v>
      </c>
    </row>
    <row r="12" spans="1:10" x14ac:dyDescent="0.35">
      <c r="I12" s="38" t="s">
        <v>1249</v>
      </c>
    </row>
    <row r="13" spans="1:10" x14ac:dyDescent="0.35">
      <c r="A13" s="33" t="s">
        <v>2516</v>
      </c>
      <c r="B13" s="1" t="s">
        <v>315</v>
      </c>
      <c r="C13" t="s">
        <v>43</v>
      </c>
      <c r="D13" t="s">
        <v>1186</v>
      </c>
      <c r="E13" s="100" t="s">
        <v>132</v>
      </c>
      <c r="F13" s="33" t="s">
        <v>1877</v>
      </c>
      <c r="G13" s="33" t="s">
        <v>1878</v>
      </c>
      <c r="H13" t="s">
        <v>1716</v>
      </c>
      <c r="I13" s="1" t="s">
        <v>1889</v>
      </c>
      <c r="J13" s="3" t="s">
        <v>1879</v>
      </c>
    </row>
    <row r="14" spans="1:10" x14ac:dyDescent="0.35">
      <c r="E14" s="18"/>
      <c r="I14" t="s">
        <v>1880</v>
      </c>
      <c r="J14" t="s">
        <v>1879</v>
      </c>
    </row>
    <row r="15" spans="1:10" x14ac:dyDescent="0.35">
      <c r="I15" t="s">
        <v>1890</v>
      </c>
      <c r="J15" t="s">
        <v>1877</v>
      </c>
    </row>
    <row r="16" spans="1:10" x14ac:dyDescent="0.35">
      <c r="I16" t="s">
        <v>718</v>
      </c>
      <c r="J16" t="s">
        <v>1879</v>
      </c>
    </row>
    <row r="17" spans="1:10" x14ac:dyDescent="0.35">
      <c r="I17" t="s">
        <v>383</v>
      </c>
      <c r="J17" t="s">
        <v>2512</v>
      </c>
    </row>
    <row r="18" spans="1:10" x14ac:dyDescent="0.35">
      <c r="I18" t="s">
        <v>345</v>
      </c>
      <c r="J18" t="s">
        <v>2513</v>
      </c>
    </row>
    <row r="19" spans="1:10" x14ac:dyDescent="0.35">
      <c r="I19" t="s">
        <v>346</v>
      </c>
      <c r="J19" t="s">
        <v>2514</v>
      </c>
    </row>
    <row r="20" spans="1:10" x14ac:dyDescent="0.35">
      <c r="I20" t="s">
        <v>1555</v>
      </c>
      <c r="J20" s="36" t="s">
        <v>2517</v>
      </c>
    </row>
    <row r="21" spans="1:10" x14ac:dyDescent="0.35">
      <c r="I21" t="s">
        <v>104</v>
      </c>
    </row>
    <row r="22" spans="1:10" x14ac:dyDescent="0.35">
      <c r="I22" s="38" t="s">
        <v>1249</v>
      </c>
    </row>
    <row r="23" spans="1:10" x14ac:dyDescent="0.35">
      <c r="A23" s="33" t="s">
        <v>2518</v>
      </c>
      <c r="B23" s="1" t="s">
        <v>315</v>
      </c>
      <c r="C23" t="s">
        <v>43</v>
      </c>
      <c r="D23" t="s">
        <v>951</v>
      </c>
      <c r="E23" s="100" t="s">
        <v>32</v>
      </c>
      <c r="F23" s="33" t="s">
        <v>1877</v>
      </c>
      <c r="G23" s="33" t="s">
        <v>1878</v>
      </c>
      <c r="H23" t="s">
        <v>1716</v>
      </c>
      <c r="I23" s="1" t="s">
        <v>1889</v>
      </c>
      <c r="J23" s="3" t="s">
        <v>1879</v>
      </c>
    </row>
    <row r="24" spans="1:10" x14ac:dyDescent="0.35">
      <c r="E24" s="18"/>
      <c r="I24" t="s">
        <v>1880</v>
      </c>
      <c r="J24" t="s">
        <v>1879</v>
      </c>
    </row>
    <row r="25" spans="1:10" x14ac:dyDescent="0.35">
      <c r="I25" t="s">
        <v>1890</v>
      </c>
      <c r="J25" t="s">
        <v>1877</v>
      </c>
    </row>
    <row r="26" spans="1:10" x14ac:dyDescent="0.35">
      <c r="I26" t="s">
        <v>718</v>
      </c>
      <c r="J26" t="s">
        <v>1879</v>
      </c>
    </row>
    <row r="27" spans="1:10" x14ac:dyDescent="0.35">
      <c r="I27" t="s">
        <v>383</v>
      </c>
      <c r="J27" t="s">
        <v>2512</v>
      </c>
    </row>
    <row r="28" spans="1:10" x14ac:dyDescent="0.35">
      <c r="I28" t="s">
        <v>345</v>
      </c>
      <c r="J28" t="s">
        <v>2513</v>
      </c>
    </row>
    <row r="29" spans="1:10" x14ac:dyDescent="0.35">
      <c r="I29" t="s">
        <v>346</v>
      </c>
      <c r="J29" t="s">
        <v>2514</v>
      </c>
    </row>
    <row r="30" spans="1:10" x14ac:dyDescent="0.35">
      <c r="I30" t="s">
        <v>1555</v>
      </c>
      <c r="J30" t="s">
        <v>2517</v>
      </c>
    </row>
    <row r="31" spans="1:10" x14ac:dyDescent="0.35">
      <c r="I31" t="s">
        <v>104</v>
      </c>
      <c r="J31" s="36" t="s">
        <v>2518</v>
      </c>
    </row>
    <row r="32" spans="1:10" x14ac:dyDescent="0.35">
      <c r="I32" s="38" t="s">
        <v>1249</v>
      </c>
    </row>
    <row r="33" spans="1:10" x14ac:dyDescent="0.35">
      <c r="A33" t="s">
        <v>2928</v>
      </c>
      <c r="B33" s="1" t="s">
        <v>315</v>
      </c>
      <c r="C33" t="s">
        <v>43</v>
      </c>
      <c r="D33" t="s">
        <v>951</v>
      </c>
      <c r="E33" s="100" t="s">
        <v>340</v>
      </c>
      <c r="F33" s="33" t="s">
        <v>1877</v>
      </c>
      <c r="G33" s="33" t="s">
        <v>1878</v>
      </c>
      <c r="H33" t="s">
        <v>1716</v>
      </c>
      <c r="I33" s="1" t="s">
        <v>1889</v>
      </c>
      <c r="J33" s="3" t="s">
        <v>1879</v>
      </c>
    </row>
    <row r="34" spans="1:10" x14ac:dyDescent="0.35">
      <c r="E34" s="18"/>
      <c r="I34" t="s">
        <v>1880</v>
      </c>
      <c r="J34" t="s">
        <v>1880</v>
      </c>
    </row>
    <row r="35" spans="1:10" x14ac:dyDescent="0.35">
      <c r="I35" t="s">
        <v>1890</v>
      </c>
      <c r="J35" t="s">
        <v>2923</v>
      </c>
    </row>
    <row r="36" spans="1:10" x14ac:dyDescent="0.35">
      <c r="I36" t="s">
        <v>718</v>
      </c>
      <c r="J36" t="s">
        <v>2924</v>
      </c>
    </row>
    <row r="37" spans="1:10" x14ac:dyDescent="0.35">
      <c r="I37" t="s">
        <v>383</v>
      </c>
      <c r="J37" t="s">
        <v>2925</v>
      </c>
    </row>
    <row r="38" spans="1:10" x14ac:dyDescent="0.35">
      <c r="I38" t="s">
        <v>345</v>
      </c>
      <c r="J38" t="s">
        <v>2926</v>
      </c>
    </row>
    <row r="39" spans="1:10" x14ac:dyDescent="0.35">
      <c r="I39" t="s">
        <v>346</v>
      </c>
      <c r="J39" t="s">
        <v>2927</v>
      </c>
    </row>
    <row r="40" spans="1:10" x14ac:dyDescent="0.35">
      <c r="I40" t="s">
        <v>1555</v>
      </c>
      <c r="J40" s="36" t="s">
        <v>2928</v>
      </c>
    </row>
    <row r="41" spans="1:10" x14ac:dyDescent="0.35">
      <c r="I41" t="s">
        <v>104</v>
      </c>
      <c r="J41" s="37"/>
    </row>
    <row r="42" spans="1:10" x14ac:dyDescent="0.35">
      <c r="I42" s="38" t="s">
        <v>1249</v>
      </c>
    </row>
    <row r="43" spans="1:10" x14ac:dyDescent="0.35">
      <c r="A43" t="s">
        <v>2922</v>
      </c>
      <c r="B43" s="1" t="s">
        <v>315</v>
      </c>
      <c r="C43" t="s">
        <v>43</v>
      </c>
      <c r="D43" t="s">
        <v>951</v>
      </c>
      <c r="E43" s="100" t="s">
        <v>32</v>
      </c>
      <c r="F43" s="33" t="s">
        <v>1877</v>
      </c>
      <c r="G43" s="33" t="s">
        <v>1878</v>
      </c>
      <c r="H43" t="s">
        <v>1716</v>
      </c>
      <c r="I43" s="1" t="s">
        <v>1889</v>
      </c>
      <c r="J43" s="3" t="s">
        <v>1879</v>
      </c>
    </row>
    <row r="44" spans="1:10" x14ac:dyDescent="0.35">
      <c r="E44" s="18"/>
      <c r="I44" t="s">
        <v>1880</v>
      </c>
      <c r="J44" t="s">
        <v>1880</v>
      </c>
    </row>
    <row r="45" spans="1:10" x14ac:dyDescent="0.35">
      <c r="I45" t="s">
        <v>1890</v>
      </c>
      <c r="J45" t="s">
        <v>2923</v>
      </c>
    </row>
    <row r="46" spans="1:10" x14ac:dyDescent="0.35">
      <c r="I46" t="s">
        <v>718</v>
      </c>
      <c r="J46" t="s">
        <v>2924</v>
      </c>
    </row>
    <row r="47" spans="1:10" x14ac:dyDescent="0.35">
      <c r="I47" t="s">
        <v>383</v>
      </c>
      <c r="J47" t="s">
        <v>2925</v>
      </c>
    </row>
    <row r="48" spans="1:10" x14ac:dyDescent="0.35">
      <c r="I48" t="s">
        <v>345</v>
      </c>
      <c r="J48" t="s">
        <v>2926</v>
      </c>
    </row>
    <row r="49" spans="1:10" x14ac:dyDescent="0.35">
      <c r="I49" t="s">
        <v>346</v>
      </c>
      <c r="J49" t="s">
        <v>2927</v>
      </c>
    </row>
    <row r="50" spans="1:10" x14ac:dyDescent="0.35">
      <c r="I50" t="s">
        <v>1555</v>
      </c>
      <c r="J50" t="s">
        <v>2928</v>
      </c>
    </row>
    <row r="51" spans="1:10" x14ac:dyDescent="0.35">
      <c r="I51" t="s">
        <v>104</v>
      </c>
      <c r="J51" s="36" t="s">
        <v>2922</v>
      </c>
    </row>
    <row r="52" spans="1:10" x14ac:dyDescent="0.35">
      <c r="I52" s="38" t="s">
        <v>1249</v>
      </c>
    </row>
    <row r="53" spans="1:10" x14ac:dyDescent="0.35">
      <c r="A53" s="33" t="s">
        <v>1876</v>
      </c>
      <c r="B53" t="s">
        <v>3</v>
      </c>
      <c r="C53" t="s">
        <v>43</v>
      </c>
      <c r="D53" t="s">
        <v>1833</v>
      </c>
      <c r="E53" s="40" t="s">
        <v>189</v>
      </c>
      <c r="F53" s="33" t="s">
        <v>1877</v>
      </c>
      <c r="G53" s="33" t="s">
        <v>1878</v>
      </c>
      <c r="H53" t="s">
        <v>1716</v>
      </c>
      <c r="I53" s="1" t="s">
        <v>1889</v>
      </c>
      <c r="J53" s="3" t="s">
        <v>1879</v>
      </c>
    </row>
    <row r="54" spans="1:10" x14ac:dyDescent="0.35">
      <c r="E54" s="34" t="s">
        <v>216</v>
      </c>
      <c r="I54" t="s">
        <v>1880</v>
      </c>
      <c r="J54" t="s">
        <v>1880</v>
      </c>
    </row>
    <row r="55" spans="1:10" x14ac:dyDescent="0.35">
      <c r="I55" t="s">
        <v>1890</v>
      </c>
      <c r="J55" t="s">
        <v>1881</v>
      </c>
    </row>
    <row r="56" spans="1:10" x14ac:dyDescent="0.35">
      <c r="I56" t="s">
        <v>718</v>
      </c>
      <c r="J56" t="s">
        <v>1881</v>
      </c>
    </row>
    <row r="57" spans="1:10" x14ac:dyDescent="0.35">
      <c r="I57" t="s">
        <v>383</v>
      </c>
      <c r="J57" t="s">
        <v>1882</v>
      </c>
    </row>
    <row r="58" spans="1:10" x14ac:dyDescent="0.35">
      <c r="I58" t="s">
        <v>345</v>
      </c>
      <c r="J58" t="s">
        <v>1883</v>
      </c>
    </row>
    <row r="59" spans="1:10" x14ac:dyDescent="0.35">
      <c r="I59" t="s">
        <v>346</v>
      </c>
      <c r="J59" t="s">
        <v>1884</v>
      </c>
    </row>
    <row r="60" spans="1:10" x14ac:dyDescent="0.35">
      <c r="I60" t="s">
        <v>1555</v>
      </c>
      <c r="J60" t="s">
        <v>1885</v>
      </c>
    </row>
    <row r="61" spans="1:10" x14ac:dyDescent="0.35">
      <c r="I61" t="s">
        <v>104</v>
      </c>
      <c r="J61" t="s">
        <v>1886</v>
      </c>
    </row>
    <row r="62" spans="1:10" x14ac:dyDescent="0.35">
      <c r="I62" s="38" t="s">
        <v>18</v>
      </c>
      <c r="J62" t="s">
        <v>1887</v>
      </c>
    </row>
    <row r="63" spans="1:10" x14ac:dyDescent="0.35">
      <c r="J63" s="36" t="s">
        <v>1888</v>
      </c>
    </row>
    <row r="64" spans="1:10" x14ac:dyDescent="0.35">
      <c r="A64" s="33" t="s">
        <v>1932</v>
      </c>
      <c r="B64" t="s">
        <v>3</v>
      </c>
      <c r="C64" t="s">
        <v>43</v>
      </c>
      <c r="D64" t="s">
        <v>1739</v>
      </c>
      <c r="E64" s="34" t="s">
        <v>89</v>
      </c>
      <c r="F64" s="33" t="s">
        <v>1877</v>
      </c>
      <c r="G64" s="33" t="s">
        <v>1878</v>
      </c>
      <c r="H64" t="s">
        <v>1716</v>
      </c>
      <c r="I64" s="1" t="s">
        <v>1889</v>
      </c>
      <c r="J64" s="3" t="s">
        <v>1879</v>
      </c>
    </row>
    <row r="65" spans="1:10" x14ac:dyDescent="0.35">
      <c r="E65" s="20"/>
      <c r="I65" t="s">
        <v>1880</v>
      </c>
      <c r="J65" t="s">
        <v>1877</v>
      </c>
    </row>
    <row r="66" spans="1:10" x14ac:dyDescent="0.35">
      <c r="I66" t="s">
        <v>1890</v>
      </c>
      <c r="J66" t="s">
        <v>1877</v>
      </c>
    </row>
    <row r="67" spans="1:10" x14ac:dyDescent="0.35">
      <c r="I67" t="s">
        <v>718</v>
      </c>
      <c r="J67" t="s">
        <v>1926</v>
      </c>
    </row>
    <row r="68" spans="1:10" x14ac:dyDescent="0.35">
      <c r="I68" t="s">
        <v>383</v>
      </c>
      <c r="J68" t="s">
        <v>1927</v>
      </c>
    </row>
    <row r="69" spans="1:10" x14ac:dyDescent="0.35">
      <c r="I69" t="s">
        <v>345</v>
      </c>
      <c r="J69" t="s">
        <v>1928</v>
      </c>
    </row>
    <row r="70" spans="1:10" x14ac:dyDescent="0.35">
      <c r="I70" t="s">
        <v>346</v>
      </c>
      <c r="J70" t="s">
        <v>1929</v>
      </c>
    </row>
    <row r="71" spans="1:10" x14ac:dyDescent="0.35">
      <c r="I71" t="s">
        <v>1555</v>
      </c>
      <c r="J71" t="s">
        <v>1929</v>
      </c>
    </row>
    <row r="72" spans="1:10" x14ac:dyDescent="0.35">
      <c r="I72" t="s">
        <v>104</v>
      </c>
      <c r="J72" t="s">
        <v>1930</v>
      </c>
    </row>
    <row r="73" spans="1:10" x14ac:dyDescent="0.35">
      <c r="I73" s="38" t="s">
        <v>18</v>
      </c>
      <c r="J73" s="36" t="s">
        <v>1931</v>
      </c>
    </row>
    <row r="74" spans="1:10" x14ac:dyDescent="0.35">
      <c r="A74" s="33" t="s">
        <v>1933</v>
      </c>
      <c r="B74" t="s">
        <v>3</v>
      </c>
      <c r="C74" t="s">
        <v>43</v>
      </c>
      <c r="D74" t="s">
        <v>1065</v>
      </c>
      <c r="E74" s="34" t="s">
        <v>89</v>
      </c>
      <c r="F74" s="33" t="s">
        <v>1877</v>
      </c>
      <c r="G74" s="33" t="s">
        <v>1878</v>
      </c>
      <c r="H74" t="s">
        <v>1716</v>
      </c>
      <c r="I74" s="1" t="s">
        <v>1889</v>
      </c>
      <c r="J74" s="3" t="s">
        <v>1934</v>
      </c>
    </row>
    <row r="75" spans="1:10" x14ac:dyDescent="0.35">
      <c r="E75" s="20"/>
      <c r="I75" t="s">
        <v>1880</v>
      </c>
      <c r="J75" t="s">
        <v>1935</v>
      </c>
    </row>
    <row r="76" spans="1:10" x14ac:dyDescent="0.35">
      <c r="I76" t="s">
        <v>1890</v>
      </c>
      <c r="J76" t="s">
        <v>1936</v>
      </c>
    </row>
    <row r="77" spans="1:10" x14ac:dyDescent="0.35">
      <c r="I77" t="s">
        <v>718</v>
      </c>
      <c r="J77" t="s">
        <v>1937</v>
      </c>
    </row>
    <row r="78" spans="1:10" x14ac:dyDescent="0.35">
      <c r="I78" t="s">
        <v>383</v>
      </c>
      <c r="J78" t="s">
        <v>1938</v>
      </c>
    </row>
    <row r="79" spans="1:10" x14ac:dyDescent="0.35">
      <c r="I79" t="s">
        <v>345</v>
      </c>
      <c r="J79" t="s">
        <v>1939</v>
      </c>
    </row>
    <row r="80" spans="1:10" x14ac:dyDescent="0.35">
      <c r="I80" t="s">
        <v>346</v>
      </c>
      <c r="J80" t="s">
        <v>1938</v>
      </c>
    </row>
    <row r="81" spans="1:10" x14ac:dyDescent="0.35">
      <c r="I81" t="s">
        <v>1555</v>
      </c>
      <c r="J81" t="s">
        <v>3959</v>
      </c>
    </row>
    <row r="82" spans="1:10" x14ac:dyDescent="0.35">
      <c r="I82" t="s">
        <v>104</v>
      </c>
      <c r="J82" s="36" t="s">
        <v>1940</v>
      </c>
    </row>
    <row r="83" spans="1:10" x14ac:dyDescent="0.35">
      <c r="I83" s="38" t="s">
        <v>18</v>
      </c>
    </row>
    <row r="84" spans="1:10" x14ac:dyDescent="0.35">
      <c r="A84" s="33" t="s">
        <v>3958</v>
      </c>
      <c r="B84" t="s">
        <v>3</v>
      </c>
      <c r="C84" t="s">
        <v>43</v>
      </c>
      <c r="D84" t="s">
        <v>1739</v>
      </c>
      <c r="E84" s="34" t="s">
        <v>89</v>
      </c>
      <c r="F84" s="33" t="s">
        <v>1877</v>
      </c>
      <c r="G84" s="33" t="s">
        <v>1878</v>
      </c>
      <c r="H84" t="s">
        <v>1716</v>
      </c>
      <c r="I84" s="1" t="s">
        <v>1889</v>
      </c>
      <c r="J84" s="3" t="s">
        <v>1934</v>
      </c>
    </row>
    <row r="85" spans="1:10" x14ac:dyDescent="0.35">
      <c r="E85" s="20"/>
      <c r="I85" t="s">
        <v>1880</v>
      </c>
      <c r="J85" t="s">
        <v>1935</v>
      </c>
    </row>
    <row r="86" spans="1:10" x14ac:dyDescent="0.35">
      <c r="I86" t="s">
        <v>1890</v>
      </c>
      <c r="J86" t="s">
        <v>1936</v>
      </c>
    </row>
    <row r="87" spans="1:10" x14ac:dyDescent="0.35">
      <c r="I87" t="s">
        <v>718</v>
      </c>
      <c r="J87" t="s">
        <v>1937</v>
      </c>
    </row>
    <row r="88" spans="1:10" x14ac:dyDescent="0.35">
      <c r="I88" t="s">
        <v>383</v>
      </c>
      <c r="J88" t="s">
        <v>1938</v>
      </c>
    </row>
    <row r="89" spans="1:10" x14ac:dyDescent="0.35">
      <c r="I89" t="s">
        <v>345</v>
      </c>
      <c r="J89" t="s">
        <v>1939</v>
      </c>
    </row>
    <row r="90" spans="1:10" x14ac:dyDescent="0.35">
      <c r="I90" t="s">
        <v>346</v>
      </c>
      <c r="J90" t="s">
        <v>1938</v>
      </c>
    </row>
    <row r="91" spans="1:10" x14ac:dyDescent="0.35">
      <c r="I91" t="s">
        <v>1555</v>
      </c>
      <c r="J91" t="s">
        <v>3959</v>
      </c>
    </row>
    <row r="92" spans="1:10" x14ac:dyDescent="0.35">
      <c r="I92" t="s">
        <v>104</v>
      </c>
      <c r="J92" t="s">
        <v>1940</v>
      </c>
    </row>
    <row r="93" spans="1:10" x14ac:dyDescent="0.35">
      <c r="I93" s="38" t="s">
        <v>18</v>
      </c>
      <c r="J93" s="36" t="s">
        <v>3958</v>
      </c>
    </row>
    <row r="94" spans="1:10" x14ac:dyDescent="0.35">
      <c r="A94" t="s">
        <v>4366</v>
      </c>
      <c r="B94" t="s">
        <v>3</v>
      </c>
      <c r="C94" t="s">
        <v>43</v>
      </c>
      <c r="D94" t="s">
        <v>1739</v>
      </c>
      <c r="E94" s="34" t="s">
        <v>89</v>
      </c>
      <c r="F94" s="33" t="s">
        <v>1877</v>
      </c>
      <c r="G94" s="33" t="s">
        <v>1878</v>
      </c>
      <c r="H94" t="s">
        <v>1716</v>
      </c>
      <c r="I94" s="1" t="s">
        <v>1889</v>
      </c>
      <c r="J94" s="3" t="s">
        <v>1934</v>
      </c>
    </row>
    <row r="95" spans="1:10" x14ac:dyDescent="0.35">
      <c r="E95" s="20"/>
      <c r="I95" t="s">
        <v>1880</v>
      </c>
      <c r="J95" t="s">
        <v>1935</v>
      </c>
    </row>
    <row r="96" spans="1:10" x14ac:dyDescent="0.35">
      <c r="I96" t="s">
        <v>1890</v>
      </c>
      <c r="J96" t="s">
        <v>1936</v>
      </c>
    </row>
    <row r="97" spans="1:10" x14ac:dyDescent="0.35">
      <c r="I97" t="s">
        <v>718</v>
      </c>
      <c r="J97" t="s">
        <v>1937</v>
      </c>
    </row>
    <row r="98" spans="1:10" x14ac:dyDescent="0.35">
      <c r="I98" t="s">
        <v>383</v>
      </c>
      <c r="J98" t="s">
        <v>1938</v>
      </c>
    </row>
    <row r="99" spans="1:10" x14ac:dyDescent="0.35">
      <c r="I99" t="s">
        <v>345</v>
      </c>
      <c r="J99" t="s">
        <v>1939</v>
      </c>
    </row>
    <row r="100" spans="1:10" x14ac:dyDescent="0.35">
      <c r="I100" t="s">
        <v>346</v>
      </c>
      <c r="J100" t="s">
        <v>1938</v>
      </c>
    </row>
    <row r="101" spans="1:10" x14ac:dyDescent="0.35">
      <c r="I101" t="s">
        <v>1555</v>
      </c>
      <c r="J101" t="s">
        <v>3959</v>
      </c>
    </row>
    <row r="102" spans="1:10" x14ac:dyDescent="0.35">
      <c r="I102" t="s">
        <v>104</v>
      </c>
      <c r="J102" t="s">
        <v>1940</v>
      </c>
    </row>
    <row r="103" spans="1:10" x14ac:dyDescent="0.35">
      <c r="I103" s="38" t="s">
        <v>18</v>
      </c>
      <c r="J103" s="36" t="s">
        <v>4366</v>
      </c>
    </row>
    <row r="104" spans="1:10" x14ac:dyDescent="0.35">
      <c r="A104" s="33" t="s">
        <v>3977</v>
      </c>
      <c r="B104" t="s">
        <v>3</v>
      </c>
      <c r="C104" t="s">
        <v>43</v>
      </c>
      <c r="D104" t="s">
        <v>1186</v>
      </c>
      <c r="E104" s="34" t="s">
        <v>44</v>
      </c>
      <c r="F104" s="33" t="s">
        <v>1877</v>
      </c>
      <c r="G104" s="33" t="s">
        <v>1878</v>
      </c>
      <c r="H104" t="s">
        <v>1716</v>
      </c>
      <c r="I104" s="1" t="s">
        <v>1889</v>
      </c>
      <c r="J104" s="3" t="s">
        <v>1934</v>
      </c>
    </row>
    <row r="105" spans="1:10" x14ac:dyDescent="0.35">
      <c r="E105" s="20"/>
      <c r="I105" t="s">
        <v>1880</v>
      </c>
      <c r="J105" t="s">
        <v>1935</v>
      </c>
    </row>
    <row r="106" spans="1:10" x14ac:dyDescent="0.35">
      <c r="I106" t="s">
        <v>1890</v>
      </c>
      <c r="J106" t="s">
        <v>1936</v>
      </c>
    </row>
    <row r="107" spans="1:10" x14ac:dyDescent="0.35">
      <c r="I107" t="s">
        <v>718</v>
      </c>
      <c r="J107" t="s">
        <v>1937</v>
      </c>
    </row>
    <row r="108" spans="1:10" x14ac:dyDescent="0.35">
      <c r="I108" t="s">
        <v>383</v>
      </c>
      <c r="J108" t="s">
        <v>1938</v>
      </c>
    </row>
    <row r="109" spans="1:10" x14ac:dyDescent="0.35">
      <c r="I109" t="s">
        <v>345</v>
      </c>
      <c r="J109" t="s">
        <v>1939</v>
      </c>
    </row>
    <row r="110" spans="1:10" x14ac:dyDescent="0.35">
      <c r="I110" t="s">
        <v>346</v>
      </c>
      <c r="J110" t="s">
        <v>1938</v>
      </c>
    </row>
    <row r="111" spans="1:10" x14ac:dyDescent="0.35">
      <c r="I111" t="s">
        <v>1555</v>
      </c>
      <c r="J111" s="36" t="s">
        <v>3959</v>
      </c>
    </row>
    <row r="112" spans="1:10" x14ac:dyDescent="0.35">
      <c r="I112" t="s">
        <v>104</v>
      </c>
    </row>
    <row r="113" spans="1:10" x14ac:dyDescent="0.35">
      <c r="I113" s="38" t="s">
        <v>18</v>
      </c>
    </row>
    <row r="114" spans="1:10" x14ac:dyDescent="0.35">
      <c r="A114" s="33" t="s">
        <v>3978</v>
      </c>
      <c r="B114" t="s">
        <v>3</v>
      </c>
      <c r="C114" t="s">
        <v>43</v>
      </c>
      <c r="D114" t="s">
        <v>1186</v>
      </c>
      <c r="E114" s="34" t="s">
        <v>44</v>
      </c>
      <c r="F114" s="33" t="s">
        <v>1877</v>
      </c>
      <c r="G114" s="33" t="s">
        <v>1878</v>
      </c>
      <c r="H114" t="s">
        <v>1716</v>
      </c>
      <c r="I114" s="1" t="s">
        <v>1889</v>
      </c>
      <c r="J114" s="3" t="s">
        <v>1934</v>
      </c>
    </row>
    <row r="115" spans="1:10" x14ac:dyDescent="0.35">
      <c r="E115" s="20"/>
      <c r="I115" t="s">
        <v>1880</v>
      </c>
      <c r="J115" t="s">
        <v>1935</v>
      </c>
    </row>
    <row r="116" spans="1:10" x14ac:dyDescent="0.35">
      <c r="I116" t="s">
        <v>1890</v>
      </c>
      <c r="J116" t="s">
        <v>1936</v>
      </c>
    </row>
    <row r="117" spans="1:10" x14ac:dyDescent="0.35">
      <c r="I117" t="s">
        <v>718</v>
      </c>
      <c r="J117" t="s">
        <v>1937</v>
      </c>
    </row>
    <row r="118" spans="1:10" x14ac:dyDescent="0.35">
      <c r="I118" t="s">
        <v>383</v>
      </c>
      <c r="J118" t="s">
        <v>1938</v>
      </c>
    </row>
    <row r="119" spans="1:10" x14ac:dyDescent="0.35">
      <c r="I119" t="s">
        <v>345</v>
      </c>
      <c r="J119" t="s">
        <v>1939</v>
      </c>
    </row>
    <row r="120" spans="1:10" x14ac:dyDescent="0.35">
      <c r="I120" t="s">
        <v>346</v>
      </c>
      <c r="J120" t="s">
        <v>1938</v>
      </c>
    </row>
    <row r="121" spans="1:10" x14ac:dyDescent="0.35">
      <c r="I121" t="s">
        <v>1555</v>
      </c>
      <c r="J121" t="s">
        <v>3959</v>
      </c>
    </row>
    <row r="122" spans="1:10" x14ac:dyDescent="0.35">
      <c r="I122" t="s">
        <v>104</v>
      </c>
      <c r="J122" s="36" t="s">
        <v>3978</v>
      </c>
    </row>
    <row r="123" spans="1:10" x14ac:dyDescent="0.35">
      <c r="I123" s="38" t="s">
        <v>18</v>
      </c>
    </row>
  </sheetData>
  <autoFilter ref="E1:E83" xr:uid="{7B1823E7-C08C-4077-B82A-9EDE7361A653}"/>
  <hyperlinks>
    <hyperlink ref="A1" location="Summary!A1" tooltip="Return to Totals" display="Back to Totals" xr:uid="{74C54E7E-75C1-4975-8E16-7A0DC49C6CAE}"/>
    <hyperlink ref="I62" r:id="rId1" xr:uid="{CE49BEA9-C439-428D-98D6-F4B4DB1E4D8D}"/>
    <hyperlink ref="I73" r:id="rId2" xr:uid="{181F47FE-78AD-4A91-8063-8990B6C46626}"/>
    <hyperlink ref="I83" r:id="rId3" xr:uid="{7FFC0526-1D56-4B0C-B117-A1E2E125E574}"/>
    <hyperlink ref="F3" r:id="rId4" xr:uid="{334742CB-0160-485B-BF03-C6EDFD2AE382}"/>
    <hyperlink ref="F13" r:id="rId5" xr:uid="{8D8B9B01-52AE-46BC-B03B-BB736BE362E7}"/>
    <hyperlink ref="F23" r:id="rId6" xr:uid="{E12D872A-A728-448E-ADCC-4F7008032C5D}"/>
    <hyperlink ref="F53" r:id="rId7" xr:uid="{2FFAEC77-3576-4856-9764-9C2D7E2F378A}"/>
    <hyperlink ref="F64" r:id="rId8" xr:uid="{B538E606-2BBA-4B2C-85EC-B9EAA1C0ECF1}"/>
    <hyperlink ref="F74" r:id="rId9" xr:uid="{2AADBA06-7FB5-40C6-A3C0-5871AD74EC43}"/>
    <hyperlink ref="G74" r:id="rId10" xr:uid="{BEA8378A-8A8C-4B2F-9D09-ABEB227BE157}"/>
    <hyperlink ref="G64" r:id="rId11" xr:uid="{5650B10F-8CE6-499E-9997-21E51D8CDB5F}"/>
    <hyperlink ref="G53" r:id="rId12" xr:uid="{2C5BB3C2-3064-44EE-83A8-99EA0C281D1A}"/>
    <hyperlink ref="G23" r:id="rId13" xr:uid="{7643BFBF-C38D-4EC7-BDE9-6A3AB7FA7E4D}"/>
    <hyperlink ref="G13" r:id="rId14" xr:uid="{E96E6C99-EB1F-441B-BCDE-AB4F96A45971}"/>
    <hyperlink ref="G3" r:id="rId15" xr:uid="{EBCA4384-3A27-497B-AD8C-E9DD83BB2DED}"/>
    <hyperlink ref="J9" r:id="rId16" xr:uid="{626A678A-FD2B-45E0-A529-F293FE7D3960}"/>
    <hyperlink ref="A3" r:id="rId17" xr:uid="{9C814069-147F-4B65-9338-BA5AB5C81E62}"/>
    <hyperlink ref="A13" r:id="rId18" xr:uid="{3EA4E1DA-7020-4666-A6B9-AC2FAF642DCB}"/>
    <hyperlink ref="A23" r:id="rId19" xr:uid="{8E7F3F14-8E87-453C-AC76-D71BBB34884F}"/>
    <hyperlink ref="J20" r:id="rId20" xr:uid="{56D0F4E6-8BA5-47AC-A6A7-5D1F0B5D5214}"/>
    <hyperlink ref="J31" r:id="rId21" xr:uid="{999E41C4-278C-4488-A82E-D9E356620754}"/>
    <hyperlink ref="J63" r:id="rId22" xr:uid="{F6CFB7A9-DF5E-4370-96A0-26A074C0652E}"/>
    <hyperlink ref="A53" r:id="rId23" xr:uid="{1F01EB31-0076-47DE-A3ED-397DC6024BBB}"/>
    <hyperlink ref="J73" r:id="rId24" xr:uid="{03F53DBD-FF0E-43FF-AB3F-E4D30F6C59AF}"/>
    <hyperlink ref="J82" r:id="rId25" xr:uid="{97BFCA59-C9C1-45C9-A983-CBA1F0E04E95}"/>
    <hyperlink ref="A74" r:id="rId26" xr:uid="{9F05EAC8-BCA0-4A0B-911B-B02019401CB4}"/>
    <hyperlink ref="A64" r:id="rId27" xr:uid="{5A72D477-4AEA-403D-9F42-323A5DDA396B}"/>
    <hyperlink ref="F43" r:id="rId28" xr:uid="{9B8B47BB-55EA-4D3E-B91A-1706903A535A}"/>
    <hyperlink ref="G43" r:id="rId29" xr:uid="{949E3BDB-3C6E-4E10-901C-08768AF78417}"/>
    <hyperlink ref="J51" r:id="rId30" xr:uid="{45DAE054-3355-40F3-97C4-71E88394A7C5}"/>
    <hyperlink ref="F33" r:id="rId31" xr:uid="{748C2648-8442-4731-8B6A-598D52C64D67}"/>
    <hyperlink ref="G33" r:id="rId32" xr:uid="{F9FC6937-1F8C-443D-988A-E00E375B7F50}"/>
    <hyperlink ref="J40" r:id="rId33" xr:uid="{33B7161D-10A7-408F-866D-0C601B0C4DF9}"/>
    <hyperlink ref="I52" r:id="rId34" xr:uid="{80AB75B2-E496-4F1F-9B73-405C56FA5E7A}"/>
    <hyperlink ref="I42" r:id="rId35" xr:uid="{99A25F97-F409-4261-B385-78959E9D9B1E}"/>
    <hyperlink ref="I32" r:id="rId36" xr:uid="{496FAD4C-0A7B-4D30-AB89-2979EAF7CF31}"/>
    <hyperlink ref="I22" r:id="rId37" xr:uid="{31B8FAC7-9023-4004-BD70-94C3060896C4}"/>
    <hyperlink ref="I12" r:id="rId38" xr:uid="{134439CE-BC88-4926-B94E-502849537A7D}"/>
    <hyperlink ref="E74" r:id="rId39" xr:uid="{C5268681-A1CB-47C3-9DE5-61B1A2A56DF5}"/>
    <hyperlink ref="E64" r:id="rId40" xr:uid="{9C28B0C9-F95D-45EB-909F-2756F812B0A2}"/>
    <hyperlink ref="E54" r:id="rId41" xr:uid="{02879E02-AC6D-4B7D-89D6-979084C5153F}"/>
    <hyperlink ref="E53" r:id="rId42" xr:uid="{9E6396D3-F570-4BD8-B5C0-5F98235837CA}"/>
    <hyperlink ref="E33" r:id="rId43" xr:uid="{C357110D-9CAF-483E-911A-82D227CEB252}"/>
    <hyperlink ref="E43" r:id="rId44" xr:uid="{E6E4E41A-2EA6-44B2-814A-0B4EBE2D7D8D}"/>
    <hyperlink ref="E23" r:id="rId45" xr:uid="{FC134878-3902-418C-8E7C-BB8A53FE2318}"/>
    <hyperlink ref="E13" r:id="rId46" xr:uid="{A5A540B5-25EC-45EF-8D30-1A89D161D5DE}"/>
    <hyperlink ref="E3" r:id="rId47" xr:uid="{461A59C3-53C3-4F86-BA42-114B674B4664}"/>
    <hyperlink ref="I93" r:id="rId48" xr:uid="{DB851741-83A5-461A-9D58-6D9AF7CEDC0C}"/>
    <hyperlink ref="F84" r:id="rId49" xr:uid="{F94B8EC9-7D45-4D56-A684-00FA4B7E43E1}"/>
    <hyperlink ref="G84" r:id="rId50" xr:uid="{F80EE31D-DFB6-4628-8FD5-D5ACD486BF79}"/>
    <hyperlink ref="A84" r:id="rId51" xr:uid="{C5A92B92-067E-4416-A730-941A1B14B2C0}"/>
    <hyperlink ref="E84" r:id="rId52" xr:uid="{BE28C60F-904A-40D1-B148-29B5CBA5B343}"/>
    <hyperlink ref="J93" r:id="rId53" xr:uid="{F6B375A0-58F1-46EE-ABD6-ACF066182E14}"/>
    <hyperlink ref="I113" r:id="rId54" xr:uid="{48AE142B-DB63-4157-B466-270DAB64E8D4}"/>
    <hyperlink ref="F104" r:id="rId55" xr:uid="{3306483C-B38B-452E-A363-01AB9942939C}"/>
    <hyperlink ref="G104" r:id="rId56" xr:uid="{C9AE9878-853B-44CA-BA5B-71F235270AF8}"/>
    <hyperlink ref="A104" r:id="rId57" display="Sophie Hooker" xr:uid="{CE4C0A3C-17AF-4B00-AD26-A2655200647A}"/>
    <hyperlink ref="E104" r:id="rId58" xr:uid="{1A9F926D-38ED-4EC9-B1D0-B64650F0C51E}"/>
    <hyperlink ref="J111" r:id="rId59" xr:uid="{36841844-C1D8-47ED-B6B0-FE3C69063645}"/>
    <hyperlink ref="I123" r:id="rId60" xr:uid="{E9B3408A-80DB-4D0B-8BF8-67AFF6F4E97F}"/>
    <hyperlink ref="F114" r:id="rId61" xr:uid="{937F63F8-2D14-4EF5-ACA8-06CF6CB73A0F}"/>
    <hyperlink ref="G114" r:id="rId62" xr:uid="{4DCE27B1-F433-4E92-92BF-641B2E0D3D27}"/>
    <hyperlink ref="A114" r:id="rId63" xr:uid="{A1F0672B-0FF3-4B38-A472-FE502ED55C1E}"/>
    <hyperlink ref="E114" r:id="rId64" xr:uid="{AB1C73E6-2C03-49BB-B448-824A00A88EDB}"/>
    <hyperlink ref="J122" r:id="rId65" xr:uid="{820FA507-E53D-4D6A-8E7A-30326BC16F83}"/>
    <hyperlink ref="I103" r:id="rId66" xr:uid="{77999E4B-7790-4DB1-A104-9CED2F2E395C}"/>
    <hyperlink ref="F94" r:id="rId67" xr:uid="{C38AB698-77A7-44EB-96AE-F9293DF9C4CF}"/>
    <hyperlink ref="G94" r:id="rId68" xr:uid="{33E4CC9B-E26A-462E-80A6-D4A85233CD5D}"/>
    <hyperlink ref="E94" r:id="rId69" xr:uid="{25AEB2C3-358E-45C9-B4E7-86A9F4CB20AC}"/>
    <hyperlink ref="J103" r:id="rId70" xr:uid="{FB1E58DE-7F58-466A-9629-03E3DCBEEDDB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F157-502A-49EB-BE74-2957D6A7D0C0}">
  <sheetPr codeName="Sheet15">
    <tabColor theme="2" tint="-0.499984740745262"/>
  </sheetPr>
  <dimension ref="A1:J17"/>
  <sheetViews>
    <sheetView workbookViewId="0">
      <selection activeCell="A11" sqref="A11"/>
    </sheetView>
  </sheetViews>
  <sheetFormatPr defaultRowHeight="14.5" x14ac:dyDescent="0.35"/>
  <cols>
    <col min="1" max="1" width="13.26953125" customWidth="1"/>
    <col min="2" max="2" width="12.54296875" customWidth="1"/>
    <col min="3" max="3" width="22.90625" customWidth="1"/>
    <col min="4" max="4" width="18.7265625" customWidth="1"/>
    <col min="5" max="5" width="11" customWidth="1"/>
    <col min="6" max="6" width="21" customWidth="1"/>
    <col min="7" max="7" width="23.36328125" customWidth="1"/>
    <col min="8" max="8" width="21.36328125" customWidth="1"/>
    <col min="9" max="9" width="22.7265625" customWidth="1"/>
    <col min="10" max="10" width="19.7265625" customWidth="1"/>
  </cols>
  <sheetData>
    <row r="1" spans="1:10" x14ac:dyDescent="0.35">
      <c r="A1" s="34" t="s">
        <v>3196</v>
      </c>
      <c r="B1" s="16">
        <f>COUNTIF(I2:I1056,C1)+COUNTIF(I2:I1056,D1)</f>
        <v>2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2677</v>
      </c>
      <c r="B3" t="s">
        <v>3</v>
      </c>
      <c r="C3" t="s">
        <v>43</v>
      </c>
      <c r="D3" t="s">
        <v>55</v>
      </c>
      <c r="E3" s="34" t="s">
        <v>89</v>
      </c>
      <c r="F3" s="33" t="s">
        <v>2678</v>
      </c>
      <c r="G3" s="33" t="s">
        <v>2684</v>
      </c>
      <c r="H3" t="s">
        <v>54</v>
      </c>
      <c r="I3" s="1" t="s">
        <v>1960</v>
      </c>
      <c r="J3" s="3" t="s">
        <v>2679</v>
      </c>
    </row>
    <row r="4" spans="1:10" x14ac:dyDescent="0.35">
      <c r="E4" s="17"/>
      <c r="I4" t="s">
        <v>34</v>
      </c>
      <c r="J4" t="s">
        <v>2679</v>
      </c>
    </row>
    <row r="5" spans="1:10" x14ac:dyDescent="0.35">
      <c r="I5" t="s">
        <v>35</v>
      </c>
      <c r="J5" t="s">
        <v>2680</v>
      </c>
    </row>
    <row r="6" spans="1:10" x14ac:dyDescent="0.35">
      <c r="I6" t="s">
        <v>36</v>
      </c>
      <c r="J6" t="s">
        <v>2681</v>
      </c>
    </row>
    <row r="7" spans="1:10" x14ac:dyDescent="0.35">
      <c r="I7" t="s">
        <v>16</v>
      </c>
      <c r="J7" t="s">
        <v>2682</v>
      </c>
    </row>
    <row r="8" spans="1:10" x14ac:dyDescent="0.35">
      <c r="I8" t="s">
        <v>17</v>
      </c>
      <c r="J8" t="s">
        <v>2683</v>
      </c>
    </row>
    <row r="9" spans="1:10" x14ac:dyDescent="0.35">
      <c r="I9" s="38" t="s">
        <v>18</v>
      </c>
      <c r="J9" s="36" t="s">
        <v>2677</v>
      </c>
    </row>
    <row r="10" spans="1:10" x14ac:dyDescent="0.35">
      <c r="A10" s="33" t="s">
        <v>3976</v>
      </c>
      <c r="B10" t="s">
        <v>3</v>
      </c>
      <c r="C10" t="s">
        <v>43</v>
      </c>
      <c r="D10" t="s">
        <v>429</v>
      </c>
      <c r="E10" s="34" t="s">
        <v>44</v>
      </c>
      <c r="F10" s="33" t="s">
        <v>2678</v>
      </c>
      <c r="G10" s="33" t="s">
        <v>2684</v>
      </c>
      <c r="H10" t="s">
        <v>54</v>
      </c>
      <c r="I10" s="1" t="s">
        <v>1960</v>
      </c>
      <c r="J10" s="3" t="s">
        <v>2679</v>
      </c>
    </row>
    <row r="11" spans="1:10" x14ac:dyDescent="0.35">
      <c r="E11" s="17"/>
      <c r="I11" t="s">
        <v>34</v>
      </c>
      <c r="J11" t="s">
        <v>2679</v>
      </c>
    </row>
    <row r="12" spans="1:10" x14ac:dyDescent="0.35">
      <c r="I12" t="s">
        <v>35</v>
      </c>
      <c r="J12" t="s">
        <v>2680</v>
      </c>
    </row>
    <row r="13" spans="1:10" x14ac:dyDescent="0.35">
      <c r="I13" t="s">
        <v>36</v>
      </c>
      <c r="J13" t="s">
        <v>2681</v>
      </c>
    </row>
    <row r="14" spans="1:10" x14ac:dyDescent="0.35">
      <c r="I14" t="s">
        <v>16</v>
      </c>
      <c r="J14" t="s">
        <v>2682</v>
      </c>
    </row>
    <row r="15" spans="1:10" x14ac:dyDescent="0.35">
      <c r="I15" t="s">
        <v>17</v>
      </c>
      <c r="J15" t="s">
        <v>2683</v>
      </c>
    </row>
    <row r="16" spans="1:10" x14ac:dyDescent="0.35">
      <c r="I16" s="38" t="s">
        <v>18</v>
      </c>
      <c r="J16" t="s">
        <v>2677</v>
      </c>
    </row>
    <row r="17" spans="10:10" x14ac:dyDescent="0.35">
      <c r="J17" s="36" t="s">
        <v>3976</v>
      </c>
    </row>
  </sheetData>
  <hyperlinks>
    <hyperlink ref="A1" location="Summary!A1" tooltip="Return to Totals" display="Back to Totals" xr:uid="{EDEB70BF-0287-42E8-B2C6-9302AC5250ED}"/>
    <hyperlink ref="I9" r:id="rId1" xr:uid="{0B33C1A5-76CC-47FB-956A-BB6CB443C555}"/>
    <hyperlink ref="F3" r:id="rId2" xr:uid="{DA2D9548-B3BB-4904-BB0F-061041B0669C}"/>
    <hyperlink ref="G3" r:id="rId3" xr:uid="{DAFF0AA8-5078-44F1-8011-DCDFB81F72F5}"/>
    <hyperlink ref="J9" r:id="rId4" xr:uid="{70D44898-F36C-476A-ACEC-F7EA573FA304}"/>
    <hyperlink ref="A3" r:id="rId5" xr:uid="{B0A63C55-9CFB-4C87-9C2D-72F77A4302B0}"/>
    <hyperlink ref="E3" r:id="rId6" xr:uid="{70F56460-9698-47E7-A4BD-F5E28426A277}"/>
    <hyperlink ref="I16" r:id="rId7" xr:uid="{2AFF9C1D-09A2-4894-A7B2-59C88FFB5E42}"/>
    <hyperlink ref="F10" r:id="rId8" xr:uid="{7EA4E9AF-974C-4E19-B0ED-D484F4377BEA}"/>
    <hyperlink ref="G10" r:id="rId9" xr:uid="{2B261684-89BA-466E-9D71-E775A0852797}"/>
    <hyperlink ref="A10" r:id="rId10" display="Martin David" xr:uid="{8FB3FC8B-D41A-485D-8EA6-5E29EE156316}"/>
    <hyperlink ref="E10" r:id="rId11" display="7cM" xr:uid="{E88D6AC8-1AA1-44CE-B260-3AB91089CF97}"/>
    <hyperlink ref="J17" r:id="rId12" xr:uid="{7D4DDD5C-315E-4DDE-816F-E95ED7DD78C9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B059F-A882-4A5F-B722-21F1BE4F4275}">
  <sheetPr codeName="Sheet16">
    <tabColor theme="6"/>
  </sheetPr>
  <dimension ref="A1:J12"/>
  <sheetViews>
    <sheetView topLeftCell="C1" workbookViewId="0">
      <selection activeCell="A3" sqref="A3"/>
    </sheetView>
  </sheetViews>
  <sheetFormatPr defaultRowHeight="14.5" x14ac:dyDescent="0.35"/>
  <cols>
    <col min="1" max="1" width="23.08984375" customWidth="1"/>
    <col min="2" max="2" width="11.81640625" customWidth="1"/>
    <col min="3" max="3" width="22.36328125" customWidth="1"/>
    <col min="4" max="4" width="19.54296875" customWidth="1"/>
    <col min="5" max="5" width="11.26953125" customWidth="1"/>
    <col min="6" max="6" width="26.6328125" customWidth="1"/>
    <col min="7" max="7" width="26" customWidth="1"/>
    <col min="8" max="8" width="25.1796875" customWidth="1"/>
    <col min="9" max="9" width="23.90625" customWidth="1"/>
    <col min="10" max="10" width="22.08984375" customWidth="1"/>
  </cols>
  <sheetData>
    <row r="1" spans="1:10" x14ac:dyDescent="0.35">
      <c r="A1" s="34" t="s">
        <v>3196</v>
      </c>
      <c r="B1" s="16">
        <f>COUNTIF(I2:I1067,C1)+COUNTIF(I2:I1067,D1)</f>
        <v>1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2425</v>
      </c>
      <c r="B3" t="s">
        <v>3</v>
      </c>
      <c r="C3" t="s">
        <v>43</v>
      </c>
      <c r="D3" t="s">
        <v>1739</v>
      </c>
      <c r="E3" s="34" t="s">
        <v>89</v>
      </c>
      <c r="F3" s="33" t="s">
        <v>2426</v>
      </c>
      <c r="G3" s="33" t="s">
        <v>2427</v>
      </c>
      <c r="H3" t="s">
        <v>1716</v>
      </c>
      <c r="I3" s="1" t="s">
        <v>2438</v>
      </c>
      <c r="J3" s="3" t="s">
        <v>2428</v>
      </c>
    </row>
    <row r="4" spans="1:10" x14ac:dyDescent="0.35">
      <c r="E4" s="17"/>
      <c r="I4" t="s">
        <v>2439</v>
      </c>
      <c r="J4" t="s">
        <v>2429</v>
      </c>
    </row>
    <row r="5" spans="1:10" x14ac:dyDescent="0.35">
      <c r="I5" t="s">
        <v>2440</v>
      </c>
      <c r="J5" t="s">
        <v>2430</v>
      </c>
    </row>
    <row r="6" spans="1:10" x14ac:dyDescent="0.35">
      <c r="I6" t="s">
        <v>493</v>
      </c>
      <c r="J6" t="s">
        <v>2431</v>
      </c>
    </row>
    <row r="7" spans="1:10" x14ac:dyDescent="0.35">
      <c r="I7" t="s">
        <v>57</v>
      </c>
      <c r="J7" t="s">
        <v>2432</v>
      </c>
    </row>
    <row r="8" spans="1:10" x14ac:dyDescent="0.35">
      <c r="I8" t="s">
        <v>63</v>
      </c>
      <c r="J8" t="s">
        <v>2433</v>
      </c>
    </row>
    <row r="9" spans="1:10" x14ac:dyDescent="0.35">
      <c r="I9" t="s">
        <v>36</v>
      </c>
      <c r="J9" t="s">
        <v>2434</v>
      </c>
    </row>
    <row r="10" spans="1:10" x14ac:dyDescent="0.35">
      <c r="I10" t="s">
        <v>16</v>
      </c>
      <c r="J10" t="s">
        <v>2435</v>
      </c>
    </row>
    <row r="11" spans="1:10" x14ac:dyDescent="0.35">
      <c r="I11" t="s">
        <v>17</v>
      </c>
      <c r="J11" t="s">
        <v>2436</v>
      </c>
    </row>
    <row r="12" spans="1:10" x14ac:dyDescent="0.35">
      <c r="I12" s="38" t="s">
        <v>18</v>
      </c>
      <c r="J12" s="36" t="s">
        <v>2437</v>
      </c>
    </row>
  </sheetData>
  <hyperlinks>
    <hyperlink ref="A1" location="Summary!A1" tooltip="Return to Totals" display="Back to Totals" xr:uid="{5986F307-8DA3-4521-8EFF-012ADEB845DF}"/>
    <hyperlink ref="I12" r:id="rId1" xr:uid="{5FD5A024-BC8E-4F4C-BE8B-5FD2A2BEF478}"/>
    <hyperlink ref="F3" r:id="rId2" xr:uid="{6DAD8752-CD0E-4BC0-A8E7-64029A312DC8}"/>
    <hyperlink ref="G3" r:id="rId3" xr:uid="{0658DA30-69CD-43D0-A84D-B35E1AEF49B6}"/>
    <hyperlink ref="J12" r:id="rId4" xr:uid="{736ADAE2-CD99-4B08-8386-29255AA432A3}"/>
    <hyperlink ref="A3" r:id="rId5" xr:uid="{1C54CAAC-DDA4-4742-B124-8106681AF63E}"/>
    <hyperlink ref="E3" r:id="rId6" xr:uid="{9422E57A-B500-4960-8DCD-97D6431F4BB6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7">
    <tabColor theme="2" tint="-0.499984740745262"/>
  </sheetPr>
  <dimension ref="A1:J46"/>
  <sheetViews>
    <sheetView topLeftCell="A13" workbookViewId="0">
      <selection activeCell="E16" sqref="E16"/>
    </sheetView>
  </sheetViews>
  <sheetFormatPr defaultRowHeight="14.5" x14ac:dyDescent="0.35"/>
  <cols>
    <col min="1" max="1" width="18.1796875" customWidth="1"/>
    <col min="2" max="2" width="12.54296875" customWidth="1"/>
    <col min="3" max="3" width="23.81640625" customWidth="1"/>
    <col min="4" max="4" width="19.7265625" customWidth="1"/>
    <col min="5" max="5" width="13.54296875" customWidth="1"/>
    <col min="6" max="6" width="23.81640625" customWidth="1"/>
    <col min="7" max="7" width="26.26953125" customWidth="1"/>
    <col min="8" max="8" width="25.453125" customWidth="1"/>
    <col min="9" max="9" width="20.26953125" customWidth="1"/>
    <col min="10" max="10" width="18.54296875" customWidth="1"/>
  </cols>
  <sheetData>
    <row r="1" spans="1:10" x14ac:dyDescent="0.35">
      <c r="A1" s="34" t="s">
        <v>3196</v>
      </c>
      <c r="B1" s="16">
        <f>COUNTIF(I2:I1079,C1)+COUNTIF(I2:I1079,D1)</f>
        <v>7</v>
      </c>
      <c r="C1" s="9" t="s">
        <v>18</v>
      </c>
      <c r="D1" s="17" t="s">
        <v>1249</v>
      </c>
    </row>
    <row r="2" spans="1:10" s="11" customFormat="1" x14ac:dyDescent="0.35">
      <c r="A2" s="70" t="s">
        <v>0</v>
      </c>
      <c r="B2" s="11" t="s">
        <v>2</v>
      </c>
      <c r="C2" s="11" t="s">
        <v>4</v>
      </c>
      <c r="D2" s="11" t="s">
        <v>5</v>
      </c>
      <c r="E2" s="11" t="s">
        <v>7</v>
      </c>
      <c r="F2" s="11" t="s">
        <v>10</v>
      </c>
      <c r="G2" s="11" t="s">
        <v>11</v>
      </c>
      <c r="H2" s="11" t="s">
        <v>23</v>
      </c>
      <c r="I2" s="11" t="s">
        <v>15</v>
      </c>
      <c r="J2" s="11" t="s">
        <v>14</v>
      </c>
    </row>
    <row r="3" spans="1:10" x14ac:dyDescent="0.35">
      <c r="A3" s="33" t="s">
        <v>1547</v>
      </c>
      <c r="B3" t="s">
        <v>3</v>
      </c>
      <c r="C3" t="s">
        <v>25</v>
      </c>
      <c r="D3" t="s">
        <v>184</v>
      </c>
      <c r="E3" s="40" t="s">
        <v>585</v>
      </c>
      <c r="F3" s="33" t="s">
        <v>1529</v>
      </c>
      <c r="G3" s="33" t="s">
        <v>1530</v>
      </c>
      <c r="H3" t="s">
        <v>130</v>
      </c>
      <c r="I3" s="1" t="s">
        <v>1516</v>
      </c>
      <c r="J3" s="3" t="s">
        <v>1531</v>
      </c>
    </row>
    <row r="4" spans="1:10" x14ac:dyDescent="0.35">
      <c r="E4" s="15"/>
      <c r="I4" t="s">
        <v>1515</v>
      </c>
      <c r="J4" t="s">
        <v>1548</v>
      </c>
    </row>
    <row r="5" spans="1:10" x14ac:dyDescent="0.35">
      <c r="I5" t="s">
        <v>1554</v>
      </c>
      <c r="J5" t="s">
        <v>1549</v>
      </c>
    </row>
    <row r="6" spans="1:10" x14ac:dyDescent="0.35">
      <c r="I6" t="s">
        <v>1555</v>
      </c>
      <c r="J6" t="s">
        <v>1550</v>
      </c>
    </row>
    <row r="7" spans="1:10" x14ac:dyDescent="0.35">
      <c r="I7" t="s">
        <v>104</v>
      </c>
      <c r="J7" t="s">
        <v>1551</v>
      </c>
    </row>
    <row r="8" spans="1:10" x14ac:dyDescent="0.35">
      <c r="I8" s="38" t="s">
        <v>1249</v>
      </c>
      <c r="J8" s="36" t="s">
        <v>1547</v>
      </c>
    </row>
    <row r="9" spans="1:10" x14ac:dyDescent="0.35">
      <c r="A9" s="33" t="s">
        <v>1706</v>
      </c>
      <c r="B9" t="s">
        <v>3</v>
      </c>
      <c r="C9" t="s">
        <v>25</v>
      </c>
      <c r="D9" t="s">
        <v>159</v>
      </c>
      <c r="E9" s="40" t="s">
        <v>32</v>
      </c>
      <c r="F9" s="33" t="s">
        <v>1529</v>
      </c>
      <c r="G9" s="33" t="s">
        <v>1530</v>
      </c>
      <c r="H9" t="s">
        <v>130</v>
      </c>
      <c r="I9" s="1" t="s">
        <v>1516</v>
      </c>
      <c r="J9" s="3" t="s">
        <v>1531</v>
      </c>
    </row>
    <row r="10" spans="1:10" x14ac:dyDescent="0.35">
      <c r="E10" s="15"/>
      <c r="I10" t="s">
        <v>1515</v>
      </c>
      <c r="J10" t="s">
        <v>1548</v>
      </c>
    </row>
    <row r="11" spans="1:10" x14ac:dyDescent="0.35">
      <c r="I11" t="s">
        <v>1554</v>
      </c>
      <c r="J11" t="s">
        <v>1549</v>
      </c>
    </row>
    <row r="12" spans="1:10" x14ac:dyDescent="0.35">
      <c r="I12" t="s">
        <v>1555</v>
      </c>
      <c r="J12" t="s">
        <v>1550</v>
      </c>
    </row>
    <row r="13" spans="1:10" x14ac:dyDescent="0.35">
      <c r="I13" t="s">
        <v>104</v>
      </c>
      <c r="J13" s="36" t="s">
        <v>1551</v>
      </c>
    </row>
    <row r="14" spans="1:10" x14ac:dyDescent="0.35">
      <c r="I14" s="38" t="s">
        <v>1249</v>
      </c>
    </row>
    <row r="15" spans="1:10" x14ac:dyDescent="0.35">
      <c r="A15" s="33" t="s">
        <v>4389</v>
      </c>
      <c r="B15" t="s">
        <v>3</v>
      </c>
      <c r="C15" t="s">
        <v>25</v>
      </c>
      <c r="D15" t="s">
        <v>184</v>
      </c>
      <c r="E15" s="40" t="s">
        <v>340</v>
      </c>
      <c r="F15" s="33" t="s">
        <v>1529</v>
      </c>
      <c r="G15" s="33" t="s">
        <v>1530</v>
      </c>
      <c r="H15" t="s">
        <v>130</v>
      </c>
      <c r="I15" s="1" t="s">
        <v>1516</v>
      </c>
      <c r="J15" s="3" t="s">
        <v>1531</v>
      </c>
    </row>
    <row r="16" spans="1:10" x14ac:dyDescent="0.35">
      <c r="E16" s="34" t="s">
        <v>156</v>
      </c>
      <c r="I16" t="s">
        <v>1515</v>
      </c>
      <c r="J16" t="s">
        <v>1532</v>
      </c>
    </row>
    <row r="17" spans="1:10" x14ac:dyDescent="0.35">
      <c r="I17" t="s">
        <v>1554</v>
      </c>
      <c r="J17" t="s">
        <v>1533</v>
      </c>
    </row>
    <row r="18" spans="1:10" x14ac:dyDescent="0.35">
      <c r="I18" t="s">
        <v>1555</v>
      </c>
      <c r="J18" t="s">
        <v>4369</v>
      </c>
    </row>
    <row r="19" spans="1:10" x14ac:dyDescent="0.35">
      <c r="I19" t="s">
        <v>104</v>
      </c>
      <c r="J19" t="s">
        <v>4370</v>
      </c>
    </row>
    <row r="20" spans="1:10" x14ac:dyDescent="0.35">
      <c r="I20" s="38" t="s">
        <v>1249</v>
      </c>
      <c r="J20" s="36" t="s">
        <v>4371</v>
      </c>
    </row>
    <row r="21" spans="1:10" x14ac:dyDescent="0.35">
      <c r="A21" s="33" t="s">
        <v>2498</v>
      </c>
      <c r="B21" s="7" t="s">
        <v>315</v>
      </c>
      <c r="C21" t="s">
        <v>25</v>
      </c>
      <c r="D21" t="s">
        <v>184</v>
      </c>
      <c r="E21" s="40" t="s">
        <v>363</v>
      </c>
      <c r="F21" s="33" t="s">
        <v>1529</v>
      </c>
      <c r="G21" s="33" t="s">
        <v>1530</v>
      </c>
      <c r="H21" t="s">
        <v>130</v>
      </c>
      <c r="I21" s="1" t="s">
        <v>1516</v>
      </c>
      <c r="J21" s="3" t="s">
        <v>1531</v>
      </c>
    </row>
    <row r="22" spans="1:10" x14ac:dyDescent="0.35">
      <c r="E22" s="15"/>
      <c r="I22" t="s">
        <v>1515</v>
      </c>
      <c r="J22" t="s">
        <v>2499</v>
      </c>
    </row>
    <row r="23" spans="1:10" x14ac:dyDescent="0.35">
      <c r="I23" t="s">
        <v>1554</v>
      </c>
      <c r="J23" t="s">
        <v>2500</v>
      </c>
    </row>
    <row r="24" spans="1:10" x14ac:dyDescent="0.35">
      <c r="I24" t="s">
        <v>1555</v>
      </c>
      <c r="J24" t="s">
        <v>2501</v>
      </c>
    </row>
    <row r="25" spans="1:10" x14ac:dyDescent="0.35">
      <c r="I25" t="s">
        <v>104</v>
      </c>
      <c r="J25" t="s">
        <v>2502</v>
      </c>
    </row>
    <row r="26" spans="1:10" x14ac:dyDescent="0.35">
      <c r="I26" s="38" t="s">
        <v>1249</v>
      </c>
      <c r="J26" s="36" t="s">
        <v>2503</v>
      </c>
    </row>
    <row r="27" spans="1:10" x14ac:dyDescent="0.35">
      <c r="A27" s="33" t="s">
        <v>1563</v>
      </c>
      <c r="B27" t="s">
        <v>3</v>
      </c>
      <c r="C27" t="s">
        <v>1528</v>
      </c>
      <c r="D27" t="s">
        <v>64</v>
      </c>
      <c r="E27" s="40" t="s">
        <v>216</v>
      </c>
      <c r="F27" s="33" t="s">
        <v>1529</v>
      </c>
      <c r="G27" s="33" t="s">
        <v>1530</v>
      </c>
      <c r="H27" t="s">
        <v>130</v>
      </c>
      <c r="I27" s="1" t="s">
        <v>1516</v>
      </c>
      <c r="J27" s="3" t="s">
        <v>1531</v>
      </c>
    </row>
    <row r="28" spans="1:10" x14ac:dyDescent="0.35">
      <c r="E28" s="34" t="s">
        <v>89</v>
      </c>
      <c r="I28" t="s">
        <v>1515</v>
      </c>
      <c r="J28" t="s">
        <v>1532</v>
      </c>
    </row>
    <row r="29" spans="1:10" x14ac:dyDescent="0.35">
      <c r="I29" t="s">
        <v>1554</v>
      </c>
      <c r="J29" t="s">
        <v>1533</v>
      </c>
    </row>
    <row r="30" spans="1:10" x14ac:dyDescent="0.35">
      <c r="I30" t="s">
        <v>1555</v>
      </c>
      <c r="J30" t="s">
        <v>1564</v>
      </c>
    </row>
    <row r="31" spans="1:10" x14ac:dyDescent="0.35">
      <c r="I31" t="s">
        <v>104</v>
      </c>
      <c r="J31" t="s">
        <v>1565</v>
      </c>
    </row>
    <row r="32" spans="1:10" x14ac:dyDescent="0.35">
      <c r="I32" s="38" t="s">
        <v>18</v>
      </c>
      <c r="J32" t="s">
        <v>1566</v>
      </c>
    </row>
    <row r="33" spans="1:10" x14ac:dyDescent="0.35">
      <c r="J33" s="36" t="s">
        <v>1563</v>
      </c>
    </row>
    <row r="34" spans="1:10" x14ac:dyDescent="0.35">
      <c r="A34" s="33" t="s">
        <v>4270</v>
      </c>
      <c r="B34" t="s">
        <v>3</v>
      </c>
      <c r="C34" t="s">
        <v>1528</v>
      </c>
      <c r="D34" t="s">
        <v>184</v>
      </c>
      <c r="E34" s="34" t="s">
        <v>72</v>
      </c>
      <c r="F34" s="33" t="s">
        <v>1529</v>
      </c>
      <c r="G34" s="33" t="s">
        <v>4263</v>
      </c>
      <c r="H34" t="s">
        <v>130</v>
      </c>
      <c r="I34" s="1" t="s">
        <v>1516</v>
      </c>
      <c r="J34" s="3" t="s">
        <v>4264</v>
      </c>
    </row>
    <row r="35" spans="1:10" x14ac:dyDescent="0.35">
      <c r="E35" s="40"/>
      <c r="I35" t="s">
        <v>1515</v>
      </c>
      <c r="J35" t="s">
        <v>4265</v>
      </c>
    </row>
    <row r="36" spans="1:10" x14ac:dyDescent="0.35">
      <c r="I36" t="s">
        <v>1554</v>
      </c>
      <c r="J36" t="s">
        <v>4266</v>
      </c>
    </row>
    <row r="37" spans="1:10" x14ac:dyDescent="0.35">
      <c r="I37" t="s">
        <v>1555</v>
      </c>
      <c r="J37" t="s">
        <v>4267</v>
      </c>
    </row>
    <row r="38" spans="1:10" x14ac:dyDescent="0.35">
      <c r="I38" t="s">
        <v>104</v>
      </c>
      <c r="J38" t="s">
        <v>4268</v>
      </c>
    </row>
    <row r="39" spans="1:10" x14ac:dyDescent="0.35">
      <c r="I39" s="38" t="s">
        <v>18</v>
      </c>
      <c r="J39" s="36" t="s">
        <v>4269</v>
      </c>
    </row>
    <row r="40" spans="1:10" x14ac:dyDescent="0.35">
      <c r="A40" s="33" t="s">
        <v>1527</v>
      </c>
      <c r="B40" t="s">
        <v>3</v>
      </c>
      <c r="C40" t="s">
        <v>1528</v>
      </c>
      <c r="D40" t="s">
        <v>64</v>
      </c>
      <c r="E40" s="34" t="s">
        <v>89</v>
      </c>
      <c r="F40" s="33" t="s">
        <v>1529</v>
      </c>
      <c r="G40" s="33" t="s">
        <v>1530</v>
      </c>
      <c r="H40" t="s">
        <v>130</v>
      </c>
      <c r="I40" s="1" t="s">
        <v>1516</v>
      </c>
      <c r="J40" s="3" t="s">
        <v>1531</v>
      </c>
    </row>
    <row r="41" spans="1:10" x14ac:dyDescent="0.35">
      <c r="E41" s="17"/>
      <c r="I41" t="s">
        <v>1515</v>
      </c>
      <c r="J41" t="s">
        <v>1532</v>
      </c>
    </row>
    <row r="42" spans="1:10" x14ac:dyDescent="0.35">
      <c r="I42" t="s">
        <v>1554</v>
      </c>
      <c r="J42" t="s">
        <v>1533</v>
      </c>
    </row>
    <row r="43" spans="1:10" x14ac:dyDescent="0.35">
      <c r="I43" t="s">
        <v>1555</v>
      </c>
      <c r="J43" t="s">
        <v>1534</v>
      </c>
    </row>
    <row r="44" spans="1:10" x14ac:dyDescent="0.35">
      <c r="I44" t="s">
        <v>104</v>
      </c>
      <c r="J44" t="s">
        <v>1535</v>
      </c>
    </row>
    <row r="45" spans="1:10" x14ac:dyDescent="0.35">
      <c r="I45" s="38" t="s">
        <v>18</v>
      </c>
      <c r="J45" t="s">
        <v>1536</v>
      </c>
    </row>
    <row r="46" spans="1:10" x14ac:dyDescent="0.35">
      <c r="J46" s="36" t="s">
        <v>1527</v>
      </c>
    </row>
  </sheetData>
  <autoFilter ref="E1:E46" xr:uid="{00000000-0001-0000-0700-000000000000}"/>
  <hyperlinks>
    <hyperlink ref="A1" location="'Totals'!$B$17" tooltip="Return to Totals" display="'Totals'!$B$17" xr:uid="{67474B3D-E27A-4540-A948-950F2FC1D1BE}"/>
    <hyperlink ref="I32" r:id="rId1" xr:uid="{0FA655E1-30D7-4E5A-9AEC-B2F492CE9A52}"/>
    <hyperlink ref="I45" r:id="rId2" xr:uid="{5A6A6488-21B7-4696-9F4B-D9CB1FFB5394}"/>
    <hyperlink ref="I8" r:id="rId3" xr:uid="{86FC3019-7B27-4BF2-8EE9-E0E6376955CF}"/>
    <hyperlink ref="I14" r:id="rId4" xr:uid="{BA23AD78-1B51-4E86-B251-9C1519980B39}"/>
    <hyperlink ref="I26" r:id="rId5" xr:uid="{CC7A4E42-E449-4018-819D-1CEC26C21C72}"/>
    <hyperlink ref="F3" r:id="rId6" xr:uid="{100E4CFD-E4B0-4A53-8E35-E29AD1055A07}"/>
    <hyperlink ref="F9" r:id="rId7" xr:uid="{DF5890E8-CCA7-478D-83CE-454561B8DD1C}"/>
    <hyperlink ref="F21" r:id="rId8" xr:uid="{1B6A3ED9-22BD-4617-A078-7E3564DDDF67}"/>
    <hyperlink ref="F27" r:id="rId9" xr:uid="{36BD8847-57C1-4833-88D0-98A65011E3EB}"/>
    <hyperlink ref="F40" r:id="rId10" xr:uid="{C1921D84-0B6C-4125-AA4B-BB427D19BEDE}"/>
    <hyperlink ref="G40" r:id="rId11" xr:uid="{53D53E23-E352-489A-8C54-722B2B01238C}"/>
    <hyperlink ref="G27" r:id="rId12" xr:uid="{68B3B8A2-1AB5-4516-83CB-D47DD1584518}"/>
    <hyperlink ref="G21" r:id="rId13" xr:uid="{B44AA0AE-52A7-4DEA-ABAA-EDA47989B99F}"/>
    <hyperlink ref="G9" r:id="rId14" xr:uid="{26A98BE3-AAA1-44C7-84E0-17B88450D657}"/>
    <hyperlink ref="G3" r:id="rId15" xr:uid="{5D32D9BE-7DF5-4EC1-8E67-3871867BDF09}"/>
    <hyperlink ref="J8" r:id="rId16" xr:uid="{CE074004-7E15-484A-A2EE-798ED52FFAC3}"/>
    <hyperlink ref="A3" r:id="rId17" xr:uid="{4233F0A6-CEBF-4FE6-84DF-BF48E8E33F47}"/>
    <hyperlink ref="J13" r:id="rId18" xr:uid="{0A475DE3-9FDA-4ABD-952F-F49E249016D5}"/>
    <hyperlink ref="A9" r:id="rId19" xr:uid="{C85751C5-5A4E-4B48-A8A2-103C1DF2A604}"/>
    <hyperlink ref="J26" r:id="rId20" xr:uid="{8C40AB46-4AC5-495C-8A6B-A2984FFC6BED}"/>
    <hyperlink ref="A21" r:id="rId21" xr:uid="{267D0C54-4DEE-4180-8C34-854858C546ED}"/>
    <hyperlink ref="J33" r:id="rId22" xr:uid="{DADC1B36-FBBD-4E33-85B1-6B353B38C650}"/>
    <hyperlink ref="A27" r:id="rId23" xr:uid="{38DF3DBB-E51A-49DF-833F-27AC29E1D697}"/>
    <hyperlink ref="J46" r:id="rId24" display="Elizabeth Tucker" xr:uid="{5B52EFFF-E563-4B59-B93E-5C97A9545367}"/>
    <hyperlink ref="A40" r:id="rId25" xr:uid="{D0A0A196-09AF-497A-B9DF-F7F6AB445F7E}"/>
    <hyperlink ref="A1:A2" location="Summary!A1" tooltip="Return to Totals" display="Back to Totals" xr:uid="{4367609D-D6AF-46F1-947F-B89EC31E415B}"/>
    <hyperlink ref="E40" r:id="rId26" xr:uid="{580336D3-249A-4437-8AAF-3D5D6F35696F}"/>
    <hyperlink ref="E28" r:id="rId27" xr:uid="{8864F97D-3E90-49BB-8D6A-C3CA6ADC7CE5}"/>
    <hyperlink ref="E27" r:id="rId28" xr:uid="{3F471E22-F594-45BC-B935-D87B4C59D3D6}"/>
    <hyperlink ref="E21" r:id="rId29" xr:uid="{57570036-2B99-4EDD-A92E-0C4CB87661D8}"/>
    <hyperlink ref="E9" r:id="rId30" xr:uid="{E8A0A082-7630-467D-AF69-A395FD6DB1CD}"/>
    <hyperlink ref="E3" r:id="rId31" xr:uid="{7346AD6F-E32E-496D-9FB6-554BB9403B1A}"/>
    <hyperlink ref="I39" r:id="rId32" xr:uid="{16C60825-BCAE-442E-AF98-DE910B1F68C2}"/>
    <hyperlink ref="G34" r:id="rId33" xr:uid="{B078C2D7-6533-49B3-8326-C6DFECF015F4}"/>
    <hyperlink ref="A34" r:id="rId34" xr:uid="{31023C39-F17D-42B2-9EFF-ADE08BD456B4}"/>
    <hyperlink ref="E34" r:id="rId35" xr:uid="{BEA38BB8-D1B6-4DC3-9AD9-6B577156AFBC}"/>
    <hyperlink ref="F34" r:id="rId36" xr:uid="{6CEDFD66-3D26-423E-813E-3B2F025F96FD}"/>
    <hyperlink ref="J39" r:id="rId37" xr:uid="{DCBFEDE0-1649-4906-AC63-D00766E32062}"/>
    <hyperlink ref="I20" r:id="rId38" xr:uid="{CB5D357F-703C-4D03-ACCF-D025510097FF}"/>
    <hyperlink ref="F15" r:id="rId39" xr:uid="{AD23E84A-F533-4FC0-8CCA-A896DCD508C1}"/>
    <hyperlink ref="G15" r:id="rId40" xr:uid="{531E5C78-7D89-4844-A7FA-901388BA2F04}"/>
    <hyperlink ref="E15" r:id="rId41" xr:uid="{6CE45609-CEA1-4954-80A3-2E00D29ED683}"/>
    <hyperlink ref="J20" r:id="rId42" xr:uid="{099F3828-33C6-4F29-AE69-DD1AB9997116}"/>
    <hyperlink ref="A15" r:id="rId43" xr:uid="{22CFB900-CC72-4E75-9978-DB2F40C77D1A}"/>
    <hyperlink ref="E16" r:id="rId44" xr:uid="{14CFB8E9-2CCE-4842-9DCA-F04833DF7D36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8">
    <tabColor rgb="FFFFFF00"/>
  </sheetPr>
  <dimension ref="A1:J80"/>
  <sheetViews>
    <sheetView workbookViewId="0"/>
  </sheetViews>
  <sheetFormatPr defaultRowHeight="14.5" x14ac:dyDescent="0.35"/>
  <cols>
    <col min="1" max="1" width="17.453125" customWidth="1"/>
    <col min="2" max="2" width="16.36328125" customWidth="1"/>
    <col min="3" max="3" width="24.453125" customWidth="1"/>
    <col min="4" max="4" width="18.26953125" customWidth="1"/>
    <col min="5" max="5" width="11.26953125" customWidth="1"/>
    <col min="6" max="6" width="26.26953125" customWidth="1"/>
    <col min="7" max="8" width="24.453125" customWidth="1"/>
    <col min="9" max="9" width="22.453125" customWidth="1"/>
    <col min="10" max="10" width="20.7265625" customWidth="1"/>
  </cols>
  <sheetData>
    <row r="1" spans="1:10" x14ac:dyDescent="0.35">
      <c r="A1" s="34" t="s">
        <v>3196</v>
      </c>
      <c r="B1" s="16">
        <f>COUNTIF(I2:I1099,C1)+COUNTIF(I2:I1099,D1)</f>
        <v>10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2709</v>
      </c>
      <c r="B3" t="s">
        <v>3</v>
      </c>
      <c r="C3" t="s">
        <v>25</v>
      </c>
      <c r="D3" t="s">
        <v>429</v>
      </c>
      <c r="E3" s="34" t="s">
        <v>1228</v>
      </c>
      <c r="F3" s="33" t="s">
        <v>743</v>
      </c>
      <c r="G3" s="33" t="s">
        <v>744</v>
      </c>
      <c r="H3" t="s">
        <v>54</v>
      </c>
      <c r="I3" s="1" t="s">
        <v>745</v>
      </c>
      <c r="J3" s="3" t="s">
        <v>742</v>
      </c>
    </row>
    <row r="4" spans="1:10" x14ac:dyDescent="0.35">
      <c r="B4" s="1" t="s">
        <v>315</v>
      </c>
      <c r="E4" s="17"/>
      <c r="I4" t="s">
        <v>284</v>
      </c>
      <c r="J4" t="s">
        <v>2710</v>
      </c>
    </row>
    <row r="5" spans="1:10" x14ac:dyDescent="0.35">
      <c r="I5" t="s">
        <v>285</v>
      </c>
      <c r="J5" t="s">
        <v>741</v>
      </c>
    </row>
    <row r="6" spans="1:10" x14ac:dyDescent="0.35">
      <c r="I6" t="s">
        <v>97</v>
      </c>
      <c r="J6" t="s">
        <v>2711</v>
      </c>
    </row>
    <row r="7" spans="1:10" x14ac:dyDescent="0.35">
      <c r="I7" t="s">
        <v>100</v>
      </c>
      <c r="J7" t="s">
        <v>2712</v>
      </c>
    </row>
    <row r="8" spans="1:10" x14ac:dyDescent="0.35">
      <c r="I8" t="s">
        <v>104</v>
      </c>
      <c r="J8" t="s">
        <v>2713</v>
      </c>
    </row>
    <row r="9" spans="1:10" x14ac:dyDescent="0.35">
      <c r="I9" s="38" t="s">
        <v>18</v>
      </c>
      <c r="J9" t="s">
        <v>2714</v>
      </c>
    </row>
    <row r="10" spans="1:10" x14ac:dyDescent="0.35">
      <c r="J10" s="36" t="s">
        <v>2715</v>
      </c>
    </row>
    <row r="11" spans="1:10" x14ac:dyDescent="0.35">
      <c r="A11" s="33" t="s">
        <v>3742</v>
      </c>
      <c r="B11" s="1" t="s">
        <v>315</v>
      </c>
      <c r="C11" t="s">
        <v>25</v>
      </c>
      <c r="D11" t="s">
        <v>429</v>
      </c>
      <c r="E11" s="34" t="s">
        <v>3741</v>
      </c>
      <c r="F11" s="33" t="s">
        <v>743</v>
      </c>
      <c r="G11" s="33" t="s">
        <v>744</v>
      </c>
      <c r="H11" t="s">
        <v>54</v>
      </c>
      <c r="I11" s="1" t="s">
        <v>745</v>
      </c>
      <c r="J11" s="3" t="s">
        <v>742</v>
      </c>
    </row>
    <row r="12" spans="1:10" x14ac:dyDescent="0.35">
      <c r="E12" s="17"/>
      <c r="I12" t="s">
        <v>284</v>
      </c>
      <c r="J12" t="s">
        <v>741</v>
      </c>
    </row>
    <row r="13" spans="1:10" x14ac:dyDescent="0.35">
      <c r="I13" t="s">
        <v>285</v>
      </c>
      <c r="J13" t="s">
        <v>740</v>
      </c>
    </row>
    <row r="14" spans="1:10" x14ac:dyDescent="0.35">
      <c r="I14" t="s">
        <v>97</v>
      </c>
      <c r="J14" t="s">
        <v>739</v>
      </c>
    </row>
    <row r="15" spans="1:10" x14ac:dyDescent="0.35">
      <c r="I15" t="s">
        <v>100</v>
      </c>
      <c r="J15" t="s">
        <v>738</v>
      </c>
    </row>
    <row r="16" spans="1:10" x14ac:dyDescent="0.35">
      <c r="I16" t="s">
        <v>104</v>
      </c>
      <c r="J16" t="s">
        <v>737</v>
      </c>
    </row>
    <row r="17" spans="1:10" x14ac:dyDescent="0.35">
      <c r="I17" s="38" t="s">
        <v>18</v>
      </c>
      <c r="J17" t="s">
        <v>736</v>
      </c>
    </row>
    <row r="18" spans="1:10" x14ac:dyDescent="0.35">
      <c r="I18" s="37"/>
      <c r="J18" s="36" t="s">
        <v>3743</v>
      </c>
    </row>
    <row r="19" spans="1:10" x14ac:dyDescent="0.35">
      <c r="A19" s="33" t="s">
        <v>1849</v>
      </c>
      <c r="B19" s="2" t="s">
        <v>517</v>
      </c>
      <c r="C19" t="s">
        <v>25</v>
      </c>
      <c r="D19" t="s">
        <v>699</v>
      </c>
      <c r="E19" s="40" t="s">
        <v>1522</v>
      </c>
      <c r="F19" s="33" t="s">
        <v>743</v>
      </c>
      <c r="G19" s="33" t="s">
        <v>744</v>
      </c>
      <c r="H19" t="s">
        <v>54</v>
      </c>
      <c r="I19" s="1" t="s">
        <v>745</v>
      </c>
      <c r="J19" s="3" t="s">
        <v>742</v>
      </c>
    </row>
    <row r="20" spans="1:10" x14ac:dyDescent="0.35">
      <c r="A20" s="33" t="s">
        <v>1849</v>
      </c>
      <c r="B20" s="1" t="s">
        <v>315</v>
      </c>
      <c r="E20" s="34" t="s">
        <v>666</v>
      </c>
      <c r="I20" t="s">
        <v>284</v>
      </c>
      <c r="J20" t="s">
        <v>741</v>
      </c>
    </row>
    <row r="21" spans="1:10" x14ac:dyDescent="0.35">
      <c r="I21" t="s">
        <v>285</v>
      </c>
      <c r="J21" t="s">
        <v>740</v>
      </c>
    </row>
    <row r="22" spans="1:10" x14ac:dyDescent="0.35">
      <c r="I22" t="s">
        <v>97</v>
      </c>
      <c r="J22" t="s">
        <v>739</v>
      </c>
    </row>
    <row r="23" spans="1:10" x14ac:dyDescent="0.35">
      <c r="I23" t="s">
        <v>100</v>
      </c>
      <c r="J23" t="s">
        <v>738</v>
      </c>
    </row>
    <row r="24" spans="1:10" x14ac:dyDescent="0.35">
      <c r="I24" t="s">
        <v>104</v>
      </c>
      <c r="J24" t="s">
        <v>1850</v>
      </c>
    </row>
    <row r="25" spans="1:10" x14ac:dyDescent="0.35">
      <c r="I25" s="38" t="s">
        <v>18</v>
      </c>
      <c r="J25" t="s">
        <v>1851</v>
      </c>
    </row>
    <row r="26" spans="1:10" x14ac:dyDescent="0.35">
      <c r="J26" t="s">
        <v>1852</v>
      </c>
    </row>
    <row r="27" spans="1:10" x14ac:dyDescent="0.35">
      <c r="J27" s="36" t="s">
        <v>1849</v>
      </c>
    </row>
    <row r="28" spans="1:10" x14ac:dyDescent="0.35">
      <c r="A28" s="33" t="s">
        <v>3838</v>
      </c>
      <c r="B28" t="s">
        <v>3</v>
      </c>
      <c r="C28" t="s">
        <v>25</v>
      </c>
      <c r="D28" t="s">
        <v>699</v>
      </c>
      <c r="E28" s="34" t="s">
        <v>585</v>
      </c>
      <c r="F28" s="33" t="s">
        <v>743</v>
      </c>
      <c r="G28" s="33" t="s">
        <v>744</v>
      </c>
      <c r="H28" t="s">
        <v>54</v>
      </c>
      <c r="I28" s="1" t="s">
        <v>745</v>
      </c>
      <c r="J28" s="3" t="s">
        <v>742</v>
      </c>
    </row>
    <row r="29" spans="1:10" x14ac:dyDescent="0.35">
      <c r="E29" s="17"/>
      <c r="I29" t="s">
        <v>284</v>
      </c>
      <c r="J29" t="s">
        <v>741</v>
      </c>
    </row>
    <row r="30" spans="1:10" x14ac:dyDescent="0.35">
      <c r="I30" t="s">
        <v>285</v>
      </c>
      <c r="J30" t="s">
        <v>740</v>
      </c>
    </row>
    <row r="31" spans="1:10" x14ac:dyDescent="0.35">
      <c r="I31" t="s">
        <v>97</v>
      </c>
      <c r="J31" t="s">
        <v>739</v>
      </c>
    </row>
    <row r="32" spans="1:10" x14ac:dyDescent="0.35">
      <c r="I32" t="s">
        <v>100</v>
      </c>
      <c r="J32" t="s">
        <v>738</v>
      </c>
    </row>
    <row r="33" spans="1:10" x14ac:dyDescent="0.35">
      <c r="I33" t="s">
        <v>104</v>
      </c>
      <c r="J33" t="s">
        <v>737</v>
      </c>
    </row>
    <row r="34" spans="1:10" x14ac:dyDescent="0.35">
      <c r="I34" s="38" t="s">
        <v>18</v>
      </c>
      <c r="J34" t="s">
        <v>3472</v>
      </c>
    </row>
    <row r="35" spans="1:10" x14ac:dyDescent="0.35">
      <c r="I35" s="37"/>
      <c r="J35" t="s">
        <v>3839</v>
      </c>
    </row>
    <row r="36" spans="1:10" x14ac:dyDescent="0.35">
      <c r="I36" s="37"/>
      <c r="J36" s="36" t="s">
        <v>3840</v>
      </c>
    </row>
    <row r="37" spans="1:10" x14ac:dyDescent="0.35">
      <c r="A37" s="33" t="s">
        <v>736</v>
      </c>
      <c r="B37" t="s">
        <v>3</v>
      </c>
      <c r="C37" t="s">
        <v>25</v>
      </c>
      <c r="D37" t="s">
        <v>55</v>
      </c>
      <c r="E37" s="34" t="s">
        <v>132</v>
      </c>
      <c r="F37" s="33" t="s">
        <v>743</v>
      </c>
      <c r="G37" s="33" t="s">
        <v>744</v>
      </c>
      <c r="H37" t="s">
        <v>54</v>
      </c>
      <c r="I37" s="1" t="s">
        <v>745</v>
      </c>
      <c r="J37" s="3" t="s">
        <v>742</v>
      </c>
    </row>
    <row r="38" spans="1:10" x14ac:dyDescent="0.35">
      <c r="E38" s="17"/>
      <c r="I38" t="s">
        <v>284</v>
      </c>
      <c r="J38" t="s">
        <v>741</v>
      </c>
    </row>
    <row r="39" spans="1:10" x14ac:dyDescent="0.35">
      <c r="I39" t="s">
        <v>285</v>
      </c>
      <c r="J39" t="s">
        <v>740</v>
      </c>
    </row>
    <row r="40" spans="1:10" x14ac:dyDescent="0.35">
      <c r="I40" t="s">
        <v>97</v>
      </c>
      <c r="J40" t="s">
        <v>739</v>
      </c>
    </row>
    <row r="41" spans="1:10" x14ac:dyDescent="0.35">
      <c r="I41" t="s">
        <v>100</v>
      </c>
      <c r="J41" t="s">
        <v>738</v>
      </c>
    </row>
    <row r="42" spans="1:10" x14ac:dyDescent="0.35">
      <c r="I42" t="s">
        <v>104</v>
      </c>
      <c r="J42" t="s">
        <v>737</v>
      </c>
    </row>
    <row r="43" spans="1:10" x14ac:dyDescent="0.35">
      <c r="I43" s="38" t="s">
        <v>18</v>
      </c>
      <c r="J43" s="36" t="s">
        <v>736</v>
      </c>
    </row>
    <row r="44" spans="1:10" x14ac:dyDescent="0.35">
      <c r="A44" s="33" t="s">
        <v>748</v>
      </c>
      <c r="B44" t="s">
        <v>3</v>
      </c>
      <c r="C44" t="s">
        <v>25</v>
      </c>
      <c r="D44" t="s">
        <v>429</v>
      </c>
      <c r="E44" s="34" t="s">
        <v>749</v>
      </c>
      <c r="F44" s="33" t="s">
        <v>743</v>
      </c>
      <c r="G44" s="33" t="s">
        <v>744</v>
      </c>
      <c r="H44" t="s">
        <v>54</v>
      </c>
      <c r="I44" s="1" t="s">
        <v>745</v>
      </c>
      <c r="J44" s="3" t="s">
        <v>742</v>
      </c>
    </row>
    <row r="45" spans="1:10" x14ac:dyDescent="0.35">
      <c r="E45" s="17"/>
      <c r="I45" t="s">
        <v>284</v>
      </c>
      <c r="J45" t="s">
        <v>741</v>
      </c>
    </row>
    <row r="46" spans="1:10" x14ac:dyDescent="0.35">
      <c r="I46" t="s">
        <v>285</v>
      </c>
      <c r="J46" t="s">
        <v>740</v>
      </c>
    </row>
    <row r="47" spans="1:10" x14ac:dyDescent="0.35">
      <c r="I47" t="s">
        <v>97</v>
      </c>
      <c r="J47" t="s">
        <v>739</v>
      </c>
    </row>
    <row r="48" spans="1:10" x14ac:dyDescent="0.35">
      <c r="I48" t="s">
        <v>100</v>
      </c>
      <c r="J48" t="s">
        <v>738</v>
      </c>
    </row>
    <row r="49" spans="1:10" x14ac:dyDescent="0.35">
      <c r="I49" t="s">
        <v>104</v>
      </c>
      <c r="J49" t="s">
        <v>752</v>
      </c>
    </row>
    <row r="50" spans="1:10" x14ac:dyDescent="0.35">
      <c r="I50" s="38" t="s">
        <v>18</v>
      </c>
      <c r="J50" t="s">
        <v>751</v>
      </c>
    </row>
    <row r="51" spans="1:10" x14ac:dyDescent="0.35">
      <c r="J51" s="36" t="s">
        <v>750</v>
      </c>
    </row>
    <row r="52" spans="1:10" x14ac:dyDescent="0.35">
      <c r="A52" s="33" t="s">
        <v>753</v>
      </c>
      <c r="B52" t="s">
        <v>3</v>
      </c>
      <c r="C52" t="s">
        <v>25</v>
      </c>
      <c r="D52" t="s">
        <v>64</v>
      </c>
      <c r="E52" s="34" t="s">
        <v>749</v>
      </c>
      <c r="F52" s="33" t="s">
        <v>743</v>
      </c>
      <c r="G52" s="33" t="s">
        <v>744</v>
      </c>
      <c r="H52" t="s">
        <v>54</v>
      </c>
      <c r="I52" s="1" t="s">
        <v>745</v>
      </c>
      <c r="J52" s="3" t="s">
        <v>742</v>
      </c>
    </row>
    <row r="53" spans="1:10" x14ac:dyDescent="0.35">
      <c r="E53" s="17"/>
      <c r="I53" t="s">
        <v>284</v>
      </c>
      <c r="J53" t="s">
        <v>754</v>
      </c>
    </row>
    <row r="54" spans="1:10" x14ac:dyDescent="0.35">
      <c r="I54" t="s">
        <v>285</v>
      </c>
      <c r="J54" t="s">
        <v>754</v>
      </c>
    </row>
    <row r="55" spans="1:10" x14ac:dyDescent="0.35">
      <c r="I55" t="s">
        <v>97</v>
      </c>
      <c r="J55" t="s">
        <v>755</v>
      </c>
    </row>
    <row r="56" spans="1:10" x14ac:dyDescent="0.35">
      <c r="I56" t="s">
        <v>100</v>
      </c>
      <c r="J56" t="s">
        <v>756</v>
      </c>
    </row>
    <row r="57" spans="1:10" x14ac:dyDescent="0.35">
      <c r="I57" t="s">
        <v>104</v>
      </c>
      <c r="J57" s="36" t="s">
        <v>757</v>
      </c>
    </row>
    <row r="58" spans="1:10" x14ac:dyDescent="0.35">
      <c r="I58" s="38" t="s">
        <v>18</v>
      </c>
    </row>
    <row r="59" spans="1:10" x14ac:dyDescent="0.35">
      <c r="A59" s="33" t="s">
        <v>3502</v>
      </c>
      <c r="B59" t="s">
        <v>3</v>
      </c>
      <c r="C59" t="s">
        <v>25</v>
      </c>
      <c r="D59" t="s">
        <v>55</v>
      </c>
      <c r="E59" s="34" t="s">
        <v>179</v>
      </c>
      <c r="F59" s="33" t="s">
        <v>743</v>
      </c>
      <c r="G59" s="33" t="s">
        <v>744</v>
      </c>
      <c r="H59" t="s">
        <v>54</v>
      </c>
      <c r="I59" s="1" t="s">
        <v>745</v>
      </c>
      <c r="J59" s="3" t="s">
        <v>742</v>
      </c>
    </row>
    <row r="60" spans="1:10" x14ac:dyDescent="0.35">
      <c r="E60" s="17"/>
      <c r="I60" t="s">
        <v>284</v>
      </c>
      <c r="J60" t="s">
        <v>741</v>
      </c>
    </row>
    <row r="61" spans="1:10" x14ac:dyDescent="0.35">
      <c r="I61" t="s">
        <v>285</v>
      </c>
      <c r="J61" t="s">
        <v>740</v>
      </c>
    </row>
    <row r="62" spans="1:10" x14ac:dyDescent="0.35">
      <c r="I62" t="s">
        <v>97</v>
      </c>
      <c r="J62" t="s">
        <v>739</v>
      </c>
    </row>
    <row r="63" spans="1:10" x14ac:dyDescent="0.35">
      <c r="I63" t="s">
        <v>100</v>
      </c>
      <c r="J63" t="s">
        <v>738</v>
      </c>
    </row>
    <row r="64" spans="1:10" x14ac:dyDescent="0.35">
      <c r="I64" t="s">
        <v>104</v>
      </c>
      <c r="J64" t="s">
        <v>737</v>
      </c>
    </row>
    <row r="65" spans="1:10" x14ac:dyDescent="0.35">
      <c r="I65" s="38" t="s">
        <v>18</v>
      </c>
      <c r="J65" s="36" t="s">
        <v>3472</v>
      </c>
    </row>
    <row r="66" spans="1:10" x14ac:dyDescent="0.35">
      <c r="A66" s="33" t="s">
        <v>1768</v>
      </c>
      <c r="B66" t="s">
        <v>3</v>
      </c>
      <c r="C66" t="s">
        <v>25</v>
      </c>
      <c r="D66" t="s">
        <v>55</v>
      </c>
      <c r="E66" s="34" t="s">
        <v>216</v>
      </c>
      <c r="F66" s="33" t="s">
        <v>743</v>
      </c>
      <c r="G66" s="33" t="s">
        <v>744</v>
      </c>
      <c r="H66" t="s">
        <v>54</v>
      </c>
      <c r="I66" s="1" t="s">
        <v>745</v>
      </c>
      <c r="J66" s="3" t="s">
        <v>742</v>
      </c>
    </row>
    <row r="67" spans="1:10" x14ac:dyDescent="0.35">
      <c r="E67" s="17"/>
      <c r="I67" t="s">
        <v>284</v>
      </c>
      <c r="J67" t="s">
        <v>741</v>
      </c>
    </row>
    <row r="68" spans="1:10" x14ac:dyDescent="0.35">
      <c r="I68" t="s">
        <v>285</v>
      </c>
      <c r="J68" t="s">
        <v>1769</v>
      </c>
    </row>
    <row r="69" spans="1:10" x14ac:dyDescent="0.35">
      <c r="I69" t="s">
        <v>97</v>
      </c>
      <c r="J69" t="s">
        <v>1770</v>
      </c>
    </row>
    <row r="70" spans="1:10" x14ac:dyDescent="0.35">
      <c r="I70" t="s">
        <v>100</v>
      </c>
      <c r="J70" t="s">
        <v>1771</v>
      </c>
    </row>
    <row r="71" spans="1:10" x14ac:dyDescent="0.35">
      <c r="I71" t="s">
        <v>104</v>
      </c>
      <c r="J71" t="s">
        <v>1772</v>
      </c>
    </row>
    <row r="72" spans="1:10" x14ac:dyDescent="0.35">
      <c r="I72" s="38" t="s">
        <v>18</v>
      </c>
      <c r="J72" s="36" t="s">
        <v>1768</v>
      </c>
    </row>
    <row r="73" spans="1:10" x14ac:dyDescent="0.35">
      <c r="A73" s="33" t="s">
        <v>3471</v>
      </c>
      <c r="B73" t="s">
        <v>3</v>
      </c>
      <c r="C73" t="s">
        <v>25</v>
      </c>
      <c r="D73" t="s">
        <v>429</v>
      </c>
      <c r="E73" s="34" t="s">
        <v>201</v>
      </c>
      <c r="F73" s="33" t="s">
        <v>743</v>
      </c>
      <c r="G73" s="33" t="s">
        <v>744</v>
      </c>
      <c r="H73" t="s">
        <v>54</v>
      </c>
      <c r="I73" s="1" t="s">
        <v>745</v>
      </c>
      <c r="J73" s="3" t="s">
        <v>742</v>
      </c>
    </row>
    <row r="74" spans="1:10" x14ac:dyDescent="0.35">
      <c r="E74" s="17"/>
      <c r="I74" t="s">
        <v>284</v>
      </c>
      <c r="J74" t="s">
        <v>741</v>
      </c>
    </row>
    <row r="75" spans="1:10" x14ac:dyDescent="0.35">
      <c r="I75" t="s">
        <v>285</v>
      </c>
      <c r="J75" t="s">
        <v>740</v>
      </c>
    </row>
    <row r="76" spans="1:10" x14ac:dyDescent="0.35">
      <c r="I76" t="s">
        <v>97</v>
      </c>
      <c r="J76" t="s">
        <v>739</v>
      </c>
    </row>
    <row r="77" spans="1:10" x14ac:dyDescent="0.35">
      <c r="I77" t="s">
        <v>100</v>
      </c>
      <c r="J77" t="s">
        <v>738</v>
      </c>
    </row>
    <row r="78" spans="1:10" x14ac:dyDescent="0.35">
      <c r="I78" t="s">
        <v>104</v>
      </c>
      <c r="J78" t="s">
        <v>737</v>
      </c>
    </row>
    <row r="79" spans="1:10" x14ac:dyDescent="0.35">
      <c r="I79" s="38" t="s">
        <v>18</v>
      </c>
      <c r="J79" t="s">
        <v>3472</v>
      </c>
    </row>
    <row r="80" spans="1:10" x14ac:dyDescent="0.35">
      <c r="J80" s="36" t="s">
        <v>3473</v>
      </c>
    </row>
  </sheetData>
  <autoFilter ref="E1:E72" xr:uid="{00000000-0001-0000-0800-000000000000}"/>
  <hyperlinks>
    <hyperlink ref="A1" location="Summary!A1" tooltip="Return to Totals" display="Back to Totals" xr:uid="{22D1D3F4-2C91-41DC-B62C-280213591F5C}"/>
    <hyperlink ref="I9" r:id="rId1" xr:uid="{5040C95E-8F0D-45A1-A4CD-337C40EB3586}"/>
    <hyperlink ref="I25" r:id="rId2" xr:uid="{24C0353A-78E7-4A14-BFC6-0B3A56C6CC86}"/>
    <hyperlink ref="I43" r:id="rId3" xr:uid="{8D0EB5DA-0AFF-45C4-9C52-CCDBC2CDD436}"/>
    <hyperlink ref="I50" r:id="rId4" xr:uid="{C7B2D47B-F2B6-42FA-ACB9-0C7C819222BF}"/>
    <hyperlink ref="I58" r:id="rId5" xr:uid="{5FA222D9-0D0B-4C6B-9899-4CCD7BFCE1D9}"/>
    <hyperlink ref="I72" r:id="rId6" xr:uid="{8D71C707-C295-4212-BE60-DFDBFC326451}"/>
    <hyperlink ref="F3" r:id="rId7" xr:uid="{4514D5E5-CE4D-47E6-A096-F0924A833412}"/>
    <hyperlink ref="F19" r:id="rId8" xr:uid="{A7CAAD84-0522-4169-927C-A5112E848D5D}"/>
    <hyperlink ref="F37" r:id="rId9" xr:uid="{99F47FF3-49C4-4F43-8F19-6D61A0FD8028}"/>
    <hyperlink ref="F44" r:id="rId10" xr:uid="{3129D6DB-39DF-4EDC-8E95-B090479839A7}"/>
    <hyperlink ref="F52" r:id="rId11" xr:uid="{1A9743D2-3A78-4CC9-AF58-3F640360B556}"/>
    <hyperlink ref="F66" r:id="rId12" xr:uid="{2BE6713C-BF7E-46E6-85E4-58CBF739423E}"/>
    <hyperlink ref="G66" r:id="rId13" xr:uid="{B597D753-5694-4B6F-B54A-E40129C71D22}"/>
    <hyperlink ref="G52" r:id="rId14" xr:uid="{2D27B3F1-8F32-4D54-81B9-DD73DC2D5ED5}"/>
    <hyperlink ref="G44" r:id="rId15" xr:uid="{49628390-FBCD-47B1-8E1D-2F8990E73209}"/>
    <hyperlink ref="G37" r:id="rId16" xr:uid="{325A1DC7-14E7-41C6-9903-1959E35BF65F}"/>
    <hyperlink ref="G19" r:id="rId17" xr:uid="{384BED02-293C-4CA8-AED7-1A64CD07D1D0}"/>
    <hyperlink ref="G3" r:id="rId18" xr:uid="{BD2B6FDA-D638-4A76-AF48-E74959A02BBA}"/>
    <hyperlink ref="J10" r:id="rId19" xr:uid="{919B0011-58AD-492F-881B-4A68FEB43E4C}"/>
    <hyperlink ref="J27" r:id="rId20" xr:uid="{21227E97-0AF0-4DD1-851B-DA50AB8C5861}"/>
    <hyperlink ref="J43" r:id="rId21" xr:uid="{4C0AF4A9-55F8-4360-B89A-BCCCB3A27869}"/>
    <hyperlink ref="J51" r:id="rId22" xr:uid="{30632343-FEB6-406F-BF4E-EF66270BF91B}"/>
    <hyperlink ref="J57" r:id="rId23" xr:uid="{C0DDEACB-4E19-4F3F-A8E9-6A8E8ABBF0DA}"/>
    <hyperlink ref="J72" r:id="rId24" xr:uid="{B1FC4828-3BF2-4383-859B-17009B5B62A7}"/>
    <hyperlink ref="A3" r:id="rId25" xr:uid="{E958E2AF-F5F0-479D-8952-C2FDA469B434}"/>
    <hyperlink ref="A37" r:id="rId26" xr:uid="{E92F1A16-8858-4A73-BE2C-D55855FF1CA6}"/>
    <hyperlink ref="A44" r:id="rId27" xr:uid="{FE8125CC-7EE7-4B84-AD88-236EFD97BFCF}"/>
    <hyperlink ref="A52" r:id="rId28" xr:uid="{C32DDBC1-1AE9-48A7-8BFE-52401BBA1B94}"/>
    <hyperlink ref="A66" r:id="rId29" xr:uid="{05F2B590-1425-4B96-80ED-5DFEE77031A4}"/>
    <hyperlink ref="A19" r:id="rId30" xr:uid="{D262D7E6-9077-4CB7-9571-13BF77F466E9}"/>
    <hyperlink ref="E66" r:id="rId31" xr:uid="{0D179066-5019-4E21-AEA9-92E7061DC8A0}"/>
    <hyperlink ref="E52" r:id="rId32" xr:uid="{C73EDB6A-D551-4EE4-B6BC-9155E6C232C3}"/>
    <hyperlink ref="E44" r:id="rId33" xr:uid="{C866C570-8514-40D8-873C-1C636AEE5085}"/>
    <hyperlink ref="E37" r:id="rId34" xr:uid="{FC6C374F-55E9-43A8-9936-64EAA10A0B03}"/>
    <hyperlink ref="E20" r:id="rId35" xr:uid="{E7DEF18D-E193-4C6A-BFD2-98F87C13253B}"/>
    <hyperlink ref="E19" r:id="rId36" xr:uid="{565815BC-D206-4EC6-AAE3-2B80FF9D530F}"/>
    <hyperlink ref="E3" r:id="rId37" xr:uid="{91538F65-3447-4489-AFCE-A7833ADE9B30}"/>
    <hyperlink ref="A20" r:id="rId38" xr:uid="{84B37501-E2AA-4FF8-AA03-B9D7F3CE1DE6}"/>
    <hyperlink ref="I79" r:id="rId39" xr:uid="{F153C0F0-B29D-4032-AB01-13C4E6CB8FC0}"/>
    <hyperlink ref="F73" r:id="rId40" xr:uid="{A99C04E4-AF7C-461C-AD70-2C29BF4CD878}"/>
    <hyperlink ref="G73" r:id="rId41" xr:uid="{9BFBEF12-8E0B-4AEA-BD22-6F44BD381802}"/>
    <hyperlink ref="A73" r:id="rId42" xr:uid="{04899490-DE89-464E-8E3F-569291E3ECFE}"/>
    <hyperlink ref="E73" r:id="rId43" xr:uid="{D9E8A84C-8452-403B-93CF-A3FD4146F06C}"/>
    <hyperlink ref="J80" r:id="rId44" xr:uid="{38193D14-7B10-46F6-AD18-72DECB13BF8B}"/>
    <hyperlink ref="I65" r:id="rId45" xr:uid="{56A35214-CFE4-46BB-90B6-1A716C3E1F1F}"/>
    <hyperlink ref="F59" r:id="rId46" xr:uid="{1CC40FEF-6545-4288-A1FA-EE6555B3EAA3}"/>
    <hyperlink ref="G59" r:id="rId47" xr:uid="{F3593F51-7FCB-4822-BB47-02AF43F2C654}"/>
    <hyperlink ref="J65" r:id="rId48" xr:uid="{B9CDA6EA-88DD-48D5-A4F1-BEB9065F31DD}"/>
    <hyperlink ref="A59" r:id="rId49" display="Kenneth Stacey" xr:uid="{44FCA4CD-263A-4726-8F16-E882DA1E483B}"/>
    <hyperlink ref="E59" r:id="rId50" xr:uid="{19B68664-401D-4FC2-8EC9-ACBF19116028}"/>
    <hyperlink ref="I17" r:id="rId51" xr:uid="{E2C3F0DC-24D3-4C38-BB61-BDA69EC54BE1}"/>
    <hyperlink ref="F11" r:id="rId52" xr:uid="{F686925D-4ED6-4BA7-BF9A-1CEF1C65A010}"/>
    <hyperlink ref="G11" r:id="rId53" xr:uid="{FC4BBC4A-E6C5-4B5A-8F98-B36BEA610EF9}"/>
    <hyperlink ref="A11" r:id="rId54" xr:uid="{35A21055-E4AF-4483-91BD-C4720E2E5D0F}"/>
    <hyperlink ref="E11" r:id="rId55" display="25cM" xr:uid="{4574DCCD-E9F4-48B0-B127-314B3A3978E2}"/>
    <hyperlink ref="I34" r:id="rId56" xr:uid="{F08898A4-9FC6-43DB-B238-6C6EB11ACBCC}"/>
    <hyperlink ref="F28" r:id="rId57" xr:uid="{F1482B0B-DEAD-4378-B29C-E8D988238F15}"/>
    <hyperlink ref="G28" r:id="rId58" xr:uid="{4EC809E6-FA79-4D2D-9DA4-5FF626B37E02}"/>
    <hyperlink ref="A28" r:id="rId59" xr:uid="{355E1038-4DE7-415A-9CA3-BE9E76D5D879}"/>
    <hyperlink ref="E28" r:id="rId60" xr:uid="{B458EEBD-43D4-4971-B008-E7846B228BEF}"/>
    <hyperlink ref="J36" r:id="rId61" xr:uid="{D9CA5460-85A2-4CCF-B658-F59884F7BE44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9">
    <tabColor rgb="FFCC00CC"/>
  </sheetPr>
  <dimension ref="A1:M115"/>
  <sheetViews>
    <sheetView workbookViewId="0"/>
  </sheetViews>
  <sheetFormatPr defaultRowHeight="14.5" x14ac:dyDescent="0.35"/>
  <cols>
    <col min="1" max="1" width="21.81640625" customWidth="1"/>
    <col min="2" max="2" width="13.7265625" customWidth="1"/>
    <col min="3" max="3" width="23.08984375" customWidth="1"/>
    <col min="4" max="4" width="19.26953125" customWidth="1"/>
    <col min="5" max="5" width="12.54296875" customWidth="1"/>
    <col min="6" max="6" width="22.1796875" customWidth="1"/>
    <col min="7" max="7" width="24.1796875" customWidth="1"/>
    <col min="8" max="8" width="23.26953125" customWidth="1"/>
    <col min="9" max="9" width="21.26953125" customWidth="1"/>
    <col min="10" max="10" width="26" customWidth="1"/>
    <col min="11" max="11" width="19.26953125" customWidth="1"/>
    <col min="12" max="12" width="19" customWidth="1"/>
    <col min="13" max="13" width="18.7265625" customWidth="1"/>
  </cols>
  <sheetData>
    <row r="1" spans="1:13" x14ac:dyDescent="0.35">
      <c r="A1" s="34" t="s">
        <v>3196</v>
      </c>
      <c r="B1" s="16">
        <f>COUNTIF(I2:I1081,C1)+COUNTIF(I2:I1081,D1)</f>
        <v>14</v>
      </c>
      <c r="C1" s="9" t="s">
        <v>18</v>
      </c>
      <c r="D1" s="17" t="s">
        <v>1249</v>
      </c>
    </row>
    <row r="2" spans="1:13" s="11" customFormat="1" x14ac:dyDescent="0.35">
      <c r="A2" s="11" t="s">
        <v>0</v>
      </c>
      <c r="B2" s="11" t="s">
        <v>2</v>
      </c>
      <c r="C2" s="11" t="s">
        <v>4</v>
      </c>
      <c r="D2" s="11" t="s">
        <v>5</v>
      </c>
      <c r="E2" s="11" t="s">
        <v>7</v>
      </c>
      <c r="F2" s="11" t="s">
        <v>10</v>
      </c>
      <c r="G2" s="11" t="s">
        <v>11</v>
      </c>
      <c r="H2" s="11" t="s">
        <v>23</v>
      </c>
      <c r="I2" s="11" t="s">
        <v>15</v>
      </c>
      <c r="J2" s="11" t="s">
        <v>906</v>
      </c>
      <c r="K2" s="11" t="s">
        <v>907</v>
      </c>
      <c r="L2" s="11" t="s">
        <v>1095</v>
      </c>
      <c r="M2" s="11" t="s">
        <v>1096</v>
      </c>
    </row>
    <row r="3" spans="1:13" x14ac:dyDescent="0.35">
      <c r="A3" s="33" t="s">
        <v>2321</v>
      </c>
      <c r="B3" t="s">
        <v>3</v>
      </c>
      <c r="C3" t="s">
        <v>43</v>
      </c>
      <c r="D3" t="s">
        <v>1833</v>
      </c>
      <c r="E3" s="40" t="s">
        <v>169</v>
      </c>
      <c r="F3" s="33" t="s">
        <v>2322</v>
      </c>
      <c r="G3" s="33" t="s">
        <v>2329</v>
      </c>
      <c r="H3" t="s">
        <v>1716</v>
      </c>
      <c r="I3" s="7" t="s">
        <v>2323</v>
      </c>
      <c r="J3" s="6" t="s">
        <v>1677</v>
      </c>
    </row>
    <row r="4" spans="1:13" x14ac:dyDescent="0.35">
      <c r="E4" s="15"/>
      <c r="I4" s="8" t="s">
        <v>2328</v>
      </c>
      <c r="J4" s="8" t="s">
        <v>1677</v>
      </c>
    </row>
    <row r="5" spans="1:13" x14ac:dyDescent="0.35">
      <c r="I5" s="8" t="s">
        <v>1674</v>
      </c>
      <c r="J5" s="8" t="s">
        <v>2322</v>
      </c>
    </row>
    <row r="6" spans="1:13" x14ac:dyDescent="0.35">
      <c r="I6" s="8" t="s">
        <v>1674</v>
      </c>
      <c r="J6" s="26" t="s">
        <v>1675</v>
      </c>
    </row>
    <row r="7" spans="1:13" x14ac:dyDescent="0.35">
      <c r="I7" s="8" t="s">
        <v>1675</v>
      </c>
      <c r="J7" s="8" t="s">
        <v>2323</v>
      </c>
    </row>
    <row r="8" spans="1:13" x14ac:dyDescent="0.35">
      <c r="I8" s="8" t="s">
        <v>1676</v>
      </c>
      <c r="J8" s="8" t="s">
        <v>2324</v>
      </c>
    </row>
    <row r="9" spans="1:13" x14ac:dyDescent="0.35">
      <c r="I9" s="8" t="s">
        <v>1554</v>
      </c>
      <c r="J9" s="8" t="s">
        <v>2325</v>
      </c>
    </row>
    <row r="10" spans="1:13" x14ac:dyDescent="0.35">
      <c r="I10" s="8" t="s">
        <v>1555</v>
      </c>
      <c r="J10" s="8" t="s">
        <v>2326</v>
      </c>
    </row>
    <row r="11" spans="1:13" x14ac:dyDescent="0.35">
      <c r="I11" s="8" t="s">
        <v>104</v>
      </c>
      <c r="J11" s="36" t="s">
        <v>2327</v>
      </c>
    </row>
    <row r="12" spans="1:13" x14ac:dyDescent="0.35">
      <c r="I12" s="38" t="s">
        <v>1249</v>
      </c>
    </row>
    <row r="13" spans="1:13" x14ac:dyDescent="0.35">
      <c r="A13" s="33" t="s">
        <v>2156</v>
      </c>
      <c r="B13" t="s">
        <v>3</v>
      </c>
      <c r="C13" t="s">
        <v>43</v>
      </c>
      <c r="D13" t="s">
        <v>55</v>
      </c>
      <c r="E13" s="34" t="s">
        <v>340</v>
      </c>
      <c r="F13" s="33" t="s">
        <v>1674</v>
      </c>
      <c r="G13" s="33" t="s">
        <v>2157</v>
      </c>
      <c r="H13" t="s">
        <v>54</v>
      </c>
      <c r="I13" s="21" t="s">
        <v>1674</v>
      </c>
      <c r="J13" s="23" t="s">
        <v>1682</v>
      </c>
    </row>
    <row r="14" spans="1:13" x14ac:dyDescent="0.35">
      <c r="E14" s="28"/>
      <c r="I14" s="22" t="s">
        <v>1675</v>
      </c>
      <c r="J14" s="27" t="s">
        <v>2158</v>
      </c>
    </row>
    <row r="15" spans="1:13" x14ac:dyDescent="0.35">
      <c r="I15" s="22" t="s">
        <v>1676</v>
      </c>
      <c r="J15" s="22" t="s">
        <v>1695</v>
      </c>
    </row>
    <row r="16" spans="1:13" x14ac:dyDescent="0.35">
      <c r="I16" s="22" t="s">
        <v>1554</v>
      </c>
      <c r="J16" s="22" t="s">
        <v>2159</v>
      </c>
    </row>
    <row r="17" spans="1:10" x14ac:dyDescent="0.35">
      <c r="I17" s="22" t="s">
        <v>1555</v>
      </c>
      <c r="J17" s="22" t="s">
        <v>2160</v>
      </c>
    </row>
    <row r="18" spans="1:10" x14ac:dyDescent="0.35">
      <c r="I18" s="22" t="s">
        <v>104</v>
      </c>
      <c r="J18" s="22" t="s">
        <v>2161</v>
      </c>
    </row>
    <row r="19" spans="1:10" x14ac:dyDescent="0.35">
      <c r="I19" s="38" t="s">
        <v>18</v>
      </c>
      <c r="J19" s="36" t="s">
        <v>2162</v>
      </c>
    </row>
    <row r="20" spans="1:10" x14ac:dyDescent="0.35">
      <c r="A20" s="33" t="s">
        <v>2478</v>
      </c>
      <c r="B20" s="1" t="s">
        <v>2472</v>
      </c>
      <c r="C20" t="s">
        <v>43</v>
      </c>
      <c r="D20" t="s">
        <v>1783</v>
      </c>
      <c r="E20" s="34" t="s">
        <v>189</v>
      </c>
      <c r="F20" s="33" t="s">
        <v>2322</v>
      </c>
      <c r="G20" s="33" t="s">
        <v>2329</v>
      </c>
      <c r="H20" t="s">
        <v>1716</v>
      </c>
      <c r="I20" s="7" t="s">
        <v>2323</v>
      </c>
      <c r="J20" s="6" t="s">
        <v>1677</v>
      </c>
    </row>
    <row r="21" spans="1:10" x14ac:dyDescent="0.35">
      <c r="E21" s="28"/>
      <c r="I21" s="8" t="s">
        <v>2328</v>
      </c>
      <c r="J21" s="8" t="s">
        <v>1677</v>
      </c>
    </row>
    <row r="22" spans="1:10" x14ac:dyDescent="0.35">
      <c r="I22" s="8" t="s">
        <v>1674</v>
      </c>
      <c r="J22" s="8" t="s">
        <v>2322</v>
      </c>
    </row>
    <row r="23" spans="1:10" x14ac:dyDescent="0.35">
      <c r="I23" s="8" t="s">
        <v>1674</v>
      </c>
      <c r="J23" s="8" t="s">
        <v>1675</v>
      </c>
    </row>
    <row r="24" spans="1:10" x14ac:dyDescent="0.35">
      <c r="I24" s="8" t="s">
        <v>1675</v>
      </c>
      <c r="J24" s="8" t="s">
        <v>2323</v>
      </c>
    </row>
    <row r="25" spans="1:10" x14ac:dyDescent="0.35">
      <c r="I25" s="8" t="s">
        <v>1676</v>
      </c>
      <c r="J25" s="8" t="s">
        <v>2324</v>
      </c>
    </row>
    <row r="26" spans="1:10" x14ac:dyDescent="0.35">
      <c r="I26" s="8" t="s">
        <v>1554</v>
      </c>
      <c r="J26" s="8" t="s">
        <v>2325</v>
      </c>
    </row>
    <row r="27" spans="1:10" x14ac:dyDescent="0.35">
      <c r="I27" s="8" t="s">
        <v>1555</v>
      </c>
      <c r="J27" s="8" t="s">
        <v>2479</v>
      </c>
    </row>
    <row r="28" spans="1:10" x14ac:dyDescent="0.35">
      <c r="I28" s="8" t="s">
        <v>104</v>
      </c>
      <c r="J28" s="8" t="s">
        <v>2480</v>
      </c>
    </row>
    <row r="29" spans="1:10" x14ac:dyDescent="0.35">
      <c r="I29" s="38" t="s">
        <v>1249</v>
      </c>
      <c r="J29" s="36" t="s">
        <v>2481</v>
      </c>
    </row>
    <row r="30" spans="1:10" s="8" customFormat="1" x14ac:dyDescent="0.35">
      <c r="A30" s="33" t="s">
        <v>1671</v>
      </c>
      <c r="B30" s="8" t="s">
        <v>3</v>
      </c>
      <c r="C30" s="8" t="s">
        <v>43</v>
      </c>
      <c r="D30" s="8" t="s">
        <v>55</v>
      </c>
      <c r="E30" s="34" t="s">
        <v>201</v>
      </c>
      <c r="F30" s="33" t="s">
        <v>1672</v>
      </c>
      <c r="G30" s="33" t="s">
        <v>1673</v>
      </c>
      <c r="H30" s="8" t="s">
        <v>54</v>
      </c>
      <c r="I30" s="7" t="s">
        <v>1674</v>
      </c>
      <c r="J30" s="6" t="s">
        <v>1675</v>
      </c>
    </row>
    <row r="31" spans="1:10" s="8" customFormat="1" x14ac:dyDescent="0.35">
      <c r="E31" s="30"/>
      <c r="I31" s="8" t="s">
        <v>1675</v>
      </c>
      <c r="J31" s="8" t="s">
        <v>1677</v>
      </c>
    </row>
    <row r="32" spans="1:10" s="8" customFormat="1" x14ac:dyDescent="0.35">
      <c r="I32" s="8" t="s">
        <v>1676</v>
      </c>
      <c r="J32" s="8" t="s">
        <v>1678</v>
      </c>
    </row>
    <row r="33" spans="1:10" s="8" customFormat="1" x14ac:dyDescent="0.35">
      <c r="I33" s="8" t="s">
        <v>1554</v>
      </c>
      <c r="J33" s="8" t="s">
        <v>1685</v>
      </c>
    </row>
    <row r="34" spans="1:10" s="8" customFormat="1" x14ac:dyDescent="0.35">
      <c r="I34" s="8" t="s">
        <v>1555</v>
      </c>
      <c r="J34" s="8" t="s">
        <v>1679</v>
      </c>
    </row>
    <row r="35" spans="1:10" s="8" customFormat="1" x14ac:dyDescent="0.35">
      <c r="I35" s="8" t="s">
        <v>104</v>
      </c>
      <c r="J35" s="8" t="s">
        <v>1680</v>
      </c>
    </row>
    <row r="36" spans="1:10" s="8" customFormat="1" x14ac:dyDescent="0.35">
      <c r="I36" s="38" t="s">
        <v>18</v>
      </c>
      <c r="J36" s="36" t="s">
        <v>1671</v>
      </c>
    </row>
    <row r="37" spans="1:10" s="8" customFormat="1" x14ac:dyDescent="0.35">
      <c r="A37" s="33" t="s">
        <v>3903</v>
      </c>
      <c r="B37" s="8" t="s">
        <v>3</v>
      </c>
      <c r="C37" s="8" t="s">
        <v>43</v>
      </c>
      <c r="D37" s="8" t="s">
        <v>55</v>
      </c>
      <c r="E37" s="34" t="s">
        <v>201</v>
      </c>
      <c r="F37" s="33" t="s">
        <v>1672</v>
      </c>
      <c r="G37" s="33" t="s">
        <v>1673</v>
      </c>
      <c r="H37" s="8" t="s">
        <v>54</v>
      </c>
      <c r="I37" s="7" t="s">
        <v>1674</v>
      </c>
      <c r="J37" s="6" t="s">
        <v>1675</v>
      </c>
    </row>
    <row r="38" spans="1:10" s="8" customFormat="1" x14ac:dyDescent="0.35">
      <c r="E38" s="30"/>
      <c r="I38" s="8" t="s">
        <v>1675</v>
      </c>
      <c r="J38" s="8" t="s">
        <v>1677</v>
      </c>
    </row>
    <row r="39" spans="1:10" s="8" customFormat="1" x14ac:dyDescent="0.35">
      <c r="I39" s="8" t="s">
        <v>1676</v>
      </c>
      <c r="J39" s="8" t="s">
        <v>1678</v>
      </c>
    </row>
    <row r="40" spans="1:10" s="8" customFormat="1" x14ac:dyDescent="0.35">
      <c r="I40" s="8" t="s">
        <v>1554</v>
      </c>
      <c r="J40" s="8" t="s">
        <v>1685</v>
      </c>
    </row>
    <row r="41" spans="1:10" s="8" customFormat="1" x14ac:dyDescent="0.35">
      <c r="I41" s="8" t="s">
        <v>1555</v>
      </c>
      <c r="J41" s="8" t="s">
        <v>3904</v>
      </c>
    </row>
    <row r="42" spans="1:10" s="8" customFormat="1" x14ac:dyDescent="0.35">
      <c r="I42" s="8" t="s">
        <v>104</v>
      </c>
      <c r="J42" s="8" t="s">
        <v>1680</v>
      </c>
    </row>
    <row r="43" spans="1:10" s="8" customFormat="1" x14ac:dyDescent="0.35">
      <c r="I43" s="38" t="s">
        <v>18</v>
      </c>
      <c r="J43" s="36" t="s">
        <v>3905</v>
      </c>
    </row>
    <row r="44" spans="1:10" x14ac:dyDescent="0.35">
      <c r="A44" s="33" t="s">
        <v>2330</v>
      </c>
      <c r="B44" t="s">
        <v>3</v>
      </c>
      <c r="C44" t="s">
        <v>43</v>
      </c>
      <c r="D44" t="s">
        <v>2344</v>
      </c>
      <c r="E44" s="100" t="s">
        <v>201</v>
      </c>
      <c r="F44" s="33" t="s">
        <v>2322</v>
      </c>
      <c r="G44" s="33" t="s">
        <v>2329</v>
      </c>
      <c r="H44" t="s">
        <v>1716</v>
      </c>
      <c r="I44" s="7" t="s">
        <v>2323</v>
      </c>
      <c r="J44" s="6" t="s">
        <v>1677</v>
      </c>
    </row>
    <row r="45" spans="1:10" x14ac:dyDescent="0.35">
      <c r="A45" s="33" t="s">
        <v>2334</v>
      </c>
      <c r="B45" s="1" t="s">
        <v>2472</v>
      </c>
      <c r="E45" s="15"/>
      <c r="I45" s="8" t="s">
        <v>2328</v>
      </c>
      <c r="J45" s="8" t="s">
        <v>1677</v>
      </c>
    </row>
    <row r="46" spans="1:10" x14ac:dyDescent="0.35">
      <c r="I46" s="8" t="s">
        <v>1674</v>
      </c>
      <c r="J46" s="8" t="s">
        <v>2322</v>
      </c>
    </row>
    <row r="47" spans="1:10" x14ac:dyDescent="0.35">
      <c r="I47" s="8" t="s">
        <v>1674</v>
      </c>
      <c r="J47" s="8" t="s">
        <v>1675</v>
      </c>
    </row>
    <row r="48" spans="1:10" x14ac:dyDescent="0.35">
      <c r="I48" s="8" t="s">
        <v>1675</v>
      </c>
      <c r="J48" s="8" t="s">
        <v>1695</v>
      </c>
    </row>
    <row r="49" spans="1:10" x14ac:dyDescent="0.35">
      <c r="I49" s="8" t="s">
        <v>1676</v>
      </c>
      <c r="J49" s="8" t="s">
        <v>2331</v>
      </c>
    </row>
    <row r="50" spans="1:10" x14ac:dyDescent="0.35">
      <c r="I50" s="8" t="s">
        <v>1554</v>
      </c>
      <c r="J50" s="8" t="s">
        <v>2332</v>
      </c>
    </row>
    <row r="51" spans="1:10" x14ac:dyDescent="0.35">
      <c r="I51" s="8" t="s">
        <v>1555</v>
      </c>
      <c r="J51" s="8" t="s">
        <v>2333</v>
      </c>
    </row>
    <row r="52" spans="1:10" x14ac:dyDescent="0.35">
      <c r="I52" s="8" t="s">
        <v>104</v>
      </c>
      <c r="J52" s="36" t="s">
        <v>2334</v>
      </c>
    </row>
    <row r="53" spans="1:10" x14ac:dyDescent="0.35">
      <c r="I53" s="38" t="s">
        <v>1249</v>
      </c>
    </row>
    <row r="54" spans="1:10" x14ac:dyDescent="0.35">
      <c r="A54" s="33" t="s">
        <v>2335</v>
      </c>
      <c r="B54" t="s">
        <v>3</v>
      </c>
      <c r="C54" t="s">
        <v>43</v>
      </c>
      <c r="D54" t="s">
        <v>1833</v>
      </c>
      <c r="E54" s="100" t="s">
        <v>201</v>
      </c>
      <c r="F54" s="33" t="s">
        <v>2322</v>
      </c>
      <c r="G54" s="33" t="s">
        <v>2329</v>
      </c>
      <c r="H54" t="s">
        <v>1716</v>
      </c>
      <c r="I54" s="7" t="s">
        <v>2323</v>
      </c>
      <c r="J54" s="6" t="s">
        <v>1677</v>
      </c>
    </row>
    <row r="55" spans="1:10" x14ac:dyDescent="0.35">
      <c r="E55" s="15"/>
      <c r="I55" s="8" t="s">
        <v>2328</v>
      </c>
      <c r="J55" s="8" t="s">
        <v>1677</v>
      </c>
    </row>
    <row r="56" spans="1:10" x14ac:dyDescent="0.35">
      <c r="I56" s="8" t="s">
        <v>1674</v>
      </c>
      <c r="J56" s="8" t="s">
        <v>2322</v>
      </c>
    </row>
    <row r="57" spans="1:10" x14ac:dyDescent="0.35">
      <c r="I57" s="8" t="s">
        <v>1674</v>
      </c>
      <c r="J57" s="26" t="s">
        <v>1675</v>
      </c>
    </row>
    <row r="58" spans="1:10" x14ac:dyDescent="0.35">
      <c r="I58" s="8" t="s">
        <v>1675</v>
      </c>
      <c r="J58" s="8" t="s">
        <v>2324</v>
      </c>
    </row>
    <row r="59" spans="1:10" x14ac:dyDescent="0.35">
      <c r="I59" s="8" t="s">
        <v>1676</v>
      </c>
      <c r="J59" s="8" t="s">
        <v>2281</v>
      </c>
    </row>
    <row r="60" spans="1:10" x14ac:dyDescent="0.35">
      <c r="I60" s="8" t="s">
        <v>1554</v>
      </c>
      <c r="J60" s="8" t="s">
        <v>2336</v>
      </c>
    </row>
    <row r="61" spans="1:10" x14ac:dyDescent="0.35">
      <c r="I61" s="8" t="s">
        <v>1555</v>
      </c>
      <c r="J61" s="8" t="s">
        <v>2337</v>
      </c>
    </row>
    <row r="62" spans="1:10" x14ac:dyDescent="0.35">
      <c r="I62" s="8" t="s">
        <v>104</v>
      </c>
      <c r="J62" s="36" t="s">
        <v>2338</v>
      </c>
    </row>
    <row r="63" spans="1:10" x14ac:dyDescent="0.35">
      <c r="I63" s="38" t="s">
        <v>1249</v>
      </c>
    </row>
    <row r="64" spans="1:10" s="8" customFormat="1" x14ac:dyDescent="0.35">
      <c r="A64" s="33" t="s">
        <v>1681</v>
      </c>
      <c r="B64" s="8" t="s">
        <v>3</v>
      </c>
      <c r="C64" s="8" t="s">
        <v>43</v>
      </c>
      <c r="D64" s="8" t="s">
        <v>55</v>
      </c>
      <c r="E64" s="34" t="s">
        <v>216</v>
      </c>
      <c r="F64" s="33" t="s">
        <v>1672</v>
      </c>
      <c r="G64" s="33" t="s">
        <v>1673</v>
      </c>
      <c r="H64" s="8" t="s">
        <v>54</v>
      </c>
      <c r="I64" s="7" t="s">
        <v>1674</v>
      </c>
      <c r="J64" s="6" t="s">
        <v>1675</v>
      </c>
    </row>
    <row r="65" spans="1:10" s="8" customFormat="1" x14ac:dyDescent="0.35">
      <c r="E65" s="20"/>
      <c r="I65" s="8" t="s">
        <v>1675</v>
      </c>
      <c r="J65" s="8" t="s">
        <v>1682</v>
      </c>
    </row>
    <row r="66" spans="1:10" s="8" customFormat="1" x14ac:dyDescent="0.35">
      <c r="I66" s="8" t="s">
        <v>1676</v>
      </c>
      <c r="J66" s="8" t="s">
        <v>1683</v>
      </c>
    </row>
    <row r="67" spans="1:10" s="8" customFormat="1" x14ac:dyDescent="0.35">
      <c r="I67" s="8" t="s">
        <v>1554</v>
      </c>
      <c r="J67" s="8" t="s">
        <v>1684</v>
      </c>
    </row>
    <row r="68" spans="1:10" s="8" customFormat="1" x14ac:dyDescent="0.35">
      <c r="I68" s="8" t="s">
        <v>1555</v>
      </c>
      <c r="J68" s="8" t="s">
        <v>1686</v>
      </c>
    </row>
    <row r="69" spans="1:10" s="8" customFormat="1" x14ac:dyDescent="0.35">
      <c r="I69" s="8" t="s">
        <v>104</v>
      </c>
      <c r="J69" s="8" t="s">
        <v>1687</v>
      </c>
    </row>
    <row r="70" spans="1:10" s="8" customFormat="1" x14ac:dyDescent="0.35">
      <c r="I70" s="38" t="s">
        <v>18</v>
      </c>
      <c r="J70" s="36" t="s">
        <v>1688</v>
      </c>
    </row>
    <row r="71" spans="1:10" x14ac:dyDescent="0.35">
      <c r="A71" s="33" t="s">
        <v>2339</v>
      </c>
      <c r="B71" t="s">
        <v>3</v>
      </c>
      <c r="C71" t="s">
        <v>43</v>
      </c>
      <c r="D71" t="s">
        <v>1833</v>
      </c>
      <c r="E71" s="40" t="s">
        <v>216</v>
      </c>
      <c r="F71" s="33" t="s">
        <v>2322</v>
      </c>
      <c r="G71" s="33" t="s">
        <v>2329</v>
      </c>
      <c r="H71" t="s">
        <v>1716</v>
      </c>
      <c r="I71" s="7" t="s">
        <v>2323</v>
      </c>
      <c r="J71" s="6" t="s">
        <v>1677</v>
      </c>
    </row>
    <row r="72" spans="1:10" x14ac:dyDescent="0.35">
      <c r="I72" s="8" t="s">
        <v>2328</v>
      </c>
      <c r="J72" s="8" t="s">
        <v>1677</v>
      </c>
    </row>
    <row r="73" spans="1:10" x14ac:dyDescent="0.35">
      <c r="I73" s="8" t="s">
        <v>1674</v>
      </c>
      <c r="J73" s="8" t="s">
        <v>2322</v>
      </c>
    </row>
    <row r="74" spans="1:10" x14ac:dyDescent="0.35">
      <c r="I74" s="8" t="s">
        <v>1674</v>
      </c>
      <c r="J74" s="26" t="s">
        <v>1675</v>
      </c>
    </row>
    <row r="75" spans="1:10" x14ac:dyDescent="0.35">
      <c r="I75" s="8" t="s">
        <v>1675</v>
      </c>
      <c r="J75" s="8" t="s">
        <v>1675</v>
      </c>
    </row>
    <row r="76" spans="1:10" x14ac:dyDescent="0.35">
      <c r="I76" s="8" t="s">
        <v>1676</v>
      </c>
      <c r="J76" s="8" t="s">
        <v>2340</v>
      </c>
    </row>
    <row r="77" spans="1:10" x14ac:dyDescent="0.35">
      <c r="I77" s="8" t="s">
        <v>1554</v>
      </c>
      <c r="J77" s="8" t="s">
        <v>2341</v>
      </c>
    </row>
    <row r="78" spans="1:10" x14ac:dyDescent="0.35">
      <c r="I78" s="8" t="s">
        <v>1555</v>
      </c>
      <c r="J78" s="8" t="s">
        <v>2342</v>
      </c>
    </row>
    <row r="79" spans="1:10" x14ac:dyDescent="0.35">
      <c r="I79" s="8" t="s">
        <v>104</v>
      </c>
      <c r="J79" s="8" t="s">
        <v>2343</v>
      </c>
    </row>
    <row r="80" spans="1:10" x14ac:dyDescent="0.35">
      <c r="I80" s="38" t="s">
        <v>1249</v>
      </c>
      <c r="J80" s="36" t="s">
        <v>2339</v>
      </c>
    </row>
    <row r="81" spans="1:10" x14ac:dyDescent="0.35">
      <c r="A81" s="33" t="s">
        <v>2471</v>
      </c>
      <c r="B81" s="1" t="s">
        <v>2472</v>
      </c>
      <c r="C81" t="s">
        <v>43</v>
      </c>
      <c r="D81" t="s">
        <v>55</v>
      </c>
      <c r="E81" s="34" t="s">
        <v>72</v>
      </c>
      <c r="F81" s="33" t="s">
        <v>1674</v>
      </c>
      <c r="G81" s="33" t="s">
        <v>2157</v>
      </c>
      <c r="H81" t="s">
        <v>54</v>
      </c>
      <c r="I81" s="21" t="s">
        <v>1674</v>
      </c>
      <c r="J81" s="23" t="s">
        <v>2473</v>
      </c>
    </row>
    <row r="82" spans="1:10" x14ac:dyDescent="0.35">
      <c r="E82" s="17"/>
      <c r="I82" s="22" t="s">
        <v>1675</v>
      </c>
      <c r="J82" s="22" t="s">
        <v>2474</v>
      </c>
    </row>
    <row r="83" spans="1:10" x14ac:dyDescent="0.35">
      <c r="I83" s="22" t="s">
        <v>1676</v>
      </c>
      <c r="J83" s="22" t="s">
        <v>1672</v>
      </c>
    </row>
    <row r="84" spans="1:10" x14ac:dyDescent="0.35">
      <c r="I84" s="22" t="s">
        <v>1554</v>
      </c>
      <c r="J84" s="22" t="s">
        <v>2475</v>
      </c>
    </row>
    <row r="85" spans="1:10" x14ac:dyDescent="0.35">
      <c r="I85" s="22" t="s">
        <v>1555</v>
      </c>
      <c r="J85" s="22" t="s">
        <v>2476</v>
      </c>
    </row>
    <row r="86" spans="1:10" x14ac:dyDescent="0.35">
      <c r="I86" s="22" t="s">
        <v>104</v>
      </c>
      <c r="J86" s="22" t="s">
        <v>2477</v>
      </c>
    </row>
    <row r="87" spans="1:10" x14ac:dyDescent="0.35">
      <c r="I87" s="38" t="s">
        <v>18</v>
      </c>
      <c r="J87" s="36" t="s">
        <v>2471</v>
      </c>
    </row>
    <row r="88" spans="1:10" s="8" customFormat="1" x14ac:dyDescent="0.35">
      <c r="A88" s="33" t="s">
        <v>1689</v>
      </c>
      <c r="B88" s="8" t="s">
        <v>3</v>
      </c>
      <c r="C88" s="8" t="s">
        <v>43</v>
      </c>
      <c r="D88" s="8" t="s">
        <v>55</v>
      </c>
      <c r="E88" s="34" t="s">
        <v>65</v>
      </c>
      <c r="F88" s="33" t="s">
        <v>1672</v>
      </c>
      <c r="G88" s="33" t="s">
        <v>1673</v>
      </c>
      <c r="H88" s="8" t="s">
        <v>54</v>
      </c>
      <c r="I88" s="7" t="s">
        <v>1674</v>
      </c>
      <c r="J88" s="6" t="s">
        <v>1675</v>
      </c>
    </row>
    <row r="89" spans="1:10" s="8" customFormat="1" x14ac:dyDescent="0.35">
      <c r="E89" s="20"/>
      <c r="I89" s="8" t="s">
        <v>1675</v>
      </c>
      <c r="J89" s="8" t="s">
        <v>1677</v>
      </c>
    </row>
    <row r="90" spans="1:10" s="8" customFormat="1" x14ac:dyDescent="0.35">
      <c r="I90" s="8" t="s">
        <v>1676</v>
      </c>
      <c r="J90" s="8" t="s">
        <v>1678</v>
      </c>
    </row>
    <row r="91" spans="1:10" s="8" customFormat="1" x14ac:dyDescent="0.35">
      <c r="I91" s="8" t="s">
        <v>1554</v>
      </c>
      <c r="J91" s="8" t="s">
        <v>1690</v>
      </c>
    </row>
    <row r="92" spans="1:10" s="8" customFormat="1" x14ac:dyDescent="0.35">
      <c r="I92" s="8" t="s">
        <v>1555</v>
      </c>
      <c r="J92" s="8" t="s">
        <v>1691</v>
      </c>
    </row>
    <row r="93" spans="1:10" s="8" customFormat="1" x14ac:dyDescent="0.35">
      <c r="I93" s="8" t="s">
        <v>104</v>
      </c>
      <c r="J93" s="8" t="s">
        <v>1692</v>
      </c>
    </row>
    <row r="94" spans="1:10" s="8" customFormat="1" x14ac:dyDescent="0.35">
      <c r="I94" s="38" t="s">
        <v>18</v>
      </c>
      <c r="J94" s="36" t="s">
        <v>1689</v>
      </c>
    </row>
    <row r="95" spans="1:10" s="8" customFormat="1" x14ac:dyDescent="0.35">
      <c r="A95" s="33" t="s">
        <v>3923</v>
      </c>
      <c r="B95" s="8" t="s">
        <v>3</v>
      </c>
      <c r="C95" s="8" t="s">
        <v>43</v>
      </c>
      <c r="D95" s="8" t="s">
        <v>55</v>
      </c>
      <c r="E95" s="34" t="s">
        <v>65</v>
      </c>
      <c r="F95" s="33" t="s">
        <v>1672</v>
      </c>
      <c r="G95" s="33" t="s">
        <v>1673</v>
      </c>
      <c r="H95" s="8" t="s">
        <v>54</v>
      </c>
      <c r="I95" s="7" t="s">
        <v>1674</v>
      </c>
      <c r="J95" s="6" t="s">
        <v>1675</v>
      </c>
    </row>
    <row r="96" spans="1:10" s="8" customFormat="1" x14ac:dyDescent="0.35">
      <c r="E96" s="20"/>
      <c r="I96" s="8" t="s">
        <v>1675</v>
      </c>
      <c r="J96" s="8" t="s">
        <v>1677</v>
      </c>
    </row>
    <row r="97" spans="1:10" s="8" customFormat="1" x14ac:dyDescent="0.35">
      <c r="I97" s="8" t="s">
        <v>1676</v>
      </c>
      <c r="J97" s="8" t="s">
        <v>1678</v>
      </c>
    </row>
    <row r="98" spans="1:10" s="8" customFormat="1" x14ac:dyDescent="0.35">
      <c r="I98" s="8" t="s">
        <v>1554</v>
      </c>
      <c r="J98" s="8" t="s">
        <v>3924</v>
      </c>
    </row>
    <row r="99" spans="1:10" s="8" customFormat="1" x14ac:dyDescent="0.35">
      <c r="I99" s="8" t="s">
        <v>1555</v>
      </c>
      <c r="J99" s="8" t="s">
        <v>3925</v>
      </c>
    </row>
    <row r="100" spans="1:10" s="8" customFormat="1" x14ac:dyDescent="0.35">
      <c r="I100" s="8" t="s">
        <v>104</v>
      </c>
      <c r="J100" s="8" t="s">
        <v>3926</v>
      </c>
    </row>
    <row r="101" spans="1:10" s="8" customFormat="1" x14ac:dyDescent="0.35">
      <c r="I101" s="38" t="s">
        <v>18</v>
      </c>
      <c r="J101" s="36" t="s">
        <v>3923</v>
      </c>
    </row>
    <row r="102" spans="1:10" s="8" customFormat="1" x14ac:dyDescent="0.35">
      <c r="A102" s="33" t="s">
        <v>1693</v>
      </c>
      <c r="B102" s="8" t="s">
        <v>3</v>
      </c>
      <c r="C102" s="8" t="s">
        <v>43</v>
      </c>
      <c r="D102" s="8" t="s">
        <v>55</v>
      </c>
      <c r="E102" s="34" t="s">
        <v>65</v>
      </c>
      <c r="F102" s="33" t="s">
        <v>1672</v>
      </c>
      <c r="G102" s="33" t="s">
        <v>1673</v>
      </c>
      <c r="H102" s="8" t="s">
        <v>54</v>
      </c>
      <c r="I102" s="7" t="s">
        <v>1674</v>
      </c>
      <c r="J102" s="6" t="s">
        <v>1694</v>
      </c>
    </row>
    <row r="103" spans="1:10" s="8" customFormat="1" x14ac:dyDescent="0.35">
      <c r="E103" s="30"/>
      <c r="I103" s="8" t="s">
        <v>1675</v>
      </c>
      <c r="J103" s="8" t="s">
        <v>1695</v>
      </c>
    </row>
    <row r="104" spans="1:10" s="8" customFormat="1" x14ac:dyDescent="0.35">
      <c r="I104" s="8" t="s">
        <v>1676</v>
      </c>
      <c r="J104" s="8" t="s">
        <v>1696</v>
      </c>
    </row>
    <row r="105" spans="1:10" s="8" customFormat="1" x14ac:dyDescent="0.35">
      <c r="I105" s="8" t="s">
        <v>1554</v>
      </c>
      <c r="J105" s="8" t="s">
        <v>1697</v>
      </c>
    </row>
    <row r="106" spans="1:10" s="8" customFormat="1" x14ac:dyDescent="0.35">
      <c r="I106" s="8" t="s">
        <v>1555</v>
      </c>
      <c r="J106" s="8" t="s">
        <v>1698</v>
      </c>
    </row>
    <row r="107" spans="1:10" s="8" customFormat="1" x14ac:dyDescent="0.35">
      <c r="I107" s="8" t="s">
        <v>104</v>
      </c>
      <c r="J107" s="8" t="s">
        <v>1699</v>
      </c>
    </row>
    <row r="108" spans="1:10" s="8" customFormat="1" x14ac:dyDescent="0.35">
      <c r="I108" s="38" t="s">
        <v>18</v>
      </c>
      <c r="J108" s="36" t="s">
        <v>1700</v>
      </c>
    </row>
    <row r="109" spans="1:10" s="8" customFormat="1" x14ac:dyDescent="0.35">
      <c r="A109" s="33" t="s">
        <v>3970</v>
      </c>
      <c r="B109" s="8" t="s">
        <v>3</v>
      </c>
      <c r="C109" s="8" t="s">
        <v>43</v>
      </c>
      <c r="D109" s="8" t="s">
        <v>55</v>
      </c>
      <c r="E109" s="34" t="s">
        <v>89</v>
      </c>
      <c r="F109" s="33" t="s">
        <v>1672</v>
      </c>
      <c r="G109" s="33" t="s">
        <v>1673</v>
      </c>
      <c r="H109" s="8" t="s">
        <v>54</v>
      </c>
      <c r="I109" s="7" t="s">
        <v>1674</v>
      </c>
      <c r="J109" s="6" t="s">
        <v>1694</v>
      </c>
    </row>
    <row r="110" spans="1:10" s="8" customFormat="1" x14ac:dyDescent="0.35">
      <c r="E110" s="30"/>
      <c r="I110" s="8" t="s">
        <v>1675</v>
      </c>
      <c r="J110" s="8" t="s">
        <v>2281</v>
      </c>
    </row>
    <row r="111" spans="1:10" s="8" customFormat="1" x14ac:dyDescent="0.35">
      <c r="I111" s="8" t="s">
        <v>1676</v>
      </c>
      <c r="J111" s="8" t="s">
        <v>3971</v>
      </c>
    </row>
    <row r="112" spans="1:10" s="8" customFormat="1" x14ac:dyDescent="0.35">
      <c r="I112" s="8" t="s">
        <v>1554</v>
      </c>
      <c r="J112" s="8" t="s">
        <v>3972</v>
      </c>
    </row>
    <row r="113" spans="9:10" s="8" customFormat="1" x14ac:dyDescent="0.35">
      <c r="I113" s="8" t="s">
        <v>1555</v>
      </c>
      <c r="J113" s="8" t="s">
        <v>3973</v>
      </c>
    </row>
    <row r="114" spans="9:10" s="8" customFormat="1" x14ac:dyDescent="0.35">
      <c r="I114" s="8" t="s">
        <v>104</v>
      </c>
      <c r="J114" s="8" t="s">
        <v>3974</v>
      </c>
    </row>
    <row r="115" spans="9:10" s="8" customFormat="1" x14ac:dyDescent="0.35">
      <c r="I115" s="38" t="s">
        <v>18</v>
      </c>
      <c r="J115" s="36" t="s">
        <v>3975</v>
      </c>
    </row>
  </sheetData>
  <autoFilter ref="E1:E108" xr:uid="{00000000-0001-0000-0900-000000000000}"/>
  <hyperlinks>
    <hyperlink ref="A1" location="Summary!A1" tooltip="Return to Totals" display="Back to Totals" xr:uid="{49CC5F79-4D43-496C-839A-6834CC4342E2}"/>
    <hyperlink ref="I19" r:id="rId1" xr:uid="{5CF3E2DD-729C-4700-A9F1-FDF4244FCEC0}"/>
    <hyperlink ref="I36" r:id="rId2" xr:uid="{1211DDE6-0299-4598-A972-6308C7330AF7}"/>
    <hyperlink ref="I70" r:id="rId3" xr:uid="{0792CB0C-67BC-4A78-9C43-23E815D0A45F}"/>
    <hyperlink ref="I87" r:id="rId4" xr:uid="{D8B16199-9AEE-47C5-B55F-7D6E6D7B993F}"/>
    <hyperlink ref="I94" r:id="rId5" xr:uid="{4D993091-2DC5-412F-8946-F8E0B601452F}"/>
    <hyperlink ref="I108" r:id="rId6" xr:uid="{4E4836D0-D3C6-4121-BEA2-DF7A92FC5191}"/>
    <hyperlink ref="I12" r:id="rId7" xr:uid="{B3C6D662-A05F-4F6A-B20F-C54C06F3A489}"/>
    <hyperlink ref="I29" r:id="rId8" xr:uid="{980BED64-F00B-49F0-988C-AB7E1F983C98}"/>
    <hyperlink ref="I53" r:id="rId9" xr:uid="{11585C17-14C7-44B5-BFB2-47CB96B4C906}"/>
    <hyperlink ref="I63" r:id="rId10" xr:uid="{13155E22-E3C4-4189-B726-61A49A524BD4}"/>
    <hyperlink ref="I80" r:id="rId11" xr:uid="{B6E75FC2-9506-4803-831E-0C0CCA179B47}"/>
    <hyperlink ref="J11" r:id="rId12" xr:uid="{7FB178FD-EAD7-46E4-A17A-74CA1E6077CF}"/>
    <hyperlink ref="A3" r:id="rId13" xr:uid="{98274738-8DF8-4FB1-9A49-5164D9834786}"/>
    <hyperlink ref="G3" r:id="rId14" xr:uid="{48B3D0C9-DD1A-4D22-9854-5BEB17E79784}"/>
    <hyperlink ref="G20" r:id="rId15" xr:uid="{0607A8FC-5C94-4AB8-B4D4-B1FB1483CBC8}"/>
    <hyperlink ref="G44" r:id="rId16" xr:uid="{51A071A5-A199-4C82-B5AA-930965D0BF37}"/>
    <hyperlink ref="G54" r:id="rId17" xr:uid="{9F328061-AB04-4799-A47A-01068FC11C89}"/>
    <hyperlink ref="G71" r:id="rId18" xr:uid="{CCFD35DC-07F7-4E00-B547-22C9EFC2A6C4}"/>
    <hyperlink ref="F3" r:id="rId19" xr:uid="{55F691DE-AE15-4696-883D-E4F0C81A9137}"/>
    <hyperlink ref="F20" r:id="rId20" xr:uid="{EC4449B9-6A3E-4EFC-BBD1-1616FAA08932}"/>
    <hyperlink ref="F44" r:id="rId21" xr:uid="{3D6EB5DD-2003-47F1-8CF0-94D59FDEE7F7}"/>
    <hyperlink ref="F54" r:id="rId22" xr:uid="{ACDB3C24-7AB2-4869-AF83-31E35FEBA93C}"/>
    <hyperlink ref="F71" r:id="rId23" xr:uid="{A79FC52F-24FE-4304-8C74-065E9C3F71C2}"/>
    <hyperlink ref="G13" r:id="rId24" xr:uid="{CB8E590B-71CC-47A7-A633-C35E55A4DB27}"/>
    <hyperlink ref="F13" r:id="rId25" xr:uid="{E2DE784F-D74A-4C02-8AE9-E5D9B083200D}"/>
    <hyperlink ref="G30" r:id="rId26" xr:uid="{28D8DC26-98F2-48F3-B43F-D2ECFF8DECD2}"/>
    <hyperlink ref="G64" r:id="rId27" xr:uid="{BD1A80E1-4D7A-4D0F-AE03-287DF4CD2BC3}"/>
    <hyperlink ref="G88" r:id="rId28" xr:uid="{3ABF26D0-7336-4CA0-A95F-47252758A204}"/>
    <hyperlink ref="G102" r:id="rId29" xr:uid="{0F34D27F-D514-4714-8B43-C0D5C824ABEC}"/>
    <hyperlink ref="G81" r:id="rId30" xr:uid="{D423EF51-AF87-46D2-B796-787C253FA7D9}"/>
    <hyperlink ref="F30" r:id="rId31" xr:uid="{D5ED9555-3BCF-436F-8BEF-B1BA268F5809}"/>
    <hyperlink ref="F64" r:id="rId32" xr:uid="{0C01831A-382E-48F3-8995-3002473D55CE}"/>
    <hyperlink ref="F88" r:id="rId33" xr:uid="{72A96DB7-B0D0-48E7-BDB7-7BEB3FF5D361}"/>
    <hyperlink ref="F102" r:id="rId34" xr:uid="{5724C924-04DB-4B72-B4C3-AFB5306C04CE}"/>
    <hyperlink ref="F81" r:id="rId35" xr:uid="{162AE0A5-2845-40A5-90C0-145FB6CD0B20}"/>
    <hyperlink ref="J19" r:id="rId36" xr:uid="{0F763FC9-B6C6-4E47-915B-8B59DB469DD1}"/>
    <hyperlink ref="J29" r:id="rId37" xr:uid="{0D735A1B-635A-42CB-8611-B71ED2EC02EE}"/>
    <hyperlink ref="J36" r:id="rId38" xr:uid="{C155FF91-E259-45E3-AF05-76AB904A6CE6}"/>
    <hyperlink ref="J52" r:id="rId39" xr:uid="{3754DE1B-7D92-44ED-8455-62F50050C841}"/>
    <hyperlink ref="J62" r:id="rId40" xr:uid="{56E6E886-2BD8-4980-A19C-68878BDAF776}"/>
    <hyperlink ref="A54" r:id="rId41" xr:uid="{1081261B-8138-4675-85A6-894C00CFBB3B}"/>
    <hyperlink ref="J70" r:id="rId42" xr:uid="{27B584CA-CFE9-4DD3-A145-A73F507CB07E}"/>
    <hyperlink ref="J80" r:id="rId43" xr:uid="{91E9141E-743F-4F6B-A5B0-D3BD807294F2}"/>
    <hyperlink ref="J87" r:id="rId44" xr:uid="{E8A20B75-2A8E-414C-B23D-4BA798886DBC}"/>
    <hyperlink ref="J94" r:id="rId45" xr:uid="{7C120027-EEFF-4A9A-B2A5-63FF05412076}"/>
    <hyperlink ref="J108" r:id="rId46" xr:uid="{24174A9E-4E6F-46C3-B451-B40727755AB6}"/>
    <hyperlink ref="A13" r:id="rId47" xr:uid="{90C0F2AC-532C-4B87-AB78-E6063F0F1530}"/>
    <hyperlink ref="A30" r:id="rId48" xr:uid="{79A6ADF3-AE2D-49F1-BC06-0F9B228F59CE}"/>
    <hyperlink ref="A64" r:id="rId49" xr:uid="{A39701C0-0B17-4EFD-8428-DFA708573871}"/>
    <hyperlink ref="A88" r:id="rId50" xr:uid="{9FB130A6-F41D-46EB-BA59-720B8D9B392F}"/>
    <hyperlink ref="A102" r:id="rId51" xr:uid="{C038DA31-E821-4861-899E-3ADEDD6DB3F7}"/>
    <hyperlink ref="A44" r:id="rId52" xr:uid="{AB974E93-A042-47E9-930F-D2EC7DFE55DB}"/>
    <hyperlink ref="A71" r:id="rId53" xr:uid="{052C3DDA-20E4-403B-85C3-9C78EDD25CEF}"/>
    <hyperlink ref="A45" r:id="rId54" xr:uid="{E52703C3-A609-411E-AD6A-B14A0AFE9917}"/>
    <hyperlink ref="A20" r:id="rId55" xr:uid="{BEC8AEE0-10B9-470A-A7CD-98F0227D3423}"/>
    <hyperlink ref="A81" r:id="rId56" xr:uid="{A4E83945-0710-468B-B352-A40FA1D47725}"/>
    <hyperlink ref="E102" r:id="rId57" xr:uid="{7FB80A31-BC52-4FAB-811B-8B81708B190E}"/>
    <hyperlink ref="E88" r:id="rId58" xr:uid="{27A5D6E1-B996-477D-8FBA-2848925268A8}"/>
    <hyperlink ref="E81" r:id="rId59" xr:uid="{48A47C8D-F056-4A1F-81AB-1BBF187C2B3E}"/>
    <hyperlink ref="E71" r:id="rId60" xr:uid="{8DF8D20B-F298-42B0-B5CC-E16F4E3B963B}"/>
    <hyperlink ref="E64" r:id="rId61" xr:uid="{04229FC4-7AB3-4C75-A8F2-B576DC28EAFB}"/>
    <hyperlink ref="E54" r:id="rId62" xr:uid="{8D8FDC38-538C-4A9E-B66A-818BDF1B0F11}"/>
    <hyperlink ref="E44" r:id="rId63" xr:uid="{EECE5BFB-26AC-4783-8B00-6511DE0E3D62}"/>
    <hyperlink ref="E30" r:id="rId64" xr:uid="{B1E0EB32-AEC8-4C9D-B114-62E65ED32431}"/>
    <hyperlink ref="E20" r:id="rId65" xr:uid="{49D8D34E-EB55-45B2-9BFE-F68A9266E3B8}"/>
    <hyperlink ref="E13" r:id="rId66" xr:uid="{9D093720-F9FD-43B4-AE08-69E21C565ECF}"/>
    <hyperlink ref="E3" r:id="rId67" xr:uid="{3E66A820-70E9-4FB3-83E0-F93C29F60B4C}"/>
    <hyperlink ref="I43" r:id="rId68" xr:uid="{E73CEDA0-FD69-4321-BBAC-EFE9B23A4AB1}"/>
    <hyperlink ref="G37" r:id="rId69" xr:uid="{C36988BC-D12A-4A28-890A-5993C1C8E98D}"/>
    <hyperlink ref="F37" r:id="rId70" xr:uid="{C4CE86C6-1FCB-46B0-ADA1-010FD6DDD572}"/>
    <hyperlink ref="J43" r:id="rId71" xr:uid="{9064EC06-4266-4568-892C-CBBC7DB5198D}"/>
    <hyperlink ref="A37" r:id="rId72" xr:uid="{A963FCBA-02CA-4FB0-8B7A-BFB3410632E3}"/>
    <hyperlink ref="E37" r:id="rId73" xr:uid="{FD7279D1-E94A-49D4-8D05-6EF0B7D945EC}"/>
    <hyperlink ref="I101" r:id="rId74" xr:uid="{F72E492F-EE7A-4B35-9FFA-009B12812E55}"/>
    <hyperlink ref="G95" r:id="rId75" xr:uid="{40996D85-DDE6-4F6C-A0B0-5F1099948EC9}"/>
    <hyperlink ref="F95" r:id="rId76" xr:uid="{897B4C64-A898-406B-B8FD-452B86B06F48}"/>
    <hyperlink ref="J101" r:id="rId77" xr:uid="{91B4EAA0-724B-4C1D-8F36-9D22040B3290}"/>
    <hyperlink ref="A95" r:id="rId78" xr:uid="{321BEB4A-BCC7-4B9A-8D2B-E5854BB64443}"/>
    <hyperlink ref="E95" r:id="rId79" xr:uid="{0DA1FD8D-A187-4033-B603-EC55DD406295}"/>
    <hyperlink ref="I115" r:id="rId80" xr:uid="{54E774E4-0F95-45CE-A374-B711D62FB5A6}"/>
    <hyperlink ref="G109" r:id="rId81" xr:uid="{EB8AE0D5-ABC8-4921-B3E2-DDACF66EE0E7}"/>
    <hyperlink ref="F109" r:id="rId82" xr:uid="{E439DEF6-2205-48A5-A1DA-53893FDCE6E3}"/>
    <hyperlink ref="J115" r:id="rId83" xr:uid="{7FA874CB-5A8F-461A-8238-3947B66EA25B}"/>
    <hyperlink ref="A109" r:id="rId84" display="ricko1961" xr:uid="{049659B5-CE7F-4694-84E9-E5EBCDA88888}"/>
    <hyperlink ref="E109" r:id="rId85" xr:uid="{D1EB9159-2EE9-4810-B356-4DB3B9FE692F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0">
    <tabColor rgb="FFFF0000"/>
  </sheetPr>
  <dimension ref="A1:J9"/>
  <sheetViews>
    <sheetView workbookViewId="0"/>
  </sheetViews>
  <sheetFormatPr defaultRowHeight="14.5" x14ac:dyDescent="0.35"/>
  <cols>
    <col min="1" max="1" width="15.453125" customWidth="1"/>
    <col min="2" max="2" width="13.7265625" customWidth="1"/>
    <col min="3" max="3" width="22.08984375" customWidth="1"/>
    <col min="4" max="4" width="26" customWidth="1"/>
    <col min="5" max="5" width="12" customWidth="1"/>
    <col min="6" max="6" width="29.7265625" customWidth="1"/>
    <col min="7" max="7" width="32.26953125" customWidth="1"/>
    <col min="8" max="8" width="23.26953125" customWidth="1"/>
    <col min="9" max="9" width="22.36328125" customWidth="1"/>
    <col min="10" max="10" width="26.7265625" customWidth="1"/>
  </cols>
  <sheetData>
    <row r="1" spans="1:10" x14ac:dyDescent="0.35">
      <c r="A1" s="34" t="s">
        <v>3196</v>
      </c>
      <c r="B1" s="16">
        <f>COUNTIF(I2:I1067,C1)+COUNTIF(I2:I1067,D1)</f>
        <v>1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267</v>
      </c>
      <c r="B3" t="s">
        <v>3</v>
      </c>
      <c r="C3" t="s">
        <v>43</v>
      </c>
      <c r="D3" t="s">
        <v>55</v>
      </c>
      <c r="E3" s="34" t="s">
        <v>72</v>
      </c>
      <c r="F3" s="33" t="s">
        <v>274</v>
      </c>
      <c r="G3" s="33" t="s">
        <v>268</v>
      </c>
      <c r="H3" t="s">
        <v>54</v>
      </c>
      <c r="I3" s="1" t="s">
        <v>275</v>
      </c>
      <c r="J3" s="3" t="s">
        <v>273</v>
      </c>
    </row>
    <row r="4" spans="1:10" x14ac:dyDescent="0.35">
      <c r="E4" s="17"/>
      <c r="I4" t="s">
        <v>193</v>
      </c>
      <c r="J4" t="s">
        <v>272</v>
      </c>
    </row>
    <row r="5" spans="1:10" x14ac:dyDescent="0.35">
      <c r="I5" t="s">
        <v>142</v>
      </c>
      <c r="J5" t="s">
        <v>271</v>
      </c>
    </row>
    <row r="6" spans="1:10" x14ac:dyDescent="0.35">
      <c r="I6" t="s">
        <v>98</v>
      </c>
      <c r="J6" t="s">
        <v>270</v>
      </c>
    </row>
    <row r="7" spans="1:10" x14ac:dyDescent="0.35">
      <c r="I7" t="s">
        <v>100</v>
      </c>
      <c r="J7" t="s">
        <v>269</v>
      </c>
    </row>
    <row r="8" spans="1:10" x14ac:dyDescent="0.35">
      <c r="I8" t="s">
        <v>104</v>
      </c>
      <c r="J8" t="s">
        <v>280</v>
      </c>
    </row>
    <row r="9" spans="1:10" x14ac:dyDescent="0.35">
      <c r="I9" s="38" t="s">
        <v>18</v>
      </c>
      <c r="J9" s="36" t="s">
        <v>267</v>
      </c>
    </row>
  </sheetData>
  <hyperlinks>
    <hyperlink ref="A1" location="Summary!A1" tooltip="Return to Totals" display="Back to Totals" xr:uid="{34F550FA-AA05-461A-8371-362AC8B9ADFF}"/>
    <hyperlink ref="I9" r:id="rId1" xr:uid="{BDB163C5-8151-444E-A23C-951E0CD4D5F9}"/>
    <hyperlink ref="F3" r:id="rId2" xr:uid="{42455ACB-B0FC-4B08-879B-3C5788A2F84A}"/>
    <hyperlink ref="G3" r:id="rId3" xr:uid="{2A5CDC35-BFBE-47F3-8A73-91997D4B4A82}"/>
    <hyperlink ref="J9" r:id="rId4" xr:uid="{CCB51E40-527C-453C-9E26-FB3BB3E7E740}"/>
    <hyperlink ref="A3" r:id="rId5" xr:uid="{98B92388-66B2-41C8-BC45-016E9CA1250D}"/>
    <hyperlink ref="E3" r:id="rId6" xr:uid="{7C7FEBC0-1215-4627-AF0A-570B8DCFD4CF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1">
    <tabColor rgb="FFC00000"/>
  </sheetPr>
  <dimension ref="A1:K184"/>
  <sheetViews>
    <sheetView topLeftCell="A16" workbookViewId="0">
      <selection activeCell="A21" sqref="A21"/>
    </sheetView>
  </sheetViews>
  <sheetFormatPr defaultRowHeight="14.5" x14ac:dyDescent="0.35"/>
  <cols>
    <col min="1" max="1" width="21.81640625" customWidth="1"/>
    <col min="2" max="2" width="11.26953125" customWidth="1"/>
    <col min="3" max="3" width="23.08984375" customWidth="1"/>
    <col min="4" max="4" width="26.453125" customWidth="1"/>
    <col min="5" max="5" width="12.54296875" customWidth="1"/>
    <col min="6" max="6" width="23.36328125" customWidth="1"/>
    <col min="7" max="7" width="25.1796875" customWidth="1"/>
    <col min="8" max="8" width="24.1796875" customWidth="1"/>
    <col min="9" max="9" width="25.453125" customWidth="1"/>
    <col min="10" max="10" width="25.7265625" customWidth="1"/>
    <col min="11" max="11" width="18.81640625" customWidth="1"/>
  </cols>
  <sheetData>
    <row r="1" spans="1:11" x14ac:dyDescent="0.35">
      <c r="A1" s="34" t="s">
        <v>3196</v>
      </c>
      <c r="B1" s="16">
        <f>COUNTIF(I2:I1171,C1)+COUNTIF(I2:I1171,D1)</f>
        <v>36</v>
      </c>
      <c r="C1" s="9" t="s">
        <v>18</v>
      </c>
      <c r="D1" s="17" t="s">
        <v>1249</v>
      </c>
    </row>
    <row r="2" spans="1:11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  <c r="K2" s="10" t="s">
        <v>4252</v>
      </c>
    </row>
    <row r="3" spans="1:11" x14ac:dyDescent="0.35">
      <c r="A3" s="33" t="s">
        <v>95</v>
      </c>
      <c r="B3" t="s">
        <v>3</v>
      </c>
      <c r="C3" t="s">
        <v>6</v>
      </c>
      <c r="D3" t="s">
        <v>105</v>
      </c>
      <c r="E3" s="40" t="s">
        <v>1226</v>
      </c>
      <c r="F3" s="33" t="s">
        <v>97</v>
      </c>
      <c r="G3" s="33" t="s">
        <v>98</v>
      </c>
      <c r="H3" t="s">
        <v>99</v>
      </c>
      <c r="I3" s="1" t="s">
        <v>100</v>
      </c>
      <c r="J3" s="3" t="s">
        <v>101</v>
      </c>
      <c r="K3" t="str" cm="1">
        <f t="array" ref="K3:K115">_xlfn._xlws.SORT(_xlfn.UNIQUE(_xlfn._xlws.FILTER(J:J, J:J &lt;&gt; "")))</f>
        <v>Alfred Banham</v>
      </c>
    </row>
    <row r="4" spans="1:11" x14ac:dyDescent="0.35">
      <c r="E4" s="34" t="s">
        <v>96</v>
      </c>
      <c r="G4" s="33"/>
      <c r="I4" t="s">
        <v>104</v>
      </c>
      <c r="J4" t="s">
        <v>102</v>
      </c>
      <c r="K4" t="str">
        <v>Amy Delmonte Hall</v>
      </c>
    </row>
    <row r="5" spans="1:11" x14ac:dyDescent="0.35">
      <c r="I5" s="38" t="s">
        <v>18</v>
      </c>
      <c r="J5" s="36" t="s">
        <v>103</v>
      </c>
      <c r="K5" t="str">
        <v>Angela Boxall</v>
      </c>
    </row>
    <row r="6" spans="1:11" x14ac:dyDescent="0.35">
      <c r="A6" s="33" t="s">
        <v>1220</v>
      </c>
      <c r="B6" s="2" t="s">
        <v>550</v>
      </c>
      <c r="C6" t="s">
        <v>22</v>
      </c>
      <c r="D6" t="s">
        <v>562</v>
      </c>
      <c r="E6" s="34" t="s">
        <v>1216</v>
      </c>
      <c r="F6" s="33" t="s">
        <v>97</v>
      </c>
      <c r="G6" s="37" t="s">
        <v>98</v>
      </c>
      <c r="H6" t="s">
        <v>99</v>
      </c>
      <c r="I6" s="1" t="s">
        <v>100</v>
      </c>
      <c r="J6" s="3" t="s">
        <v>1217</v>
      </c>
      <c r="K6" t="str">
        <v>Ann E C Hall</v>
      </c>
    </row>
    <row r="7" spans="1:11" x14ac:dyDescent="0.35">
      <c r="I7" t="s">
        <v>104</v>
      </c>
      <c r="J7" t="s">
        <v>1218</v>
      </c>
      <c r="K7" t="str">
        <v>Annie Kathleen Willis</v>
      </c>
    </row>
    <row r="8" spans="1:11" x14ac:dyDescent="0.35">
      <c r="I8" s="38" t="s">
        <v>18</v>
      </c>
      <c r="J8" t="s">
        <v>1219</v>
      </c>
      <c r="K8" t="str">
        <v>Anthony B Williams</v>
      </c>
    </row>
    <row r="9" spans="1:11" x14ac:dyDescent="0.35">
      <c r="J9" s="36" t="s">
        <v>1220</v>
      </c>
      <c r="K9" t="str">
        <v>April Faulkner</v>
      </c>
    </row>
    <row r="10" spans="1:11" x14ac:dyDescent="0.35">
      <c r="A10" s="33" t="s">
        <v>106</v>
      </c>
      <c r="B10" t="s">
        <v>3</v>
      </c>
      <c r="C10" t="s">
        <v>6</v>
      </c>
      <c r="D10" t="s">
        <v>114</v>
      </c>
      <c r="E10" s="40" t="s">
        <v>1227</v>
      </c>
      <c r="F10" s="33" t="s">
        <v>97</v>
      </c>
      <c r="G10" s="42" t="s">
        <v>98</v>
      </c>
      <c r="H10" t="s">
        <v>99</v>
      </c>
      <c r="I10" s="1" t="s">
        <v>100</v>
      </c>
      <c r="J10" s="3" t="s">
        <v>109</v>
      </c>
      <c r="K10" t="str">
        <v>Arthur John Hall</v>
      </c>
    </row>
    <row r="11" spans="1:11" x14ac:dyDescent="0.35">
      <c r="E11" s="34" t="s">
        <v>107</v>
      </c>
      <c r="G11" s="35" t="s">
        <v>108</v>
      </c>
      <c r="I11" t="s">
        <v>104</v>
      </c>
      <c r="J11" t="s">
        <v>110</v>
      </c>
      <c r="K11" t="str">
        <v>Banham</v>
      </c>
    </row>
    <row r="12" spans="1:11" x14ac:dyDescent="0.35">
      <c r="I12" s="38" t="s">
        <v>18</v>
      </c>
      <c r="J12" s="36" t="s">
        <v>2844</v>
      </c>
      <c r="K12" t="str">
        <v>Barbara D Butters</v>
      </c>
    </row>
    <row r="13" spans="1:11" x14ac:dyDescent="0.35">
      <c r="A13" s="33" t="s">
        <v>549</v>
      </c>
      <c r="B13" s="2" t="s">
        <v>550</v>
      </c>
      <c r="C13" t="s">
        <v>22</v>
      </c>
      <c r="D13" t="s">
        <v>554</v>
      </c>
      <c r="E13" s="34" t="s">
        <v>551</v>
      </c>
      <c r="F13" s="33" t="s">
        <v>97</v>
      </c>
      <c r="G13" s="42" t="s">
        <v>98</v>
      </c>
      <c r="H13" t="s">
        <v>99</v>
      </c>
      <c r="I13" s="1" t="s">
        <v>100</v>
      </c>
      <c r="J13" s="3" t="s">
        <v>109</v>
      </c>
      <c r="K13" t="str">
        <v>Barbara Jean Hall</v>
      </c>
    </row>
    <row r="14" spans="1:11" x14ac:dyDescent="0.35">
      <c r="G14" s="35" t="s">
        <v>108</v>
      </c>
      <c r="I14" t="s">
        <v>104</v>
      </c>
      <c r="J14" t="s">
        <v>553</v>
      </c>
      <c r="K14" t="str">
        <v>Bryce Masters</v>
      </c>
    </row>
    <row r="15" spans="1:11" x14ac:dyDescent="0.35">
      <c r="I15" s="38" t="s">
        <v>18</v>
      </c>
      <c r="J15" t="s">
        <v>552</v>
      </c>
      <c r="K15" t="str">
        <v>Carol Edith Ryder</v>
      </c>
    </row>
    <row r="16" spans="1:11" x14ac:dyDescent="0.35">
      <c r="J16" s="36" t="s">
        <v>549</v>
      </c>
      <c r="K16" t="str">
        <v>Cecil Dudley Hall</v>
      </c>
    </row>
    <row r="17" spans="1:11" x14ac:dyDescent="0.35">
      <c r="A17" s="33" t="s">
        <v>4187</v>
      </c>
      <c r="B17" t="s">
        <v>3</v>
      </c>
      <c r="C17" t="s">
        <v>41</v>
      </c>
      <c r="D17" t="s">
        <v>562</v>
      </c>
      <c r="E17" s="34" t="s">
        <v>4188</v>
      </c>
      <c r="F17" s="33" t="s">
        <v>97</v>
      </c>
      <c r="G17" s="37" t="s">
        <v>98</v>
      </c>
      <c r="H17" t="s">
        <v>99</v>
      </c>
      <c r="I17" s="1" t="s">
        <v>100</v>
      </c>
      <c r="J17" s="3" t="s">
        <v>4189</v>
      </c>
      <c r="K17" t="str">
        <v>Cecil Hall</v>
      </c>
    </row>
    <row r="18" spans="1:11" x14ac:dyDescent="0.35">
      <c r="E18" s="17"/>
      <c r="I18" t="s">
        <v>104</v>
      </c>
      <c r="J18" t="s">
        <v>4190</v>
      </c>
      <c r="K18" t="str">
        <v>Charles Henry Hall</v>
      </c>
    </row>
    <row r="19" spans="1:11" x14ac:dyDescent="0.35">
      <c r="I19" s="38" t="s">
        <v>18</v>
      </c>
      <c r="J19" t="s">
        <v>4191</v>
      </c>
      <c r="K19" t="str">
        <v>Cherish Maxwell</v>
      </c>
    </row>
    <row r="20" spans="1:11" x14ac:dyDescent="0.35">
      <c r="J20" s="36" t="s">
        <v>4187</v>
      </c>
      <c r="K20" t="str">
        <v>Clare Jane Daborn</v>
      </c>
    </row>
    <row r="21" spans="1:11" x14ac:dyDescent="0.35">
      <c r="A21" s="33" t="s">
        <v>4360</v>
      </c>
      <c r="B21" s="1" t="s">
        <v>315</v>
      </c>
      <c r="C21" t="s">
        <v>41</v>
      </c>
      <c r="D21" t="s">
        <v>184</v>
      </c>
      <c r="E21" s="34" t="s">
        <v>4361</v>
      </c>
      <c r="F21" s="33" t="s">
        <v>3612</v>
      </c>
      <c r="G21" s="33" t="s">
        <v>3613</v>
      </c>
      <c r="H21" t="s">
        <v>130</v>
      </c>
      <c r="I21" s="1" t="s">
        <v>283</v>
      </c>
      <c r="J21" s="3" t="s">
        <v>3614</v>
      </c>
      <c r="K21" t="str">
        <v>Corinne Bachnsky</v>
      </c>
    </row>
    <row r="22" spans="1:11" x14ac:dyDescent="0.35">
      <c r="E22" s="17"/>
      <c r="I22" s="8" t="s">
        <v>285</v>
      </c>
      <c r="J22" t="s">
        <v>3615</v>
      </c>
      <c r="K22" t="str">
        <v>Daisy Hall</v>
      </c>
    </row>
    <row r="23" spans="1:11" x14ac:dyDescent="0.35">
      <c r="I23" t="s">
        <v>97</v>
      </c>
      <c r="J23" t="s">
        <v>4362</v>
      </c>
      <c r="K23" t="str">
        <v>Daphne Diana Davies</v>
      </c>
    </row>
    <row r="24" spans="1:11" x14ac:dyDescent="0.35">
      <c r="I24" t="s">
        <v>100</v>
      </c>
      <c r="J24" t="s">
        <v>4363</v>
      </c>
      <c r="K24" t="str">
        <v>David Ian Clennell</v>
      </c>
    </row>
    <row r="25" spans="1:11" x14ac:dyDescent="0.35">
      <c r="I25" t="s">
        <v>104</v>
      </c>
      <c r="J25" t="s">
        <v>4364</v>
      </c>
      <c r="K25" t="str">
        <v>David Platt</v>
      </c>
    </row>
    <row r="26" spans="1:11" x14ac:dyDescent="0.35">
      <c r="I26" s="38" t="s">
        <v>18</v>
      </c>
      <c r="J26" s="36" t="s">
        <v>4365</v>
      </c>
      <c r="K26" t="str">
        <v>Dawn McCluskey</v>
      </c>
    </row>
    <row r="27" spans="1:11" x14ac:dyDescent="0.35">
      <c r="A27" s="33" t="s">
        <v>3618</v>
      </c>
      <c r="B27" s="2" t="s">
        <v>550</v>
      </c>
      <c r="C27" t="s">
        <v>41</v>
      </c>
      <c r="D27" t="s">
        <v>159</v>
      </c>
      <c r="E27" s="34" t="s">
        <v>3611</v>
      </c>
      <c r="F27" s="33" t="s">
        <v>3612</v>
      </c>
      <c r="G27" s="33" t="s">
        <v>3613</v>
      </c>
      <c r="H27" t="s">
        <v>130</v>
      </c>
      <c r="I27" s="1" t="s">
        <v>283</v>
      </c>
      <c r="J27" s="3" t="s">
        <v>3614</v>
      </c>
      <c r="K27" t="str">
        <v>Debra Julie Carter</v>
      </c>
    </row>
    <row r="28" spans="1:11" x14ac:dyDescent="0.35">
      <c r="E28" s="17"/>
      <c r="I28" s="8" t="s">
        <v>285</v>
      </c>
      <c r="J28" t="s">
        <v>3615</v>
      </c>
      <c r="K28" t="str">
        <v>Denise Annette Goodchild</v>
      </c>
    </row>
    <row r="29" spans="1:11" x14ac:dyDescent="0.35">
      <c r="I29" t="s">
        <v>97</v>
      </c>
      <c r="J29" t="s">
        <v>3615</v>
      </c>
      <c r="K29" t="str">
        <v>Denise Elmy</v>
      </c>
    </row>
    <row r="30" spans="1:11" x14ac:dyDescent="0.35">
      <c r="I30" t="s">
        <v>100</v>
      </c>
      <c r="J30" t="s">
        <v>3616</v>
      </c>
      <c r="K30" t="str">
        <v>Denise L Langford</v>
      </c>
    </row>
    <row r="31" spans="1:11" x14ac:dyDescent="0.35">
      <c r="I31" t="s">
        <v>104</v>
      </c>
      <c r="J31" s="36" t="s">
        <v>3617</v>
      </c>
      <c r="K31" t="str">
        <v>Doreen Joan Ruffel</v>
      </c>
    </row>
    <row r="32" spans="1:11" x14ac:dyDescent="0.35">
      <c r="I32" s="38" t="s">
        <v>18</v>
      </c>
      <c r="J32" s="37"/>
      <c r="K32" t="str">
        <v>Dorothy Thelma Hall</v>
      </c>
    </row>
    <row r="33" spans="1:11" x14ac:dyDescent="0.35">
      <c r="A33" s="33" t="s">
        <v>3492</v>
      </c>
      <c r="B33" s="1" t="s">
        <v>315</v>
      </c>
      <c r="C33" t="s">
        <v>25</v>
      </c>
      <c r="D33" t="s">
        <v>159</v>
      </c>
      <c r="E33" s="40" t="s">
        <v>3488</v>
      </c>
      <c r="F33" s="33" t="s">
        <v>283</v>
      </c>
      <c r="G33" s="33" t="s">
        <v>284</v>
      </c>
      <c r="H33" t="s">
        <v>73</v>
      </c>
      <c r="I33" s="7" t="s">
        <v>285</v>
      </c>
      <c r="J33" s="3" t="s">
        <v>286</v>
      </c>
      <c r="K33" t="str">
        <v>Edith Gertrude Hall</v>
      </c>
    </row>
    <row r="34" spans="1:11" x14ac:dyDescent="0.35">
      <c r="E34" s="15"/>
      <c r="I34" t="s">
        <v>97</v>
      </c>
      <c r="J34" t="s">
        <v>287</v>
      </c>
      <c r="K34" t="str">
        <v>Edward William Hall</v>
      </c>
    </row>
    <row r="35" spans="1:11" x14ac:dyDescent="0.35">
      <c r="I35" t="s">
        <v>100</v>
      </c>
      <c r="J35" t="s">
        <v>3489</v>
      </c>
      <c r="K35" t="str">
        <v>Edwin Lewis Read</v>
      </c>
    </row>
    <row r="36" spans="1:11" x14ac:dyDescent="0.35">
      <c r="I36" t="s">
        <v>104</v>
      </c>
      <c r="J36" t="s">
        <v>3490</v>
      </c>
      <c r="K36" t="str">
        <v>Eliza Ford</v>
      </c>
    </row>
    <row r="37" spans="1:11" x14ac:dyDescent="0.35">
      <c r="I37" s="38" t="s">
        <v>1249</v>
      </c>
      <c r="J37" t="s">
        <v>3491</v>
      </c>
      <c r="K37" t="str">
        <v>Elizabeth F Hall</v>
      </c>
    </row>
    <row r="38" spans="1:11" x14ac:dyDescent="0.35">
      <c r="I38" s="37"/>
      <c r="J38" s="36" t="s">
        <v>3492</v>
      </c>
      <c r="K38" t="str">
        <v>Ellen Lillian Read</v>
      </c>
    </row>
    <row r="39" spans="1:11" x14ac:dyDescent="0.35">
      <c r="A39" s="33" t="s">
        <v>2419</v>
      </c>
      <c r="B39" t="s">
        <v>3</v>
      </c>
      <c r="C39" t="s">
        <v>25</v>
      </c>
      <c r="D39" t="s">
        <v>2133</v>
      </c>
      <c r="E39" s="34" t="s">
        <v>662</v>
      </c>
      <c r="F39" s="33" t="s">
        <v>283</v>
      </c>
      <c r="G39" s="33" t="s">
        <v>284</v>
      </c>
      <c r="H39" t="s">
        <v>73</v>
      </c>
      <c r="I39" s="7" t="s">
        <v>285</v>
      </c>
      <c r="J39" s="3" t="s">
        <v>1235</v>
      </c>
      <c r="K39" t="str">
        <v>Elsie Rhoda McDougal</v>
      </c>
    </row>
    <row r="40" spans="1:11" x14ac:dyDescent="0.35">
      <c r="E40" s="17"/>
      <c r="I40" t="s">
        <v>97</v>
      </c>
      <c r="J40" t="s">
        <v>2420</v>
      </c>
      <c r="K40" t="str">
        <v>Eric Banham</v>
      </c>
    </row>
    <row r="41" spans="1:11" x14ac:dyDescent="0.35">
      <c r="I41" t="s">
        <v>100</v>
      </c>
      <c r="J41" t="s">
        <v>2421</v>
      </c>
      <c r="K41" t="str">
        <v>Eric Lionel Banham</v>
      </c>
    </row>
    <row r="42" spans="1:11" x14ac:dyDescent="0.35">
      <c r="I42" t="s">
        <v>104</v>
      </c>
      <c r="J42" t="s">
        <v>2422</v>
      </c>
      <c r="K42" t="str">
        <v>Ethel Christine Hall</v>
      </c>
    </row>
    <row r="43" spans="1:11" x14ac:dyDescent="0.35">
      <c r="I43" s="38" t="s">
        <v>18</v>
      </c>
      <c r="J43" s="36" t="s">
        <v>2423</v>
      </c>
      <c r="K43" t="str">
        <v>Evelyn Grace Masters</v>
      </c>
    </row>
    <row r="44" spans="1:11" x14ac:dyDescent="0.35">
      <c r="A44" s="33" t="s">
        <v>2716</v>
      </c>
      <c r="B44" s="2" t="s">
        <v>550</v>
      </c>
      <c r="C44" t="s">
        <v>22</v>
      </c>
      <c r="D44" t="s">
        <v>562</v>
      </c>
      <c r="E44" s="34" t="s">
        <v>2717</v>
      </c>
      <c r="F44" s="33" t="s">
        <v>97</v>
      </c>
      <c r="G44" s="37" t="s">
        <v>98</v>
      </c>
      <c r="H44" t="s">
        <v>99</v>
      </c>
      <c r="I44" s="1" t="s">
        <v>100</v>
      </c>
      <c r="J44" s="3" t="s">
        <v>1217</v>
      </c>
      <c r="K44" t="str">
        <v>Florence Ida Hall</v>
      </c>
    </row>
    <row r="45" spans="1:11" x14ac:dyDescent="0.35">
      <c r="I45" t="s">
        <v>104</v>
      </c>
      <c r="J45" t="s">
        <v>1218</v>
      </c>
      <c r="K45" t="str">
        <v>Frederick George Syms</v>
      </c>
    </row>
    <row r="46" spans="1:11" x14ac:dyDescent="0.35">
      <c r="I46" s="38" t="s">
        <v>18</v>
      </c>
      <c r="J46" t="s">
        <v>1219</v>
      </c>
      <c r="K46" t="str">
        <v>Frederick Hall</v>
      </c>
    </row>
    <row r="47" spans="1:11" x14ac:dyDescent="0.35">
      <c r="J47" s="36" t="s">
        <v>2716</v>
      </c>
      <c r="K47" t="str">
        <v>Frederick J Banham</v>
      </c>
    </row>
    <row r="48" spans="1:11" x14ac:dyDescent="0.35">
      <c r="A48" s="33" t="s">
        <v>3619</v>
      </c>
      <c r="B48" s="2" t="s">
        <v>550</v>
      </c>
      <c r="C48" t="s">
        <v>41</v>
      </c>
      <c r="D48" t="s">
        <v>184</v>
      </c>
      <c r="E48" s="34" t="s">
        <v>2717</v>
      </c>
      <c r="F48" s="33" t="s">
        <v>3612</v>
      </c>
      <c r="G48" s="33" t="s">
        <v>3613</v>
      </c>
      <c r="H48" t="s">
        <v>130</v>
      </c>
      <c r="I48" s="1" t="s">
        <v>283</v>
      </c>
      <c r="J48" s="3" t="s">
        <v>3614</v>
      </c>
      <c r="K48" t="str">
        <v>Frederick J Hall</v>
      </c>
    </row>
    <row r="49" spans="1:11" x14ac:dyDescent="0.35">
      <c r="E49" s="17"/>
      <c r="I49" s="8" t="s">
        <v>285</v>
      </c>
      <c r="J49" t="s">
        <v>3615</v>
      </c>
      <c r="K49" t="str">
        <v>Frederick Jasper Hall</v>
      </c>
    </row>
    <row r="50" spans="1:11" x14ac:dyDescent="0.35">
      <c r="I50" t="s">
        <v>97</v>
      </c>
      <c r="J50" t="s">
        <v>3615</v>
      </c>
      <c r="K50" t="str">
        <v>Frederick Jesse Hall</v>
      </c>
    </row>
    <row r="51" spans="1:11" x14ac:dyDescent="0.35">
      <c r="I51" t="s">
        <v>100</v>
      </c>
      <c r="J51" t="s">
        <v>3616</v>
      </c>
      <c r="K51" t="str">
        <v>Gareth Robert Syms</v>
      </c>
    </row>
    <row r="52" spans="1:11" x14ac:dyDescent="0.35">
      <c r="I52" t="s">
        <v>104</v>
      </c>
      <c r="J52" t="s">
        <v>3617</v>
      </c>
      <c r="K52" t="str">
        <v>George Frederick Hall</v>
      </c>
    </row>
    <row r="53" spans="1:11" x14ac:dyDescent="0.35">
      <c r="I53" s="38" t="s">
        <v>18</v>
      </c>
      <c r="J53" s="36" t="s">
        <v>3619</v>
      </c>
      <c r="K53" t="str">
        <v>George Henry Hall</v>
      </c>
    </row>
    <row r="54" spans="1:11" x14ac:dyDescent="0.35">
      <c r="A54" s="33" t="s">
        <v>1233</v>
      </c>
      <c r="B54" t="s">
        <v>3</v>
      </c>
      <c r="C54" t="s">
        <v>6</v>
      </c>
      <c r="D54" t="s">
        <v>22</v>
      </c>
      <c r="E54" s="34" t="s">
        <v>1232</v>
      </c>
      <c r="F54" s="33" t="s">
        <v>285</v>
      </c>
      <c r="G54" s="33" t="s">
        <v>167</v>
      </c>
      <c r="H54" t="s">
        <v>74</v>
      </c>
      <c r="I54" s="1" t="s">
        <v>97</v>
      </c>
      <c r="J54" s="3" t="s">
        <v>1235</v>
      </c>
      <c r="K54" t="str">
        <v>George R Lavallin</v>
      </c>
    </row>
    <row r="55" spans="1:11" x14ac:dyDescent="0.35">
      <c r="E55" s="54" t="s">
        <v>1234</v>
      </c>
      <c r="I55" t="s">
        <v>100</v>
      </c>
      <c r="J55" t="s">
        <v>1236</v>
      </c>
      <c r="K55" t="str">
        <v>George Robert Banham</v>
      </c>
    </row>
    <row r="56" spans="1:11" x14ac:dyDescent="0.35">
      <c r="I56" t="s">
        <v>104</v>
      </c>
      <c r="J56" t="s">
        <v>1237</v>
      </c>
      <c r="K56" t="str">
        <v>Grace Dunkerley</v>
      </c>
    </row>
    <row r="57" spans="1:11" x14ac:dyDescent="0.35">
      <c r="I57" s="38" t="s">
        <v>18</v>
      </c>
      <c r="J57" s="36" t="s">
        <v>1233</v>
      </c>
      <c r="K57" t="str">
        <v>Greta R Hazel</v>
      </c>
    </row>
    <row r="58" spans="1:11" x14ac:dyDescent="0.35">
      <c r="A58" s="33" t="s">
        <v>565</v>
      </c>
      <c r="B58" s="2" t="s">
        <v>550</v>
      </c>
      <c r="C58" t="s">
        <v>22</v>
      </c>
      <c r="D58" t="s">
        <v>562</v>
      </c>
      <c r="E58" s="34" t="s">
        <v>566</v>
      </c>
      <c r="F58" s="33" t="s">
        <v>97</v>
      </c>
      <c r="G58" s="37" t="s">
        <v>98</v>
      </c>
      <c r="H58" t="s">
        <v>99</v>
      </c>
      <c r="I58" s="1" t="s">
        <v>100</v>
      </c>
      <c r="J58" s="3" t="s">
        <v>561</v>
      </c>
      <c r="K58" t="str">
        <v>Gwendoline P Hall</v>
      </c>
    </row>
    <row r="59" spans="1:11" x14ac:dyDescent="0.35">
      <c r="I59" t="s">
        <v>104</v>
      </c>
      <c r="J59" t="s">
        <v>564</v>
      </c>
      <c r="K59" t="str">
        <v>Gwendoline R Banham</v>
      </c>
    </row>
    <row r="60" spans="1:11" x14ac:dyDescent="0.35">
      <c r="I60" s="38" t="s">
        <v>18</v>
      </c>
      <c r="J60" t="s">
        <v>563</v>
      </c>
      <c r="K60" t="str">
        <v>Gwendoline Ryder</v>
      </c>
    </row>
    <row r="61" spans="1:11" x14ac:dyDescent="0.35">
      <c r="J61" s="36" t="s">
        <v>565</v>
      </c>
      <c r="K61" t="str">
        <v>Henry William Hall</v>
      </c>
    </row>
    <row r="62" spans="1:11" x14ac:dyDescent="0.35">
      <c r="A62" s="33" t="s">
        <v>559</v>
      </c>
      <c r="B62" s="2" t="s">
        <v>550</v>
      </c>
      <c r="C62" t="s">
        <v>22</v>
      </c>
      <c r="D62" t="s">
        <v>562</v>
      </c>
      <c r="E62" s="34" t="s">
        <v>560</v>
      </c>
      <c r="F62" s="33" t="s">
        <v>97</v>
      </c>
      <c r="G62" s="37" t="s">
        <v>98</v>
      </c>
      <c r="H62" t="s">
        <v>99</v>
      </c>
      <c r="I62" s="1" t="s">
        <v>100</v>
      </c>
      <c r="J62" s="3" t="s">
        <v>561</v>
      </c>
      <c r="K62" t="str">
        <v>Irene May McDougal</v>
      </c>
    </row>
    <row r="63" spans="1:11" x14ac:dyDescent="0.35">
      <c r="I63" t="s">
        <v>104</v>
      </c>
      <c r="J63" t="s">
        <v>564</v>
      </c>
      <c r="K63" t="str">
        <v>Isabella Hall</v>
      </c>
    </row>
    <row r="64" spans="1:11" x14ac:dyDescent="0.35">
      <c r="I64" s="38" t="s">
        <v>18</v>
      </c>
      <c r="J64" t="s">
        <v>563</v>
      </c>
      <c r="K64" t="str">
        <v>James A F Hall</v>
      </c>
    </row>
    <row r="65" spans="1:11" x14ac:dyDescent="0.35">
      <c r="J65" s="36" t="s">
        <v>559</v>
      </c>
      <c r="K65" t="str">
        <v>James Alfred Hall</v>
      </c>
    </row>
    <row r="66" spans="1:11" x14ac:dyDescent="0.35">
      <c r="A66" s="33" t="s">
        <v>555</v>
      </c>
      <c r="B66" s="2" t="s">
        <v>550</v>
      </c>
      <c r="C66" t="s">
        <v>22</v>
      </c>
      <c r="D66" t="s">
        <v>554</v>
      </c>
      <c r="E66" s="34" t="s">
        <v>556</v>
      </c>
      <c r="F66" s="33" t="s">
        <v>97</v>
      </c>
      <c r="G66" s="42" t="s">
        <v>98</v>
      </c>
      <c r="H66" t="s">
        <v>99</v>
      </c>
      <c r="I66" s="1" t="s">
        <v>100</v>
      </c>
      <c r="J66" s="3" t="s">
        <v>109</v>
      </c>
      <c r="K66" t="str">
        <v>James Hall</v>
      </c>
    </row>
    <row r="67" spans="1:11" x14ac:dyDescent="0.35">
      <c r="G67" s="35" t="s">
        <v>108</v>
      </c>
      <c r="I67" t="s">
        <v>104</v>
      </c>
      <c r="J67" t="s">
        <v>558</v>
      </c>
      <c r="K67" t="str">
        <v>James Nicholls</v>
      </c>
    </row>
    <row r="68" spans="1:11" x14ac:dyDescent="0.35">
      <c r="I68" s="38" t="s">
        <v>18</v>
      </c>
      <c r="J68" t="s">
        <v>557</v>
      </c>
      <c r="K68" t="str">
        <v>Jamil Maxwell</v>
      </c>
    </row>
    <row r="69" spans="1:11" x14ac:dyDescent="0.35">
      <c r="J69" s="36" t="s">
        <v>555</v>
      </c>
      <c r="K69" t="str">
        <v>Jane E Clayton</v>
      </c>
    </row>
    <row r="70" spans="1:11" x14ac:dyDescent="0.35">
      <c r="A70" s="33" t="s">
        <v>2132</v>
      </c>
      <c r="B70" t="s">
        <v>3</v>
      </c>
      <c r="C70" t="s">
        <v>25</v>
      </c>
      <c r="D70" t="s">
        <v>2133</v>
      </c>
      <c r="E70" s="40" t="s">
        <v>2134</v>
      </c>
      <c r="F70" s="33" t="s">
        <v>283</v>
      </c>
      <c r="G70" s="33" t="s">
        <v>284</v>
      </c>
      <c r="H70" t="s">
        <v>73</v>
      </c>
      <c r="I70" s="7" t="s">
        <v>285</v>
      </c>
      <c r="J70" s="3" t="s">
        <v>286</v>
      </c>
      <c r="K70" t="str">
        <v>John Malcolm Banham</v>
      </c>
    </row>
    <row r="71" spans="1:11" x14ac:dyDescent="0.35">
      <c r="E71" s="15"/>
      <c r="I71" t="s">
        <v>97</v>
      </c>
      <c r="J71" t="s">
        <v>287</v>
      </c>
      <c r="K71" t="str">
        <v>Katie Louise Dunkerley</v>
      </c>
    </row>
    <row r="72" spans="1:11" x14ac:dyDescent="0.35">
      <c r="I72" t="s">
        <v>100</v>
      </c>
      <c r="J72" t="s">
        <v>2135</v>
      </c>
      <c r="K72" t="str">
        <v>Katrina Helen Mexson</v>
      </c>
    </row>
    <row r="73" spans="1:11" x14ac:dyDescent="0.35">
      <c r="I73" t="s">
        <v>104</v>
      </c>
      <c r="J73" t="s">
        <v>2136</v>
      </c>
      <c r="K73" t="str">
        <v>Keith Syms</v>
      </c>
    </row>
    <row r="74" spans="1:11" x14ac:dyDescent="0.35">
      <c r="I74" s="38" t="s">
        <v>1249</v>
      </c>
      <c r="J74" s="36" t="s">
        <v>2137</v>
      </c>
      <c r="K74" t="str">
        <v>Kyle Short</v>
      </c>
    </row>
    <row r="75" spans="1:11" x14ac:dyDescent="0.35">
      <c r="A75" s="33" t="s">
        <v>2494</v>
      </c>
      <c r="B75" s="1" t="s">
        <v>315</v>
      </c>
      <c r="C75" t="s">
        <v>6</v>
      </c>
      <c r="D75" t="s">
        <v>22</v>
      </c>
      <c r="E75" s="34" t="s">
        <v>666</v>
      </c>
      <c r="F75" s="33" t="s">
        <v>285</v>
      </c>
      <c r="G75" s="33" t="s">
        <v>167</v>
      </c>
      <c r="H75" t="s">
        <v>74</v>
      </c>
      <c r="I75" s="1" t="s">
        <v>97</v>
      </c>
      <c r="J75" s="3" t="s">
        <v>2495</v>
      </c>
      <c r="K75" t="str">
        <v>Laura Jane Dunkerley</v>
      </c>
    </row>
    <row r="76" spans="1:11" x14ac:dyDescent="0.35">
      <c r="E76" s="40" t="s">
        <v>132</v>
      </c>
      <c r="I76" t="s">
        <v>100</v>
      </c>
      <c r="J76" t="s">
        <v>2496</v>
      </c>
      <c r="K76" t="str">
        <v>Linda Chown</v>
      </c>
    </row>
    <row r="77" spans="1:11" x14ac:dyDescent="0.35">
      <c r="I77" t="s">
        <v>104</v>
      </c>
      <c r="J77" t="s">
        <v>2497</v>
      </c>
      <c r="K77" t="str">
        <v>Linda D Stemp</v>
      </c>
    </row>
    <row r="78" spans="1:11" x14ac:dyDescent="0.35">
      <c r="I78" s="38" t="s">
        <v>18</v>
      </c>
      <c r="J78" s="36" t="s">
        <v>2494</v>
      </c>
      <c r="K78" t="str">
        <v>Lorraine Tattershall</v>
      </c>
    </row>
    <row r="79" spans="1:11" x14ac:dyDescent="0.35">
      <c r="A79" s="33" t="s">
        <v>3340</v>
      </c>
      <c r="B79" s="2" t="s">
        <v>550</v>
      </c>
      <c r="C79" t="s">
        <v>41</v>
      </c>
      <c r="D79" t="s">
        <v>554</v>
      </c>
      <c r="E79" s="34" t="s">
        <v>1430</v>
      </c>
      <c r="F79" s="33" t="s">
        <v>97</v>
      </c>
      <c r="G79" s="42" t="s">
        <v>98</v>
      </c>
      <c r="H79" t="s">
        <v>99</v>
      </c>
      <c r="I79" s="1" t="s">
        <v>100</v>
      </c>
      <c r="J79" s="3" t="s">
        <v>1493</v>
      </c>
      <c r="K79" t="str">
        <v>Lynda Willis</v>
      </c>
    </row>
    <row r="80" spans="1:11" x14ac:dyDescent="0.35">
      <c r="G80" s="35" t="s">
        <v>108</v>
      </c>
      <c r="I80" t="s">
        <v>104</v>
      </c>
      <c r="J80" t="s">
        <v>3341</v>
      </c>
      <c r="K80" t="str">
        <v>Male Platt</v>
      </c>
    </row>
    <row r="81" spans="1:11" x14ac:dyDescent="0.35">
      <c r="I81" s="38" t="s">
        <v>18</v>
      </c>
      <c r="J81" t="s">
        <v>3342</v>
      </c>
      <c r="K81" t="str">
        <v>Male Willis</v>
      </c>
    </row>
    <row r="82" spans="1:11" x14ac:dyDescent="0.35">
      <c r="J82" s="36" t="s">
        <v>3340</v>
      </c>
      <c r="K82" t="str">
        <v>Margot Elizabeth Hall</v>
      </c>
    </row>
    <row r="83" spans="1:11" x14ac:dyDescent="0.35">
      <c r="A83" s="33" t="s">
        <v>1321</v>
      </c>
      <c r="B83" t="s">
        <v>3</v>
      </c>
      <c r="C83" t="s">
        <v>25</v>
      </c>
      <c r="D83" t="s">
        <v>159</v>
      </c>
      <c r="E83" s="40" t="s">
        <v>1322</v>
      </c>
      <c r="F83" s="33" t="s">
        <v>283</v>
      </c>
      <c r="G83" s="33" t="s">
        <v>284</v>
      </c>
      <c r="H83" t="s">
        <v>73</v>
      </c>
      <c r="I83" s="7" t="s">
        <v>285</v>
      </c>
      <c r="J83" s="3" t="s">
        <v>1235</v>
      </c>
      <c r="K83" t="str">
        <v>Marian C Sporle</v>
      </c>
    </row>
    <row r="84" spans="1:11" x14ac:dyDescent="0.35">
      <c r="E84" s="15"/>
      <c r="I84" t="s">
        <v>97</v>
      </c>
      <c r="J84" t="s">
        <v>1323</v>
      </c>
      <c r="K84" t="str">
        <v>Marianne Hall</v>
      </c>
    </row>
    <row r="85" spans="1:11" x14ac:dyDescent="0.35">
      <c r="I85" t="s">
        <v>100</v>
      </c>
      <c r="J85" t="s">
        <v>1324</v>
      </c>
      <c r="K85" t="str">
        <v>Marion Hall</v>
      </c>
    </row>
    <row r="86" spans="1:11" x14ac:dyDescent="0.35">
      <c r="I86" t="s">
        <v>104</v>
      </c>
      <c r="J86" t="s">
        <v>1325</v>
      </c>
      <c r="K86" t="str">
        <v>Mark McCluskey</v>
      </c>
    </row>
    <row r="87" spans="1:11" x14ac:dyDescent="0.35">
      <c r="I87" s="38" t="s">
        <v>1249</v>
      </c>
      <c r="J87" t="s">
        <v>1326</v>
      </c>
      <c r="K87" t="str">
        <v>Mary Hall</v>
      </c>
    </row>
    <row r="88" spans="1:11" x14ac:dyDescent="0.35">
      <c r="J88" s="36" t="s">
        <v>1321</v>
      </c>
      <c r="K88" t="str">
        <v>Matched Ancestry</v>
      </c>
    </row>
    <row r="89" spans="1:11" x14ac:dyDescent="0.35">
      <c r="A89" s="33" t="s">
        <v>3565</v>
      </c>
      <c r="B89" t="s">
        <v>3</v>
      </c>
      <c r="C89" t="s">
        <v>25</v>
      </c>
      <c r="D89" t="s">
        <v>30</v>
      </c>
      <c r="E89" s="34" t="s">
        <v>1322</v>
      </c>
      <c r="F89" s="33" t="s">
        <v>283</v>
      </c>
      <c r="G89" s="33" t="s">
        <v>284</v>
      </c>
      <c r="H89" t="s">
        <v>73</v>
      </c>
      <c r="I89" s="7" t="s">
        <v>285</v>
      </c>
      <c r="J89" s="3" t="s">
        <v>1235</v>
      </c>
      <c r="K89" t="str">
        <v>Matthew Williams</v>
      </c>
    </row>
    <row r="90" spans="1:11" x14ac:dyDescent="0.35">
      <c r="E90" s="40" t="s">
        <v>189</v>
      </c>
      <c r="I90" t="s">
        <v>97</v>
      </c>
      <c r="J90" t="s">
        <v>1323</v>
      </c>
      <c r="K90" t="str">
        <v>Maud Demonte Hall</v>
      </c>
    </row>
    <row r="91" spans="1:11" x14ac:dyDescent="0.35">
      <c r="I91" t="s">
        <v>100</v>
      </c>
      <c r="J91" t="s">
        <v>3566</v>
      </c>
      <c r="K91" t="str">
        <v>Maureen J Hall</v>
      </c>
    </row>
    <row r="92" spans="1:11" x14ac:dyDescent="0.35">
      <c r="I92" t="s">
        <v>104</v>
      </c>
      <c r="J92" s="36" t="s">
        <v>3567</v>
      </c>
      <c r="K92" t="str">
        <v>Nellie Hall</v>
      </c>
    </row>
    <row r="93" spans="1:11" x14ac:dyDescent="0.35">
      <c r="I93" s="38" t="s">
        <v>1249</v>
      </c>
      <c r="K93" t="str">
        <v>Peter Donald Ryder</v>
      </c>
    </row>
    <row r="94" spans="1:11" x14ac:dyDescent="0.35">
      <c r="K94" t="str">
        <v>Phyllis Georgina Hall</v>
      </c>
    </row>
    <row r="95" spans="1:11" x14ac:dyDescent="0.35">
      <c r="A95" s="33" t="s">
        <v>3343</v>
      </c>
      <c r="B95" s="2" t="s">
        <v>550</v>
      </c>
      <c r="C95" t="s">
        <v>41</v>
      </c>
      <c r="D95" t="s">
        <v>554</v>
      </c>
      <c r="E95" s="34" t="s">
        <v>26</v>
      </c>
      <c r="F95" s="33" t="s">
        <v>97</v>
      </c>
      <c r="G95" s="42" t="s">
        <v>98</v>
      </c>
      <c r="H95" t="s">
        <v>99</v>
      </c>
      <c r="I95" s="1" t="s">
        <v>100</v>
      </c>
      <c r="J95" s="3" t="s">
        <v>1493</v>
      </c>
      <c r="K95" t="str">
        <v>R Williams</v>
      </c>
    </row>
    <row r="96" spans="1:11" x14ac:dyDescent="0.35">
      <c r="G96" s="35" t="s">
        <v>108</v>
      </c>
      <c r="I96" t="s">
        <v>104</v>
      </c>
      <c r="J96" t="s">
        <v>3341</v>
      </c>
      <c r="K96" t="str">
        <v>Richard Sidney Hall</v>
      </c>
    </row>
    <row r="97" spans="1:11" x14ac:dyDescent="0.35">
      <c r="I97" s="38" t="s">
        <v>18</v>
      </c>
      <c r="J97" t="s">
        <v>3342</v>
      </c>
      <c r="K97" t="str">
        <v>Rita Delmonte Boxall</v>
      </c>
    </row>
    <row r="98" spans="1:11" x14ac:dyDescent="0.35">
      <c r="J98" s="36" t="s">
        <v>3343</v>
      </c>
      <c r="K98" t="str">
        <v>Robert Hall</v>
      </c>
    </row>
    <row r="99" spans="1:11" x14ac:dyDescent="0.35">
      <c r="A99" s="33" t="s">
        <v>3676</v>
      </c>
      <c r="B99" s="2" t="s">
        <v>315</v>
      </c>
      <c r="C99" t="s">
        <v>3677</v>
      </c>
      <c r="D99" t="s">
        <v>159</v>
      </c>
      <c r="E99" s="40" t="s">
        <v>26</v>
      </c>
      <c r="F99" s="33" t="s">
        <v>283</v>
      </c>
      <c r="G99" s="33" t="s">
        <v>284</v>
      </c>
      <c r="H99" t="s">
        <v>73</v>
      </c>
      <c r="I99" s="7" t="s">
        <v>285</v>
      </c>
      <c r="J99" s="3" t="s">
        <v>3678</v>
      </c>
      <c r="K99" t="str">
        <v>Robert Henry Hall</v>
      </c>
    </row>
    <row r="100" spans="1:11" x14ac:dyDescent="0.35">
      <c r="I100" t="s">
        <v>97</v>
      </c>
      <c r="J100" t="s">
        <v>287</v>
      </c>
      <c r="K100" t="str">
        <v>Robert James Hall</v>
      </c>
    </row>
    <row r="101" spans="1:11" x14ac:dyDescent="0.35">
      <c r="I101" t="s">
        <v>100</v>
      </c>
      <c r="J101" t="s">
        <v>288</v>
      </c>
      <c r="K101" t="str">
        <v>Robert King</v>
      </c>
    </row>
    <row r="102" spans="1:11" x14ac:dyDescent="0.35">
      <c r="I102" t="s">
        <v>104</v>
      </c>
      <c r="J102" t="s">
        <v>289</v>
      </c>
      <c r="K102" t="str">
        <v>Sarah L Clennell</v>
      </c>
    </row>
    <row r="103" spans="1:11" x14ac:dyDescent="0.35">
      <c r="I103" s="38" t="s">
        <v>1249</v>
      </c>
      <c r="J103" t="s">
        <v>3679</v>
      </c>
      <c r="K103" t="str">
        <v>Short</v>
      </c>
    </row>
    <row r="104" spans="1:11" x14ac:dyDescent="0.35">
      <c r="I104" s="37"/>
      <c r="J104" s="36" t="s">
        <v>3676</v>
      </c>
      <c r="K104" t="str">
        <v>Sidney James Hall</v>
      </c>
    </row>
    <row r="105" spans="1:11" x14ac:dyDescent="0.35">
      <c r="A105" s="33" t="s">
        <v>3763</v>
      </c>
      <c r="B105" t="s">
        <v>3</v>
      </c>
      <c r="C105" t="s">
        <v>43</v>
      </c>
      <c r="D105" t="s">
        <v>184</v>
      </c>
      <c r="E105" s="100" t="s">
        <v>145</v>
      </c>
      <c r="F105" s="33" t="s">
        <v>3612</v>
      </c>
      <c r="G105" s="33" t="s">
        <v>3613</v>
      </c>
      <c r="H105" t="s">
        <v>130</v>
      </c>
      <c r="I105" s="1" t="s">
        <v>283</v>
      </c>
      <c r="J105" s="3" t="s">
        <v>3664</v>
      </c>
      <c r="K105" t="str">
        <v>Stanley Autun Tattershall</v>
      </c>
    </row>
    <row r="106" spans="1:11" x14ac:dyDescent="0.35">
      <c r="E106" s="15"/>
      <c r="I106" s="8" t="s">
        <v>285</v>
      </c>
      <c r="J106" t="s">
        <v>3664</v>
      </c>
      <c r="K106" t="str">
        <v>Stephen Hall</v>
      </c>
    </row>
    <row r="107" spans="1:11" x14ac:dyDescent="0.35">
      <c r="I107" t="s">
        <v>97</v>
      </c>
      <c r="J107" t="s">
        <v>3665</v>
      </c>
      <c r="K107" t="str">
        <v>Sybil Kate Banham</v>
      </c>
    </row>
    <row r="108" spans="1:11" x14ac:dyDescent="0.35">
      <c r="I108" t="s">
        <v>100</v>
      </c>
      <c r="J108" t="s">
        <v>3666</v>
      </c>
      <c r="K108" t="str">
        <v>Tahira Hodsman</v>
      </c>
    </row>
    <row r="109" spans="1:11" x14ac:dyDescent="0.35">
      <c r="I109" t="s">
        <v>104</v>
      </c>
      <c r="J109" t="s">
        <v>3667</v>
      </c>
      <c r="K109" t="str">
        <v>Timothy Daniel Swain</v>
      </c>
    </row>
    <row r="110" spans="1:11" x14ac:dyDescent="0.35">
      <c r="I110" s="38" t="s">
        <v>1249</v>
      </c>
      <c r="J110" s="36" t="s">
        <v>3763</v>
      </c>
      <c r="K110" t="str">
        <v>Vera L Gibson</v>
      </c>
    </row>
    <row r="111" spans="1:11" x14ac:dyDescent="0.35">
      <c r="A111" s="33" t="s">
        <v>1736</v>
      </c>
      <c r="B111" s="1" t="s">
        <v>315</v>
      </c>
      <c r="C111" t="s">
        <v>607</v>
      </c>
      <c r="D111" t="s">
        <v>30</v>
      </c>
      <c r="E111" s="34" t="s">
        <v>749</v>
      </c>
      <c r="F111" s="33" t="s">
        <v>285</v>
      </c>
      <c r="G111" s="33" t="s">
        <v>167</v>
      </c>
      <c r="H111" t="s">
        <v>74</v>
      </c>
      <c r="I111" s="1" t="s">
        <v>97</v>
      </c>
      <c r="J111" s="3" t="s">
        <v>1235</v>
      </c>
      <c r="K111" t="str">
        <v>Victor George Syms</v>
      </c>
    </row>
    <row r="112" spans="1:11" x14ac:dyDescent="0.35">
      <c r="B112" t="s">
        <v>3</v>
      </c>
      <c r="E112" s="40" t="s">
        <v>201</v>
      </c>
      <c r="I112" t="s">
        <v>100</v>
      </c>
      <c r="J112" t="s">
        <v>1236</v>
      </c>
      <c r="K112" t="str">
        <v>Violet Selina Hall</v>
      </c>
    </row>
    <row r="113" spans="1:11" x14ac:dyDescent="0.35">
      <c r="I113" t="s">
        <v>104</v>
      </c>
      <c r="J113" t="s">
        <v>1237</v>
      </c>
      <c r="K113" t="str">
        <v>Vivien Banham</v>
      </c>
    </row>
    <row r="114" spans="1:11" x14ac:dyDescent="0.35">
      <c r="I114" s="38" t="s">
        <v>18</v>
      </c>
      <c r="J114" t="s">
        <v>1737</v>
      </c>
      <c r="K114" t="str">
        <v>William Colchester Hall</v>
      </c>
    </row>
    <row r="115" spans="1:11" x14ac:dyDescent="0.35">
      <c r="J115" s="36" t="s">
        <v>1736</v>
      </c>
      <c r="K115" t="str">
        <v>William Swiderski</v>
      </c>
    </row>
    <row r="116" spans="1:11" x14ac:dyDescent="0.35">
      <c r="A116" s="33" t="s">
        <v>2138</v>
      </c>
      <c r="B116" t="s">
        <v>3</v>
      </c>
      <c r="C116" t="s">
        <v>43</v>
      </c>
      <c r="D116" t="s">
        <v>159</v>
      </c>
      <c r="E116" s="40" t="s">
        <v>363</v>
      </c>
      <c r="F116" s="33" t="s">
        <v>283</v>
      </c>
      <c r="G116" s="33" t="s">
        <v>284</v>
      </c>
      <c r="H116" t="s">
        <v>73</v>
      </c>
      <c r="I116" s="7" t="s">
        <v>285</v>
      </c>
      <c r="J116" s="3" t="s">
        <v>286</v>
      </c>
    </row>
    <row r="117" spans="1:11" x14ac:dyDescent="0.35">
      <c r="I117" t="s">
        <v>97</v>
      </c>
      <c r="J117" t="s">
        <v>287</v>
      </c>
    </row>
    <row r="118" spans="1:11" x14ac:dyDescent="0.35">
      <c r="I118" t="s">
        <v>100</v>
      </c>
      <c r="J118" t="s">
        <v>288</v>
      </c>
    </row>
    <row r="119" spans="1:11" x14ac:dyDescent="0.35">
      <c r="I119" t="s">
        <v>104</v>
      </c>
      <c r="J119" t="s">
        <v>289</v>
      </c>
    </row>
    <row r="120" spans="1:11" x14ac:dyDescent="0.35">
      <c r="I120" s="38" t="s">
        <v>18</v>
      </c>
      <c r="J120" t="s">
        <v>290</v>
      </c>
    </row>
    <row r="121" spans="1:11" x14ac:dyDescent="0.35">
      <c r="J121" s="36" t="s">
        <v>291</v>
      </c>
    </row>
    <row r="122" spans="1:11" x14ac:dyDescent="0.35">
      <c r="A122" s="33" t="s">
        <v>3644</v>
      </c>
      <c r="B122" t="s">
        <v>3</v>
      </c>
      <c r="C122" t="s">
        <v>43</v>
      </c>
      <c r="D122" t="s">
        <v>184</v>
      </c>
      <c r="E122" s="34" t="s">
        <v>327</v>
      </c>
      <c r="F122" s="33" t="s">
        <v>3612</v>
      </c>
      <c r="G122" s="33" t="s">
        <v>3613</v>
      </c>
      <c r="H122" t="s">
        <v>130</v>
      </c>
      <c r="I122" s="1" t="s">
        <v>283</v>
      </c>
      <c r="J122" s="3" t="s">
        <v>3614</v>
      </c>
    </row>
    <row r="123" spans="1:11" x14ac:dyDescent="0.35">
      <c r="E123" s="17"/>
      <c r="I123" s="8" t="s">
        <v>285</v>
      </c>
      <c r="J123" t="s">
        <v>3645</v>
      </c>
    </row>
    <row r="124" spans="1:11" x14ac:dyDescent="0.35">
      <c r="I124" t="s">
        <v>97</v>
      </c>
      <c r="J124" t="s">
        <v>3646</v>
      </c>
    </row>
    <row r="125" spans="1:11" x14ac:dyDescent="0.35">
      <c r="I125" t="s">
        <v>100</v>
      </c>
      <c r="J125" t="s">
        <v>3647</v>
      </c>
    </row>
    <row r="126" spans="1:11" x14ac:dyDescent="0.35">
      <c r="I126" t="s">
        <v>104</v>
      </c>
      <c r="J126" t="s">
        <v>3648</v>
      </c>
    </row>
    <row r="127" spans="1:11" x14ac:dyDescent="0.35">
      <c r="I127" s="38" t="s">
        <v>18</v>
      </c>
      <c r="J127" s="36" t="s">
        <v>3649</v>
      </c>
    </row>
    <row r="128" spans="1:11" x14ac:dyDescent="0.35">
      <c r="A128" s="33" t="s">
        <v>2604</v>
      </c>
      <c r="B128" s="1" t="s">
        <v>315</v>
      </c>
      <c r="C128" t="s">
        <v>43</v>
      </c>
      <c r="D128" t="s">
        <v>2133</v>
      </c>
      <c r="E128" s="34" t="s">
        <v>161</v>
      </c>
      <c r="F128" s="33" t="s">
        <v>283</v>
      </c>
      <c r="G128" s="33" t="s">
        <v>284</v>
      </c>
      <c r="H128" t="s">
        <v>73</v>
      </c>
      <c r="I128" s="7" t="s">
        <v>285</v>
      </c>
      <c r="J128" s="3" t="s">
        <v>1235</v>
      </c>
    </row>
    <row r="129" spans="1:10" x14ac:dyDescent="0.35">
      <c r="E129" s="17"/>
      <c r="I129" t="s">
        <v>97</v>
      </c>
      <c r="J129" t="s">
        <v>2605</v>
      </c>
    </row>
    <row r="130" spans="1:10" x14ac:dyDescent="0.35">
      <c r="I130" t="s">
        <v>100</v>
      </c>
      <c r="J130" t="s">
        <v>2606</v>
      </c>
    </row>
    <row r="131" spans="1:10" x14ac:dyDescent="0.35">
      <c r="I131" t="s">
        <v>104</v>
      </c>
      <c r="J131" t="s">
        <v>2607</v>
      </c>
    </row>
    <row r="132" spans="1:10" x14ac:dyDescent="0.35">
      <c r="I132" s="38" t="s">
        <v>18</v>
      </c>
      <c r="J132" s="36" t="s">
        <v>2608</v>
      </c>
    </row>
    <row r="133" spans="1:10" x14ac:dyDescent="0.35">
      <c r="A133" s="33" t="s">
        <v>1492</v>
      </c>
      <c r="B133" t="s">
        <v>3</v>
      </c>
      <c r="C133" t="s">
        <v>25</v>
      </c>
      <c r="D133" t="s">
        <v>562</v>
      </c>
      <c r="E133" s="40" t="s">
        <v>169</v>
      </c>
      <c r="F133" s="33" t="s">
        <v>97</v>
      </c>
      <c r="G133" s="42" t="s">
        <v>98</v>
      </c>
      <c r="H133" t="s">
        <v>73</v>
      </c>
      <c r="I133" s="1" t="s">
        <v>100</v>
      </c>
      <c r="J133" s="3" t="s">
        <v>1493</v>
      </c>
    </row>
    <row r="134" spans="1:10" x14ac:dyDescent="0.35">
      <c r="E134" s="15"/>
      <c r="G134" s="35" t="s">
        <v>108</v>
      </c>
      <c r="I134" t="s">
        <v>104</v>
      </c>
      <c r="J134" t="s">
        <v>1494</v>
      </c>
    </row>
    <row r="135" spans="1:10" x14ac:dyDescent="0.35">
      <c r="I135" s="38" t="s">
        <v>1249</v>
      </c>
      <c r="J135" t="s">
        <v>1495</v>
      </c>
    </row>
    <row r="136" spans="1:10" x14ac:dyDescent="0.35">
      <c r="J136" s="36" t="s">
        <v>1492</v>
      </c>
    </row>
    <row r="137" spans="1:10" x14ac:dyDescent="0.35">
      <c r="A137" s="33" t="s">
        <v>1445</v>
      </c>
      <c r="B137" t="s">
        <v>3</v>
      </c>
      <c r="C137" t="s">
        <v>25</v>
      </c>
      <c r="D137" t="s">
        <v>159</v>
      </c>
      <c r="E137" s="34" t="s">
        <v>909</v>
      </c>
      <c r="F137" s="33" t="s">
        <v>283</v>
      </c>
      <c r="G137" s="33" t="s">
        <v>284</v>
      </c>
      <c r="H137" t="s">
        <v>73</v>
      </c>
      <c r="I137" s="7" t="s">
        <v>285</v>
      </c>
      <c r="J137" s="3" t="s">
        <v>1235</v>
      </c>
    </row>
    <row r="138" spans="1:10" x14ac:dyDescent="0.35">
      <c r="E138" s="17"/>
      <c r="I138" t="s">
        <v>97</v>
      </c>
      <c r="J138" t="s">
        <v>1323</v>
      </c>
    </row>
    <row r="139" spans="1:10" x14ac:dyDescent="0.35">
      <c r="I139" t="s">
        <v>100</v>
      </c>
      <c r="J139" t="s">
        <v>1324</v>
      </c>
    </row>
    <row r="140" spans="1:10" x14ac:dyDescent="0.35">
      <c r="I140" t="s">
        <v>104</v>
      </c>
      <c r="J140" t="s">
        <v>1325</v>
      </c>
    </row>
    <row r="141" spans="1:10" x14ac:dyDescent="0.35">
      <c r="I141" s="38" t="s">
        <v>1249</v>
      </c>
      <c r="J141" t="s">
        <v>1326</v>
      </c>
    </row>
    <row r="142" spans="1:10" x14ac:dyDescent="0.35">
      <c r="J142" s="36" t="s">
        <v>1446</v>
      </c>
    </row>
    <row r="143" spans="1:10" x14ac:dyDescent="0.35">
      <c r="A143" s="33" t="s">
        <v>2641</v>
      </c>
      <c r="B143" t="s">
        <v>3</v>
      </c>
      <c r="C143" t="s">
        <v>25</v>
      </c>
      <c r="D143" t="s">
        <v>159</v>
      </c>
      <c r="E143" s="34" t="s">
        <v>608</v>
      </c>
      <c r="F143" s="33" t="s">
        <v>283</v>
      </c>
      <c r="G143" s="33" t="s">
        <v>284</v>
      </c>
      <c r="H143" t="s">
        <v>73</v>
      </c>
      <c r="I143" s="7" t="s">
        <v>285</v>
      </c>
      <c r="J143" s="3" t="s">
        <v>1235</v>
      </c>
    </row>
    <row r="144" spans="1:10" x14ac:dyDescent="0.35">
      <c r="E144" s="17"/>
      <c r="I144" t="s">
        <v>97</v>
      </c>
      <c r="J144" t="s">
        <v>1323</v>
      </c>
    </row>
    <row r="145" spans="1:10" x14ac:dyDescent="0.35">
      <c r="I145" t="s">
        <v>100</v>
      </c>
      <c r="J145" t="s">
        <v>1324</v>
      </c>
    </row>
    <row r="146" spans="1:10" x14ac:dyDescent="0.35">
      <c r="I146" t="s">
        <v>104</v>
      </c>
      <c r="J146" t="s">
        <v>1325</v>
      </c>
    </row>
    <row r="147" spans="1:10" x14ac:dyDescent="0.35">
      <c r="I147" s="38" t="s">
        <v>1249</v>
      </c>
      <c r="J147" t="s">
        <v>1326</v>
      </c>
    </row>
    <row r="148" spans="1:10" x14ac:dyDescent="0.35">
      <c r="J148" s="36" t="s">
        <v>2642</v>
      </c>
    </row>
    <row r="149" spans="1:10" x14ac:dyDescent="0.35">
      <c r="A149" s="33" t="s">
        <v>3630</v>
      </c>
      <c r="B149" t="s">
        <v>3</v>
      </c>
      <c r="C149" t="s">
        <v>25</v>
      </c>
      <c r="D149" t="s">
        <v>41</v>
      </c>
      <c r="E149" s="34" t="s">
        <v>608</v>
      </c>
      <c r="F149" s="33" t="s">
        <v>283</v>
      </c>
      <c r="G149" s="33" t="s">
        <v>284</v>
      </c>
      <c r="H149" t="s">
        <v>73</v>
      </c>
      <c r="I149" s="7" t="s">
        <v>285</v>
      </c>
      <c r="J149" s="3" t="s">
        <v>1235</v>
      </c>
    </row>
    <row r="150" spans="1:10" x14ac:dyDescent="0.35">
      <c r="E150" s="17"/>
      <c r="I150" t="s">
        <v>97</v>
      </c>
      <c r="J150" t="s">
        <v>1323</v>
      </c>
    </row>
    <row r="151" spans="1:10" x14ac:dyDescent="0.35">
      <c r="I151" t="s">
        <v>100</v>
      </c>
      <c r="J151" t="s">
        <v>1324</v>
      </c>
    </row>
    <row r="152" spans="1:10" x14ac:dyDescent="0.35">
      <c r="I152" t="s">
        <v>104</v>
      </c>
      <c r="J152" t="s">
        <v>1325</v>
      </c>
    </row>
    <row r="153" spans="1:10" x14ac:dyDescent="0.35">
      <c r="I153" s="38" t="s">
        <v>1249</v>
      </c>
      <c r="J153" s="36" t="s">
        <v>1326</v>
      </c>
    </row>
    <row r="154" spans="1:10" x14ac:dyDescent="0.35">
      <c r="A154" s="33" t="s">
        <v>3789</v>
      </c>
      <c r="B154" t="s">
        <v>3</v>
      </c>
      <c r="C154" t="s">
        <v>43</v>
      </c>
      <c r="D154" t="s">
        <v>184</v>
      </c>
      <c r="E154" s="100" t="s">
        <v>189</v>
      </c>
      <c r="F154" s="33" t="s">
        <v>3612</v>
      </c>
      <c r="G154" s="33" t="s">
        <v>3613</v>
      </c>
      <c r="H154" t="s">
        <v>130</v>
      </c>
      <c r="I154" s="1" t="s">
        <v>283</v>
      </c>
      <c r="J154" s="3" t="s">
        <v>3664</v>
      </c>
    </row>
    <row r="155" spans="1:10" x14ac:dyDescent="0.35">
      <c r="E155" s="15"/>
      <c r="I155" s="8" t="s">
        <v>285</v>
      </c>
      <c r="J155" t="s">
        <v>3664</v>
      </c>
    </row>
    <row r="156" spans="1:10" x14ac:dyDescent="0.35">
      <c r="I156" t="s">
        <v>97</v>
      </c>
      <c r="J156" t="s">
        <v>3790</v>
      </c>
    </row>
    <row r="157" spans="1:10" x14ac:dyDescent="0.35">
      <c r="I157" t="s">
        <v>100</v>
      </c>
      <c r="J157" t="s">
        <v>3791</v>
      </c>
    </row>
    <row r="158" spans="1:10" x14ac:dyDescent="0.35">
      <c r="I158" t="s">
        <v>104</v>
      </c>
      <c r="J158" t="s">
        <v>3792</v>
      </c>
    </row>
    <row r="159" spans="1:10" x14ac:dyDescent="0.35">
      <c r="I159" s="38" t="s">
        <v>1249</v>
      </c>
      <c r="J159" s="36" t="s">
        <v>3793</v>
      </c>
    </row>
    <row r="160" spans="1:10" x14ac:dyDescent="0.35">
      <c r="A160" s="33" t="s">
        <v>3663</v>
      </c>
      <c r="B160" t="s">
        <v>3</v>
      </c>
      <c r="C160" t="s">
        <v>43</v>
      </c>
      <c r="D160" t="s">
        <v>184</v>
      </c>
      <c r="E160" s="100" t="s">
        <v>201</v>
      </c>
      <c r="F160" s="33" t="s">
        <v>3612</v>
      </c>
      <c r="G160" s="33" t="s">
        <v>3613</v>
      </c>
      <c r="H160" t="s">
        <v>130</v>
      </c>
      <c r="I160" s="1" t="s">
        <v>283</v>
      </c>
      <c r="J160" s="3" t="s">
        <v>3664</v>
      </c>
    </row>
    <row r="161" spans="1:10" x14ac:dyDescent="0.35">
      <c r="E161" s="15"/>
      <c r="I161" s="8" t="s">
        <v>285</v>
      </c>
      <c r="J161" t="s">
        <v>3664</v>
      </c>
    </row>
    <row r="162" spans="1:10" x14ac:dyDescent="0.35">
      <c r="I162" t="s">
        <v>97</v>
      </c>
      <c r="J162" t="s">
        <v>3665</v>
      </c>
    </row>
    <row r="163" spans="1:10" x14ac:dyDescent="0.35">
      <c r="I163" t="s">
        <v>100</v>
      </c>
      <c r="J163" t="s">
        <v>3666</v>
      </c>
    </row>
    <row r="164" spans="1:10" x14ac:dyDescent="0.35">
      <c r="I164" t="s">
        <v>104</v>
      </c>
      <c r="J164" t="s">
        <v>3667</v>
      </c>
    </row>
    <row r="165" spans="1:10" x14ac:dyDescent="0.35">
      <c r="I165" s="38" t="s">
        <v>1249</v>
      </c>
      <c r="J165" s="36" t="s">
        <v>3663</v>
      </c>
    </row>
    <row r="166" spans="1:10" x14ac:dyDescent="0.35">
      <c r="A166" s="33" t="s">
        <v>3650</v>
      </c>
      <c r="B166" t="s">
        <v>3</v>
      </c>
      <c r="C166" t="s">
        <v>43</v>
      </c>
      <c r="D166" t="s">
        <v>184</v>
      </c>
      <c r="E166" s="34" t="s">
        <v>72</v>
      </c>
      <c r="F166" s="33" t="s">
        <v>3612</v>
      </c>
      <c r="G166" s="33" t="s">
        <v>3613</v>
      </c>
      <c r="H166" t="s">
        <v>130</v>
      </c>
      <c r="I166" s="1" t="s">
        <v>283</v>
      </c>
      <c r="J166" s="3" t="s">
        <v>3651</v>
      </c>
    </row>
    <row r="167" spans="1:10" x14ac:dyDescent="0.35">
      <c r="E167" s="17"/>
      <c r="I167" s="8" t="s">
        <v>285</v>
      </c>
      <c r="J167" t="s">
        <v>3652</v>
      </c>
    </row>
    <row r="168" spans="1:10" x14ac:dyDescent="0.35">
      <c r="I168" t="s">
        <v>97</v>
      </c>
      <c r="J168" t="s">
        <v>3653</v>
      </c>
    </row>
    <row r="169" spans="1:10" x14ac:dyDescent="0.35">
      <c r="I169" t="s">
        <v>100</v>
      </c>
      <c r="J169" t="s">
        <v>3654</v>
      </c>
    </row>
    <row r="170" spans="1:10" x14ac:dyDescent="0.35">
      <c r="I170" t="s">
        <v>104</v>
      </c>
      <c r="J170" t="s">
        <v>3655</v>
      </c>
    </row>
    <row r="171" spans="1:10" x14ac:dyDescent="0.35">
      <c r="I171" s="38" t="s">
        <v>18</v>
      </c>
      <c r="J171" s="36" t="s">
        <v>3656</v>
      </c>
    </row>
    <row r="172" spans="1:10" x14ac:dyDescent="0.35">
      <c r="A172" s="33" t="s">
        <v>3657</v>
      </c>
      <c r="B172" t="s">
        <v>3</v>
      </c>
      <c r="C172" t="s">
        <v>43</v>
      </c>
      <c r="D172" t="s">
        <v>159</v>
      </c>
      <c r="E172" s="100" t="s">
        <v>72</v>
      </c>
      <c r="F172" s="33" t="s">
        <v>3612</v>
      </c>
      <c r="G172" s="33" t="s">
        <v>3613</v>
      </c>
      <c r="H172" t="s">
        <v>130</v>
      </c>
      <c r="I172" s="1" t="s">
        <v>283</v>
      </c>
      <c r="J172" s="3" t="s">
        <v>3658</v>
      </c>
    </row>
    <row r="173" spans="1:10" x14ac:dyDescent="0.35">
      <c r="E173" s="15"/>
      <c r="I173" s="8" t="s">
        <v>285</v>
      </c>
      <c r="J173" t="s">
        <v>3659</v>
      </c>
    </row>
    <row r="174" spans="1:10" x14ac:dyDescent="0.35">
      <c r="I174" t="s">
        <v>97</v>
      </c>
      <c r="J174" t="s">
        <v>3660</v>
      </c>
    </row>
    <row r="175" spans="1:10" x14ac:dyDescent="0.35">
      <c r="I175" t="s">
        <v>100</v>
      </c>
      <c r="J175" t="s">
        <v>3661</v>
      </c>
    </row>
    <row r="176" spans="1:10" x14ac:dyDescent="0.35">
      <c r="I176" t="s">
        <v>104</v>
      </c>
      <c r="J176" s="36" t="s">
        <v>3662</v>
      </c>
    </row>
    <row r="177" spans="1:10" x14ac:dyDescent="0.35">
      <c r="I177" s="38" t="s">
        <v>1249</v>
      </c>
    </row>
    <row r="178" spans="1:10" x14ac:dyDescent="0.35">
      <c r="A178" s="33" t="s">
        <v>281</v>
      </c>
      <c r="B178" t="s">
        <v>3</v>
      </c>
      <c r="C178" t="s">
        <v>43</v>
      </c>
      <c r="D178" t="s">
        <v>282</v>
      </c>
      <c r="E178" s="34" t="s">
        <v>44</v>
      </c>
      <c r="F178" s="33" t="s">
        <v>283</v>
      </c>
      <c r="G178" s="33" t="s">
        <v>284</v>
      </c>
      <c r="H178" t="s">
        <v>73</v>
      </c>
      <c r="I178" s="7" t="s">
        <v>285</v>
      </c>
      <c r="J178" s="3" t="s">
        <v>286</v>
      </c>
    </row>
    <row r="179" spans="1:10" x14ac:dyDescent="0.35">
      <c r="E179" s="17"/>
      <c r="I179" t="s">
        <v>97</v>
      </c>
      <c r="J179" t="s">
        <v>287</v>
      </c>
    </row>
    <row r="180" spans="1:10" x14ac:dyDescent="0.35">
      <c r="I180" t="s">
        <v>100</v>
      </c>
      <c r="J180" t="s">
        <v>288</v>
      </c>
    </row>
    <row r="181" spans="1:10" x14ac:dyDescent="0.35">
      <c r="I181" t="s">
        <v>104</v>
      </c>
      <c r="J181" t="s">
        <v>289</v>
      </c>
    </row>
    <row r="182" spans="1:10" x14ac:dyDescent="0.35">
      <c r="I182" s="38" t="s">
        <v>18</v>
      </c>
      <c r="J182" t="s">
        <v>290</v>
      </c>
    </row>
    <row r="183" spans="1:10" x14ac:dyDescent="0.35">
      <c r="J183" t="s">
        <v>291</v>
      </c>
    </row>
    <row r="184" spans="1:10" x14ac:dyDescent="0.35">
      <c r="J184" s="36" t="s">
        <v>281</v>
      </c>
    </row>
  </sheetData>
  <autoFilter ref="E1:E184" xr:uid="{00000000-0001-0000-0C00-000000000000}"/>
  <hyperlinks>
    <hyperlink ref="A1" location="Summary!A1" tooltip="Return to Totals" display="Back to Totals" xr:uid="{E782B920-43E3-46FB-88AB-DB8EF6A966E8}"/>
    <hyperlink ref="I5" r:id="rId1" xr:uid="{5C6B9DA4-3811-4EEA-AAB6-A298DB9C5500}"/>
    <hyperlink ref="I8" r:id="rId2" xr:uid="{784127D4-B23A-4DBD-B8DA-254B04E30864}"/>
    <hyperlink ref="I46" r:id="rId3" xr:uid="{1E041527-8FFD-4A7B-9FF3-7BB3C4EE6189}"/>
    <hyperlink ref="I12" r:id="rId4" xr:uid="{94A019F5-3A9A-43F4-8AD3-4E73F381404B}"/>
    <hyperlink ref="I15" r:id="rId5" xr:uid="{F2E7BC5D-4F12-4058-B184-A39EC91B0D76}"/>
    <hyperlink ref="I43" r:id="rId6" xr:uid="{82CDD646-5E2F-4B56-88B2-63F16FF9552C}"/>
    <hyperlink ref="I57" r:id="rId7" xr:uid="{C9FF7BC3-9A8D-4122-B998-E1E646AB927D}"/>
    <hyperlink ref="I60" r:id="rId8" xr:uid="{7CAD68D1-4D8B-4D57-ACC4-326AD2DF74C5}"/>
    <hyperlink ref="I64" r:id="rId9" xr:uid="{1DB0F191-E598-4F52-8120-4FAB8FB5BB51}"/>
    <hyperlink ref="I68" r:id="rId10" xr:uid="{2E9516FF-519E-4415-8F98-97DB1C258D2A}"/>
    <hyperlink ref="I78" r:id="rId11" xr:uid="{57579B70-AC7A-4977-BC33-A4B014DBFF9C}"/>
    <hyperlink ref="I114" r:id="rId12" xr:uid="{1FE72F32-9001-4909-B5E9-9BC841330ABE}"/>
    <hyperlink ref="I120" r:id="rId13" xr:uid="{B415DD9F-D000-45A6-82F9-1488E0124477}"/>
    <hyperlink ref="I132" r:id="rId14" xr:uid="{65BA866D-182E-4F6E-8139-ADD0174A8CBB}"/>
    <hyperlink ref="I182" r:id="rId15" xr:uid="{9AD1B87E-5366-40F9-A5CA-E7480DB51A60}"/>
    <hyperlink ref="I74" r:id="rId16" xr:uid="{6C94C27A-3E7D-4A67-ACE9-07A633071090}"/>
    <hyperlink ref="I87" r:id="rId17" xr:uid="{E5548FC0-BC0C-4F4C-8368-819517C1CD2C}"/>
    <hyperlink ref="I135" r:id="rId18" xr:uid="{C5C07C1C-7B1D-4500-9737-C80C21997C9A}"/>
    <hyperlink ref="I141" r:id="rId19" xr:uid="{1B90DAF5-B2EC-4424-A769-5D98B14FBFF5}"/>
    <hyperlink ref="I147" r:id="rId20" xr:uid="{DDCE9071-5F46-4ADD-A45D-273334950843}"/>
    <hyperlink ref="J5" r:id="rId21" xr:uid="{4F39169E-D5FB-4B9E-9D29-87AAC89364D8}"/>
    <hyperlink ref="A3" r:id="rId22" xr:uid="{2B013F2A-1EBC-4C15-962A-DD5CD64DB807}"/>
    <hyperlink ref="F3" r:id="rId23" xr:uid="{6484A9EB-FC31-4B43-AB9D-86839C77A607}"/>
    <hyperlink ref="F6" r:id="rId24" xr:uid="{2C21080D-12E7-46A5-A75F-EBB415D5D60D}"/>
    <hyperlink ref="F44" r:id="rId25" xr:uid="{EC826531-C2AC-49C1-86BE-17A4933412BE}"/>
    <hyperlink ref="F10" r:id="rId26" xr:uid="{13BC4FF9-9D39-4F09-A177-EE275F71E3E0}"/>
    <hyperlink ref="F13" r:id="rId27" xr:uid="{95F51E1D-BECF-4B19-BAE8-99F63996FCB5}"/>
    <hyperlink ref="F58" r:id="rId28" xr:uid="{6703FD8F-074D-4723-9629-6D339C55C759}"/>
    <hyperlink ref="F62" r:id="rId29" xr:uid="{051A3D67-7D93-458E-AE2C-BC25BA0A3611}"/>
    <hyperlink ref="F66" r:id="rId30" xr:uid="{02A2E802-091E-402C-A2CA-793E834AE89E}"/>
    <hyperlink ref="F133" r:id="rId31" xr:uid="{0019E6E4-42F4-4320-811F-9E7759E060D1}"/>
    <hyperlink ref="G3:G4" r:id="rId32" display="Charlotte Lydia Brinkley" xr:uid="{82F033BD-D42B-4363-9EAE-FE898DA698AA}"/>
    <hyperlink ref="G6" r:id="rId33" xr:uid="{8004B293-5B6A-43E6-ADB1-989C22502AEC}"/>
    <hyperlink ref="G44" r:id="rId34" xr:uid="{F2748EFD-92E7-42FF-B12E-5FF2943D4E4A}"/>
    <hyperlink ref="G11" r:id="rId35" xr:uid="{65E724EF-6931-4DAE-B2AB-F5CA8D246E35}"/>
    <hyperlink ref="G14" r:id="rId36" xr:uid="{B2A3AAD4-0575-4C06-B372-C08D5FD08658}"/>
    <hyperlink ref="G67" r:id="rId37" xr:uid="{7D519E4D-B222-431B-806D-EF9894FD1E73}"/>
    <hyperlink ref="G58" r:id="rId38" xr:uid="{08649CB7-DF9D-413D-9019-A772A3BE7AE5}"/>
    <hyperlink ref="G62" r:id="rId39" xr:uid="{5F728881-48F0-4208-A0BA-54F81D6F06B2}"/>
    <hyperlink ref="G66" r:id="rId40" xr:uid="{96BE73BC-0B20-4A00-8F3B-3207BC94FFD7}"/>
    <hyperlink ref="G10" r:id="rId41" xr:uid="{30156AA1-08BA-4A55-BCD3-F2B8ECF6780B}"/>
    <hyperlink ref="G13" r:id="rId42" xr:uid="{860108C0-07C6-4AC9-B836-CFFE46DC9B2E}"/>
    <hyperlink ref="F54" r:id="rId43" xr:uid="{D7064528-F355-47AD-AAEF-E730E3431FCF}"/>
    <hyperlink ref="F75" r:id="rId44" xr:uid="{57E32029-25EC-466D-9550-C360361F74BC}"/>
    <hyperlink ref="F111" r:id="rId45" xr:uid="{71220DAE-E7E2-4ABE-9486-483A47C9C4DD}"/>
    <hyperlink ref="G75" r:id="rId46" xr:uid="{193F3BD5-F6E2-4460-BA3E-B8DA9ABDD9B3}"/>
    <hyperlink ref="G111" r:id="rId47" xr:uid="{247CB306-0D13-4941-B651-61813192E980}"/>
    <hyperlink ref="G134" r:id="rId48" xr:uid="{5B2509B8-D59B-4041-976E-DCC11CBF03D0}"/>
    <hyperlink ref="G133" r:id="rId49" xr:uid="{2D40DB2B-191A-4425-95E9-581EFED4EE9D}"/>
    <hyperlink ref="F39" r:id="rId50" xr:uid="{321A1040-851E-4B4F-A012-15A8FF417D95}"/>
    <hyperlink ref="F70" r:id="rId51" xr:uid="{32A64882-6693-4F4E-835B-F6D9E1F3633F}"/>
    <hyperlink ref="F83" r:id="rId52" xr:uid="{7BF20609-AD74-4A6A-AA97-B765736FCCAE}"/>
    <hyperlink ref="F116" r:id="rId53" xr:uid="{2893A5B1-289A-4015-A934-6751816165C6}"/>
    <hyperlink ref="F128" r:id="rId54" xr:uid="{EAFFC5FB-081C-46EC-A686-B26A21F85CCE}"/>
    <hyperlink ref="F137" r:id="rId55" xr:uid="{0AA8CC15-F8F8-455B-AD17-02AE1BD3258E}"/>
    <hyperlink ref="F143" r:id="rId56" xr:uid="{C0B377AC-CD94-4315-A838-093FEA10534C}"/>
    <hyperlink ref="F178" r:id="rId57" xr:uid="{E4E3C2D7-9ECE-49CF-986C-5A600D496173}"/>
    <hyperlink ref="G178" r:id="rId58" xr:uid="{F1AF1B96-8F30-413F-AE7E-05E58E88040E}"/>
    <hyperlink ref="G143" r:id="rId59" xr:uid="{C711E146-843F-42A7-8E77-D7E5C948A39D}"/>
    <hyperlink ref="G137" r:id="rId60" xr:uid="{6D757E22-CD68-44D8-8A02-41A85B9F4443}"/>
    <hyperlink ref="G128" r:id="rId61" xr:uid="{7FFFABC4-C944-44FD-820B-06F97E82173A}"/>
    <hyperlink ref="G116" r:id="rId62" xr:uid="{D271C2E2-F881-4E81-BB95-32C1F07FE18A}"/>
    <hyperlink ref="G83" r:id="rId63" xr:uid="{9B9F5495-CF5C-41C4-8ADA-AFBBE3A96A81}"/>
    <hyperlink ref="G70" r:id="rId64" xr:uid="{B8084DCF-08A8-46C4-BB4C-77023313DF82}"/>
    <hyperlink ref="J9" r:id="rId65" xr:uid="{BDAB6C25-F7A8-4966-BBA8-A2663BD63CDA}"/>
    <hyperlink ref="J47" r:id="rId66" xr:uid="{50399DAD-E29B-4A5B-9E20-28267940624C}"/>
    <hyperlink ref="A6" r:id="rId67" xr:uid="{68A33061-EEDA-4E77-982A-0BB0F3A5AA9B}"/>
    <hyperlink ref="A44" r:id="rId68" xr:uid="{AAD42253-9F93-4BDF-B483-FAE9A4C016C1}"/>
    <hyperlink ref="J12" r:id="rId69" xr:uid="{82918F6B-5130-4A34-9D83-21F6029F6418}"/>
    <hyperlink ref="J16" r:id="rId70" xr:uid="{9DDFB60C-68BE-4124-B606-487863377971}"/>
    <hyperlink ref="A13" r:id="rId71" xr:uid="{E935ACF3-9885-46D1-94D0-450F5368DE44}"/>
    <hyperlink ref="J43" r:id="rId72" xr:uid="{67D18C93-1141-4E60-A93B-94247C0A3170}"/>
    <hyperlink ref="J57" r:id="rId73" xr:uid="{2098A547-7B0F-421A-B303-0D57B3ED086A}"/>
    <hyperlink ref="J61" r:id="rId74" xr:uid="{1521D04F-D69C-4E44-8B3F-876AC0E75B6C}"/>
    <hyperlink ref="J65" r:id="rId75" xr:uid="{81782413-323B-4473-8ED9-45FFB067CAB1}"/>
    <hyperlink ref="J69" r:id="rId76" xr:uid="{037C22D0-191F-4251-8AE0-FF87349AF0C0}"/>
    <hyperlink ref="J74" r:id="rId77" xr:uid="{3561F024-90CD-4620-B639-7C1DCF86AC54}"/>
    <hyperlink ref="J78" r:id="rId78" xr:uid="{F94D2C07-6E7D-4582-972F-7DD6C14CF1D6}"/>
    <hyperlink ref="J88" r:id="rId79" xr:uid="{81177A29-4EC9-4BAF-A173-4A38D6519F17}"/>
    <hyperlink ref="J115" r:id="rId80" xr:uid="{E51C58E8-6968-487C-9D38-9EDB34269E2E}"/>
    <hyperlink ref="A83" r:id="rId81" xr:uid="{CB13CF69-DACC-402C-B8A3-F73C54428939}"/>
    <hyperlink ref="J121" r:id="rId82" xr:uid="{085DEC41-4850-4979-8EC8-58C1B037046F}"/>
    <hyperlink ref="A116" r:id="rId83" xr:uid="{2658C9BF-7FEA-4246-B293-3B27E082FA6E}"/>
    <hyperlink ref="J132" r:id="rId84" xr:uid="{6E86F7D7-8565-462F-82C4-9BAEFB826641}"/>
    <hyperlink ref="J136" r:id="rId85" xr:uid="{34237890-CB87-4143-BAC3-930034249536}"/>
    <hyperlink ref="A133" r:id="rId86" xr:uid="{4A07204D-34A4-4F2F-A3EC-F465D70CDC65}"/>
    <hyperlink ref="J142" r:id="rId87" xr:uid="{B672BC2B-9011-492F-B256-5CB027DF8A32}"/>
    <hyperlink ref="J148" r:id="rId88" xr:uid="{0005A88C-01EA-4956-BBBC-5E94B0E18F3E}"/>
    <hyperlink ref="J184" r:id="rId89" xr:uid="{012F960F-8580-4746-A07E-9903A97DDBC2}"/>
    <hyperlink ref="A178" r:id="rId90" xr:uid="{BD90DDEB-1E5A-47CB-A55E-296AD9952BA7}"/>
    <hyperlink ref="A143" r:id="rId91" xr:uid="{46E41EF2-D484-4232-B34E-01E9349F23DF}"/>
    <hyperlink ref="A137" r:id="rId92" xr:uid="{1CF4E3EE-02D4-42BF-8817-34624E795E6A}"/>
    <hyperlink ref="A128" r:id="rId93" xr:uid="{F889150D-963A-4D1E-86FC-1CA44B2090DC}"/>
    <hyperlink ref="A111" r:id="rId94" xr:uid="{75847F32-C23A-479C-BF55-D9C4292853E3}"/>
    <hyperlink ref="A75" r:id="rId95" xr:uid="{8EB963C7-D918-4B66-BE95-FB1E59FFA6EE}"/>
    <hyperlink ref="A54" r:id="rId96" xr:uid="{EACCD34B-1D97-4BAD-8352-160448DE1460}"/>
    <hyperlink ref="A39" r:id="rId97" xr:uid="{4F556501-3EB4-401F-96D5-E01DAE268663}"/>
    <hyperlink ref="A10" r:id="rId98" xr:uid="{F053BF2E-45F4-4411-A764-DF727AD1232D}"/>
    <hyperlink ref="A70" r:id="rId99" xr:uid="{563609D2-4C3C-4013-8702-7583EC9E7105}"/>
    <hyperlink ref="A58" r:id="rId100" xr:uid="{D4E40AEA-9CE7-491C-8D19-43D5237A0904}"/>
    <hyperlink ref="A62" r:id="rId101" xr:uid="{274F2634-F666-4301-980D-0D745A4904AD}"/>
    <hyperlink ref="A66" r:id="rId102" xr:uid="{8907DBD3-E3F4-448E-8473-7E0767EC472A}"/>
    <hyperlink ref="E178" r:id="rId103" xr:uid="{8A1C4E40-D3DF-4B5A-BB7D-2058B498E88C}"/>
    <hyperlink ref="E143" r:id="rId104" xr:uid="{FC0A9DFA-0B2F-49A7-A475-20AFDD906FCD}"/>
    <hyperlink ref="E137" r:id="rId105" xr:uid="{00F0272C-30F1-4042-9DE0-234F7F034786}"/>
    <hyperlink ref="E133" r:id="rId106" xr:uid="{5B4BA57E-221D-41B5-9440-A0EBE5E39153}"/>
    <hyperlink ref="E128" r:id="rId107" xr:uid="{0A6958FD-0CAB-42A7-83B9-65B8D1DEC788}"/>
    <hyperlink ref="E116" r:id="rId108" xr:uid="{50E4F086-D36D-44BA-A1F5-9DA801D4BAD5}"/>
    <hyperlink ref="E112" r:id="rId109" xr:uid="{985E6B21-6E1A-4C8A-A7DD-9EE3C97DC2EB}"/>
    <hyperlink ref="E111" r:id="rId110" xr:uid="{DAD246A4-BF01-4B90-9ACE-135E662D0EE2}"/>
    <hyperlink ref="E83" r:id="rId111" xr:uid="{26B5DAA0-E88C-45EA-906D-0292D80447B9}"/>
    <hyperlink ref="E76" r:id="rId112" xr:uid="{5484C9DF-A904-444A-8DCF-5631605FDFCE}"/>
    <hyperlink ref="E75" r:id="rId113" xr:uid="{9DD7BA62-AE2E-4C16-A229-80E1F413EC65}"/>
    <hyperlink ref="E70" r:id="rId114" xr:uid="{960DC621-1642-4EA8-9502-919172D4C30E}"/>
    <hyperlink ref="E66" r:id="rId115" xr:uid="{77F5FA06-10B4-4F98-BE8C-905F5DDDF681}"/>
    <hyperlink ref="E62" r:id="rId116" xr:uid="{164BDBDE-D702-431D-A306-36D72755C74F}"/>
    <hyperlink ref="E55" r:id="rId117" xr:uid="{95440AF1-6BAD-48F8-910D-E75CF0622CEA}"/>
    <hyperlink ref="E58" r:id="rId118" xr:uid="{DF1577B2-74EE-4A6E-84E8-7DD71101CE25}"/>
    <hyperlink ref="E54" r:id="rId119" xr:uid="{B85883A9-BA02-462E-82F7-7BCD1A6FC8F4}"/>
    <hyperlink ref="E39" r:id="rId120" xr:uid="{3E58F294-F62C-4DD8-9461-CE6392C44FE4}"/>
    <hyperlink ref="E13" r:id="rId121" xr:uid="{8BDB48E5-71C2-43D7-BE1C-48620BA99D78}"/>
    <hyperlink ref="E11" r:id="rId122" xr:uid="{708DACA4-066D-4B41-9F5C-47ADD17CC801}"/>
    <hyperlink ref="E10" r:id="rId123" xr:uid="{E38FBF04-5701-44FE-A6CD-4E76080F355D}"/>
    <hyperlink ref="E6" r:id="rId124" xr:uid="{5C15DEF7-B9C5-44CA-97C6-588F526401EF}"/>
    <hyperlink ref="E4" r:id="rId125" xr:uid="{97A5BABB-68C7-411F-9A84-EBF0B15B5FB0}"/>
    <hyperlink ref="E3" r:id="rId126" xr:uid="{BC206A07-F2C4-4A6D-9530-A36DE9D36800}"/>
    <hyperlink ref="E44" r:id="rId127" xr:uid="{EB019DAF-4277-4D65-A754-50E83B81BBF2}"/>
    <hyperlink ref="I81" r:id="rId128" xr:uid="{4A549B6B-593A-4011-876D-E87E5CBAD5DB}"/>
    <hyperlink ref="F79" r:id="rId129" xr:uid="{64346BF8-95C1-4EBF-8258-F10E246757A5}"/>
    <hyperlink ref="G80" r:id="rId130" xr:uid="{B42DAF57-9052-4D76-8B06-3739EC6162CF}"/>
    <hyperlink ref="G79" r:id="rId131" xr:uid="{68239809-47EF-47D8-A019-F11B791B46BC}"/>
    <hyperlink ref="J82" r:id="rId132" xr:uid="{944FA77B-548D-40A6-B3B2-0EC8DBD9A875}"/>
    <hyperlink ref="A79" r:id="rId133" xr:uid="{93C8EA42-B7C7-4517-AFB9-D070BFCD7E06}"/>
    <hyperlink ref="E79" r:id="rId134" display="98cM" xr:uid="{DDB61524-D9FE-4314-A394-13DE6DB90D2F}"/>
    <hyperlink ref="I97" r:id="rId135" xr:uid="{219B9F80-8775-46F4-B0BB-7B1D0D4D4057}"/>
    <hyperlink ref="F95" r:id="rId136" xr:uid="{48DC1169-3326-458C-A014-6EEAAE829673}"/>
    <hyperlink ref="G96" r:id="rId137" xr:uid="{B35647E5-BE7C-42EA-9A95-B3DBA4FFCCC8}"/>
    <hyperlink ref="G95" r:id="rId138" xr:uid="{977EF82B-0853-4991-9EDE-0B74F6EF06ED}"/>
    <hyperlink ref="J98" r:id="rId139" xr:uid="{BF4490C4-6B32-4356-86A4-FDA735540488}"/>
    <hyperlink ref="A95" r:id="rId140" xr:uid="{6AC09767-CDC5-4CC8-B82E-C114BFE5CBE0}"/>
    <hyperlink ref="E95" r:id="rId141" xr:uid="{C4A86B67-1B0A-42B2-A03E-C08991591401}"/>
    <hyperlink ref="I37" r:id="rId142" xr:uid="{EF3FA102-4098-4761-9CA3-58089CD6C400}"/>
    <hyperlink ref="F33" r:id="rId143" xr:uid="{3169A739-222B-482D-BD90-189DAA890E81}"/>
    <hyperlink ref="G33" r:id="rId144" xr:uid="{11568502-7789-4AC6-A76A-C3AA8A3FBC60}"/>
    <hyperlink ref="A33" r:id="rId145" display="Greta Walker" xr:uid="{3C648A33-6EB3-4477-9C58-9B5D5CA12DF3}"/>
    <hyperlink ref="E33" r:id="rId146" xr:uid="{6D4CCDA3-BB26-4FF5-8334-311E60113060}"/>
    <hyperlink ref="G39" r:id="rId147" xr:uid="{430CEDC7-617D-4CD4-AB80-8F98AFC80C21}"/>
    <hyperlink ref="G54" r:id="rId148" xr:uid="{16A6EFC1-A435-4C3F-9C2B-6E19C95CE6FB}"/>
    <hyperlink ref="I93" r:id="rId149" xr:uid="{6AAC3396-84FF-4F6C-B800-A12B44CBDF94}"/>
    <hyperlink ref="F89" r:id="rId150" xr:uid="{BBAD9134-5D42-4FE4-BD9A-AE587AAD3688}"/>
    <hyperlink ref="G89" r:id="rId151" xr:uid="{BCED1D31-7511-4E7F-9BA4-40FC4E872F26}"/>
    <hyperlink ref="A89" r:id="rId152" xr:uid="{469FE556-00E1-42D0-ACF1-347EC5369929}"/>
    <hyperlink ref="E89" r:id="rId153" xr:uid="{DA3A7BD1-7F22-4DBC-8059-C42D1EDF1538}"/>
    <hyperlink ref="J92" r:id="rId154" xr:uid="{AF18C14D-3B07-4B82-9FDE-FD5D4BDE4FB9}"/>
    <hyperlink ref="E90" r:id="rId155" display="25cM" xr:uid="{E92D2DE7-8831-4CA6-9C0A-4631FF8CE95D}"/>
    <hyperlink ref="E27" r:id="rId156" xr:uid="{E477F572-FE68-4AF0-803A-7EDB3E00AF52}"/>
    <hyperlink ref="F27" r:id="rId157" xr:uid="{55EF6AB5-470F-412A-86A6-AB9D20ACB047}"/>
    <hyperlink ref="G27" r:id="rId158" xr:uid="{427B19CA-719B-4BB8-BF4F-DAFA3E62347D}"/>
    <hyperlink ref="I32" r:id="rId159" xr:uid="{7E7DD324-6618-4BEF-A711-6C51228082B7}"/>
    <hyperlink ref="J31" r:id="rId160" xr:uid="{84923444-622C-475E-AA23-5A42AC415C35}"/>
    <hyperlink ref="A27" r:id="rId161" xr:uid="{F18EAB59-C909-455C-9D8C-0FAFB1A88515}"/>
    <hyperlink ref="F48" r:id="rId162" xr:uid="{73E6DD48-D050-4655-8ACD-A209E0613F9D}"/>
    <hyperlink ref="G48" r:id="rId163" xr:uid="{3EAD8710-204D-4C0C-803D-45A1ABE96164}"/>
    <hyperlink ref="I53" r:id="rId164" xr:uid="{37F56AD5-87C9-4D29-9271-C1A7C6F39DC8}"/>
    <hyperlink ref="A48" r:id="rId165" xr:uid="{071656AB-2695-4642-A62C-4F551FE9B6C7}"/>
    <hyperlink ref="E48" r:id="rId166" xr:uid="{42EDB470-B2C5-461F-BCBA-4333A2C4E65D}"/>
    <hyperlink ref="J53" r:id="rId167" xr:uid="{4F82C16B-B29A-4663-BCD3-B2A7F22B51E1}"/>
    <hyperlink ref="I153" r:id="rId168" xr:uid="{4DB2188B-AE1D-462F-9675-284D456E924B}"/>
    <hyperlink ref="F149" r:id="rId169" xr:uid="{4E3E757F-63AF-4D90-A93A-26B31F0A2359}"/>
    <hyperlink ref="G149" r:id="rId170" xr:uid="{A490EE27-062D-42C4-B720-4947EB3F92B7}"/>
    <hyperlink ref="A149" r:id="rId171" xr:uid="{36F33170-A8C8-43B1-B686-606D794EAD9B}"/>
    <hyperlink ref="E149" r:id="rId172" xr:uid="{1E4B6736-BF6C-423C-9D89-D3EF67470EFA}"/>
    <hyperlink ref="J153" r:id="rId173" xr:uid="{9D328114-A53E-4990-AEEE-87A9B0B6A86D}"/>
    <hyperlink ref="E122" r:id="rId174" xr:uid="{FFB704CC-B743-4CD1-B2E2-00DD1899BF7F}"/>
    <hyperlink ref="F122" r:id="rId175" xr:uid="{C20D85B9-40C8-4990-A209-A06FB73A0591}"/>
    <hyperlink ref="G122" r:id="rId176" xr:uid="{6804CB67-5FFD-4C92-A29E-96993B4906FE}"/>
    <hyperlink ref="I127" r:id="rId177" xr:uid="{D914C4CD-F0D1-4CDC-A45C-A104889CD19B}"/>
    <hyperlink ref="A122" r:id="rId178" xr:uid="{FAC6AF71-7FE3-4AED-AA5A-505950C45A6A}"/>
    <hyperlink ref="J127" r:id="rId179" xr:uid="{87F5976A-5382-4600-AF8D-C74E2520911A}"/>
    <hyperlink ref="E166" r:id="rId180" xr:uid="{3EFE07DF-874B-4624-B58F-7C5EC6DEDBD9}"/>
    <hyperlink ref="F166" r:id="rId181" xr:uid="{8FE4B8B5-915C-4ACD-8263-BFAEF832F81E}"/>
    <hyperlink ref="G166" r:id="rId182" xr:uid="{131E3B1A-339D-4155-9B56-4ABA439A63C7}"/>
    <hyperlink ref="I171" r:id="rId183" xr:uid="{EA5C4726-786B-4EDB-A79A-28F248DB9662}"/>
    <hyperlink ref="A166" r:id="rId184" xr:uid="{5D09592A-938A-48EF-98EE-88DCC8DBA6D1}"/>
    <hyperlink ref="J171" r:id="rId185" xr:uid="{6A33179D-FBBD-4BF4-A353-F29F3D40A63D}"/>
    <hyperlink ref="E172" r:id="rId186" xr:uid="{A7216C67-33EC-4CD3-B260-ABA67C4EEFC3}"/>
    <hyperlink ref="F172" r:id="rId187" xr:uid="{247953BE-BB65-469C-991A-0562014CC121}"/>
    <hyperlink ref="G172" r:id="rId188" xr:uid="{1A1C091E-82D3-461F-8B3A-00A65BF6ED30}"/>
    <hyperlink ref="A172" r:id="rId189" xr:uid="{7ADE04D1-3744-4049-B051-8DDEAC190C75}"/>
    <hyperlink ref="J176" r:id="rId190" xr:uid="{8081212F-4264-4026-8F8B-5B8310FF6DDF}"/>
    <hyperlink ref="I177" r:id="rId191" xr:uid="{55AF6378-C7C3-4233-9146-648CF38EDEC4}"/>
    <hyperlink ref="E160" r:id="rId192" xr:uid="{F13A8E1F-3BD2-4E06-9D0C-C44CDB68C41B}"/>
    <hyperlink ref="F160" r:id="rId193" xr:uid="{ADE3FA5A-3B38-4605-9DA6-59EDFAA3DEC6}"/>
    <hyperlink ref="G160" r:id="rId194" xr:uid="{3A33EED3-5FAE-46DC-9CE9-1FCABAB30844}"/>
    <hyperlink ref="A160" r:id="rId195" xr:uid="{658B42E2-6D72-4E15-ACEF-EFFD04EA4CA3}"/>
    <hyperlink ref="I165" r:id="rId196" xr:uid="{5ADD65E4-D021-425C-B94D-4CC3F53296A6}"/>
    <hyperlink ref="J165" r:id="rId197" xr:uid="{EA589CFD-61AF-421C-BE2E-3637133F529B}"/>
    <hyperlink ref="A99" r:id="rId198" xr:uid="{0D221DA3-A52F-4DC2-9548-B452BFB07F65}"/>
    <hyperlink ref="E99" r:id="rId199" xr:uid="{C09A9821-4A62-4AAF-A764-DBCA4D3AFDCD}"/>
    <hyperlink ref="F99" r:id="rId200" xr:uid="{27A83367-5F61-4FBA-9F65-E9ECEA34F74F}"/>
    <hyperlink ref="G99" r:id="rId201" xr:uid="{B6D2DDB4-2513-4EF3-9BFA-6F40E437F5F2}"/>
    <hyperlink ref="I103" r:id="rId202" xr:uid="{4249553D-3FAA-43AB-9B35-2D107BC33D0A}"/>
    <hyperlink ref="J104" r:id="rId203" xr:uid="{DE24A5F2-CDEB-4713-ADFA-CF214CB7222C}"/>
    <hyperlink ref="E105" r:id="rId204" xr:uid="{7A852943-DE89-41F5-9565-BFBA99F02B6B}"/>
    <hyperlink ref="F105" r:id="rId205" xr:uid="{CCA25AD1-82C6-40F5-B04A-858A5AE8FBDA}"/>
    <hyperlink ref="G105" r:id="rId206" xr:uid="{4AF66C50-E30E-4994-97A1-50B86575A631}"/>
    <hyperlink ref="A105" r:id="rId207" xr:uid="{AAE34EDE-E4D2-49F5-BDC4-E4667A1A36F0}"/>
    <hyperlink ref="I110" r:id="rId208" xr:uid="{A13647D9-D51E-4574-B493-2C7BA022D8A9}"/>
    <hyperlink ref="J110" r:id="rId209" xr:uid="{87CDAB16-C07D-4C22-930C-4BDD53796CB7}"/>
    <hyperlink ref="E154" r:id="rId210" xr:uid="{66A3ADB3-70E1-4433-9CFB-38FE7AB24718}"/>
    <hyperlink ref="F154" r:id="rId211" xr:uid="{F4C8776A-B4F3-45B5-AAC8-9AD3BD0495E8}"/>
    <hyperlink ref="G154" r:id="rId212" xr:uid="{0B057B69-A632-451C-8F3D-56EAD95F5221}"/>
    <hyperlink ref="A154" r:id="rId213" xr:uid="{0A5F35CD-8684-42E7-9AE0-81719E8B3D15}"/>
    <hyperlink ref="I159" r:id="rId214" xr:uid="{F37E95E6-42A1-4029-ABF8-9070E567A571}"/>
    <hyperlink ref="J159" r:id="rId215" xr:uid="{2C1CDDC8-B231-43AF-8196-853E8123F796}"/>
    <hyperlink ref="E17" r:id="rId216" xr:uid="{CA5C7344-188F-4820-A43F-682F4B060961}"/>
    <hyperlink ref="A17" r:id="rId217" xr:uid="{AD3636DA-5653-4560-937F-3DC95E1BCD2F}"/>
    <hyperlink ref="F17" r:id="rId218" xr:uid="{046610E1-7F20-4488-BC4D-877170EAC3E9}"/>
    <hyperlink ref="G17" r:id="rId219" xr:uid="{81D899DE-7952-42C0-8F91-2E861E39B51D}"/>
    <hyperlink ref="I19" r:id="rId220" xr:uid="{84F77DAD-56F9-4104-BA02-32920910F08F}"/>
    <hyperlink ref="J20" r:id="rId221" xr:uid="{F22F070E-3033-4465-8BCD-E0B6A6BC5915}"/>
    <hyperlink ref="E21" r:id="rId222" display="61cM" xr:uid="{69356972-9A24-4A4D-AF54-D0DD010232ED}"/>
    <hyperlink ref="F21" r:id="rId223" xr:uid="{0BD46FDD-E806-4B59-81FE-BBF0D5FCF48A}"/>
    <hyperlink ref="G21" r:id="rId224" xr:uid="{2EC0DD4E-B174-4D4E-B2B2-7432C2767C12}"/>
    <hyperlink ref="I26" r:id="rId225" xr:uid="{806F15AA-06D1-497B-9EE6-EC72AB9C16F2}"/>
    <hyperlink ref="A21" r:id="rId226" xr:uid="{46D75B70-5349-4DEA-B028-131EE3FCF328}"/>
    <hyperlink ref="J26" r:id="rId227" xr:uid="{754E1193-C5B7-4D65-898D-F9ADB49E6FD6}"/>
  </hyperlinks>
  <pageMargins left="0.7" right="0.7" top="0.75" bottom="0.75" header="0.3" footer="0.3"/>
  <pageSetup paperSize="9" orientation="portrait" horizontalDpi="4294967293" verticalDpi="0" r:id="rId228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B463B-B1C2-4A58-85DA-A35675BDDEF0}">
  <sheetPr codeName="Sheet22">
    <tabColor rgb="FFCC66FF"/>
  </sheetPr>
  <dimension ref="A1:J10"/>
  <sheetViews>
    <sheetView workbookViewId="0"/>
  </sheetViews>
  <sheetFormatPr defaultRowHeight="14.5" x14ac:dyDescent="0.35"/>
  <cols>
    <col min="1" max="1" width="17.7265625" customWidth="1"/>
    <col min="2" max="2" width="15.36328125" customWidth="1"/>
    <col min="3" max="3" width="20.453125" customWidth="1"/>
    <col min="4" max="4" width="20.1796875" customWidth="1"/>
    <col min="5" max="5" width="11.26953125" customWidth="1"/>
    <col min="6" max="6" width="23.08984375" customWidth="1"/>
    <col min="7" max="7" width="23.6328125" customWidth="1"/>
    <col min="8" max="8" width="24.1796875" customWidth="1"/>
    <col min="9" max="9" width="26.26953125" customWidth="1"/>
    <col min="10" max="10" width="17.90625" customWidth="1"/>
  </cols>
  <sheetData>
    <row r="1" spans="1:10" x14ac:dyDescent="0.35">
      <c r="A1" s="34" t="s">
        <v>3196</v>
      </c>
      <c r="B1" s="16">
        <f>COUNTIF(I2:I1067,C1)+COUNTIF(I2:I1067,D1)</f>
        <v>1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2031</v>
      </c>
      <c r="B3" s="25" t="s">
        <v>3</v>
      </c>
      <c r="C3" t="s">
        <v>43</v>
      </c>
      <c r="D3" t="s">
        <v>429</v>
      </c>
      <c r="E3" s="34" t="s">
        <v>72</v>
      </c>
      <c r="F3" s="33" t="s">
        <v>2200</v>
      </c>
      <c r="G3" s="33" t="s">
        <v>2201</v>
      </c>
      <c r="H3" t="s">
        <v>54</v>
      </c>
      <c r="I3" s="1" t="s">
        <v>1539</v>
      </c>
      <c r="J3" s="3" t="s">
        <v>2194</v>
      </c>
    </row>
    <row r="4" spans="1:10" x14ac:dyDescent="0.35">
      <c r="A4" s="31" t="s">
        <v>2620</v>
      </c>
      <c r="E4" s="17"/>
      <c r="I4" t="s">
        <v>1515</v>
      </c>
      <c r="J4" t="s">
        <v>2195</v>
      </c>
    </row>
    <row r="5" spans="1:10" x14ac:dyDescent="0.35">
      <c r="I5" t="s">
        <v>1515</v>
      </c>
      <c r="J5" t="s">
        <v>2196</v>
      </c>
    </row>
    <row r="6" spans="1:10" x14ac:dyDescent="0.35">
      <c r="I6" t="s">
        <v>1554</v>
      </c>
      <c r="J6" t="s">
        <v>2197</v>
      </c>
    </row>
    <row r="7" spans="1:10" x14ac:dyDescent="0.35">
      <c r="I7" t="s">
        <v>2125</v>
      </c>
      <c r="J7" t="s">
        <v>2198</v>
      </c>
    </row>
    <row r="8" spans="1:10" x14ac:dyDescent="0.35">
      <c r="I8" t="s">
        <v>104</v>
      </c>
      <c r="J8" t="s">
        <v>2199</v>
      </c>
    </row>
    <row r="9" spans="1:10" x14ac:dyDescent="0.35">
      <c r="I9" s="38" t="s">
        <v>18</v>
      </c>
      <c r="J9" t="s">
        <v>2036</v>
      </c>
    </row>
    <row r="10" spans="1:10" x14ac:dyDescent="0.35">
      <c r="J10" s="36" t="s">
        <v>2031</v>
      </c>
    </row>
  </sheetData>
  <hyperlinks>
    <hyperlink ref="A1" location="Summary!A1" tooltip="Return to Totals" display="Back to Totals" xr:uid="{6962D937-A9E6-4C26-B81C-F9258B4957BA}"/>
    <hyperlink ref="I9" r:id="rId1" xr:uid="{20A2A33C-D136-45A9-BBF3-DB9965939E1F}"/>
    <hyperlink ref="F3" r:id="rId2" xr:uid="{A36A5620-CF50-4378-B650-EB214927C6E1}"/>
    <hyperlink ref="G3" r:id="rId3" xr:uid="{223EFD3C-CB7A-4384-B7DB-1D07B2536743}"/>
    <hyperlink ref="J10" r:id="rId4" xr:uid="{334F9BA2-543D-47C5-99E3-C10E5526A616}"/>
    <hyperlink ref="A3" r:id="rId5" xr:uid="{8338FD7F-C7FE-4D60-8510-277C21A1F4AF}"/>
    <hyperlink ref="E3" r:id="rId6" xr:uid="{3177495A-0E2A-4DC2-823C-AF77F962B6F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3">
    <tabColor theme="2" tint="-0.249977111117893"/>
  </sheetPr>
  <dimension ref="A1:J55"/>
  <sheetViews>
    <sheetView workbookViewId="0"/>
  </sheetViews>
  <sheetFormatPr defaultRowHeight="14.5" x14ac:dyDescent="0.35"/>
  <cols>
    <col min="1" max="1" width="14" customWidth="1"/>
    <col min="3" max="3" width="22.1796875" customWidth="1"/>
    <col min="4" max="4" width="23.90625" customWidth="1"/>
    <col min="5" max="5" width="11.08984375" customWidth="1"/>
    <col min="6" max="6" width="15" customWidth="1"/>
    <col min="7" max="7" width="15.81640625" customWidth="1"/>
    <col min="8" max="8" width="17.1796875" customWidth="1"/>
    <col min="9" max="9" width="22.1796875" customWidth="1"/>
    <col min="10" max="10" width="21.81640625" customWidth="1"/>
  </cols>
  <sheetData>
    <row r="1" spans="1:10" x14ac:dyDescent="0.35">
      <c r="A1" s="34" t="s">
        <v>3196</v>
      </c>
      <c r="B1" s="16">
        <f>COUNTIF(I2:I1085,C1)+COUNTIF(I2:I1085,D1)</f>
        <v>6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4195</v>
      </c>
      <c r="B3" t="s">
        <v>3</v>
      </c>
      <c r="C3" t="s">
        <v>43</v>
      </c>
      <c r="D3" t="s">
        <v>55</v>
      </c>
      <c r="E3" s="34" t="s">
        <v>156</v>
      </c>
      <c r="F3" s="33"/>
      <c r="G3" s="33" t="s">
        <v>721</v>
      </c>
      <c r="H3" t="s">
        <v>54</v>
      </c>
      <c r="I3" s="1" t="s">
        <v>595</v>
      </c>
      <c r="J3" s="3" t="s">
        <v>4196</v>
      </c>
    </row>
    <row r="4" spans="1:10" x14ac:dyDescent="0.35">
      <c r="E4" s="40" t="s">
        <v>26</v>
      </c>
      <c r="I4" t="s">
        <v>366</v>
      </c>
      <c r="J4" t="s">
        <v>4197</v>
      </c>
    </row>
    <row r="5" spans="1:10" x14ac:dyDescent="0.35">
      <c r="I5" t="s">
        <v>345</v>
      </c>
      <c r="J5" t="s">
        <v>4198</v>
      </c>
    </row>
    <row r="6" spans="1:10" x14ac:dyDescent="0.35">
      <c r="I6" t="s">
        <v>346</v>
      </c>
      <c r="J6" t="s">
        <v>4199</v>
      </c>
    </row>
    <row r="7" spans="1:10" x14ac:dyDescent="0.35">
      <c r="I7" t="s">
        <v>1555</v>
      </c>
      <c r="J7" t="s">
        <v>4200</v>
      </c>
    </row>
    <row r="8" spans="1:10" x14ac:dyDescent="0.35">
      <c r="I8" t="s">
        <v>104</v>
      </c>
      <c r="J8" t="s">
        <v>4201</v>
      </c>
    </row>
    <row r="9" spans="1:10" x14ac:dyDescent="0.35">
      <c r="I9" s="38" t="s">
        <v>18</v>
      </c>
      <c r="J9" s="36" t="s">
        <v>4202</v>
      </c>
    </row>
    <row r="10" spans="1:10" x14ac:dyDescent="0.35">
      <c r="A10" s="33" t="s">
        <v>4203</v>
      </c>
      <c r="B10" t="s">
        <v>3</v>
      </c>
      <c r="C10" t="s">
        <v>43</v>
      </c>
      <c r="D10" t="s">
        <v>429</v>
      </c>
      <c r="E10" s="34" t="s">
        <v>363</v>
      </c>
      <c r="F10" s="33"/>
      <c r="G10" s="33" t="s">
        <v>721</v>
      </c>
      <c r="H10" t="s">
        <v>54</v>
      </c>
      <c r="I10" s="1" t="s">
        <v>595</v>
      </c>
      <c r="J10" s="3" t="s">
        <v>4196</v>
      </c>
    </row>
    <row r="11" spans="1:10" x14ac:dyDescent="0.35">
      <c r="E11" s="40" t="s">
        <v>327</v>
      </c>
      <c r="I11" t="s">
        <v>366</v>
      </c>
      <c r="J11" t="s">
        <v>4197</v>
      </c>
    </row>
    <row r="12" spans="1:10" x14ac:dyDescent="0.35">
      <c r="I12" t="s">
        <v>345</v>
      </c>
      <c r="J12" t="s">
        <v>4198</v>
      </c>
    </row>
    <row r="13" spans="1:10" x14ac:dyDescent="0.35">
      <c r="I13" t="s">
        <v>346</v>
      </c>
      <c r="J13" t="s">
        <v>4199</v>
      </c>
    </row>
    <row r="14" spans="1:10" x14ac:dyDescent="0.35">
      <c r="I14" t="s">
        <v>1555</v>
      </c>
      <c r="J14" t="s">
        <v>4200</v>
      </c>
    </row>
    <row r="15" spans="1:10" x14ac:dyDescent="0.35">
      <c r="I15" t="s">
        <v>104</v>
      </c>
      <c r="J15" t="s">
        <v>4204</v>
      </c>
    </row>
    <row r="16" spans="1:10" x14ac:dyDescent="0.35">
      <c r="I16" s="38" t="s">
        <v>18</v>
      </c>
      <c r="J16" t="s">
        <v>4205</v>
      </c>
    </row>
    <row r="17" spans="1:10" ht="14" customHeight="1" x14ac:dyDescent="0.35">
      <c r="I17" s="37"/>
      <c r="J17" s="36" t="s">
        <v>4203</v>
      </c>
    </row>
    <row r="18" spans="1:10" x14ac:dyDescent="0.35">
      <c r="A18" s="33" t="s">
        <v>4206</v>
      </c>
      <c r="B18" t="s">
        <v>3</v>
      </c>
      <c r="C18" t="s">
        <v>43</v>
      </c>
      <c r="D18" t="s">
        <v>429</v>
      </c>
      <c r="E18" s="34" t="s">
        <v>327</v>
      </c>
      <c r="F18" s="33"/>
      <c r="G18" s="33" t="s">
        <v>721</v>
      </c>
      <c r="H18" t="s">
        <v>54</v>
      </c>
      <c r="I18" s="1" t="s">
        <v>595</v>
      </c>
      <c r="J18" s="3" t="s">
        <v>4196</v>
      </c>
    </row>
    <row r="19" spans="1:10" x14ac:dyDescent="0.35">
      <c r="E19" s="40" t="s">
        <v>327</v>
      </c>
      <c r="I19" t="s">
        <v>366</v>
      </c>
      <c r="J19" t="s">
        <v>4197</v>
      </c>
    </row>
    <row r="20" spans="1:10" x14ac:dyDescent="0.35">
      <c r="I20" t="s">
        <v>345</v>
      </c>
      <c r="J20" t="s">
        <v>4198</v>
      </c>
    </row>
    <row r="21" spans="1:10" x14ac:dyDescent="0.35">
      <c r="I21" t="s">
        <v>346</v>
      </c>
      <c r="J21" t="s">
        <v>4199</v>
      </c>
    </row>
    <row r="22" spans="1:10" x14ac:dyDescent="0.35">
      <c r="I22" t="s">
        <v>1555</v>
      </c>
      <c r="J22" t="s">
        <v>4200</v>
      </c>
    </row>
    <row r="23" spans="1:10" x14ac:dyDescent="0.35">
      <c r="I23" t="s">
        <v>104</v>
      </c>
      <c r="J23" t="s">
        <v>4201</v>
      </c>
    </row>
    <row r="24" spans="1:10" x14ac:dyDescent="0.35">
      <c r="I24" s="38" t="s">
        <v>18</v>
      </c>
      <c r="J24" s="36" t="s">
        <v>4207</v>
      </c>
    </row>
    <row r="25" spans="1:10" x14ac:dyDescent="0.35">
      <c r="A25" s="33" t="s">
        <v>2018</v>
      </c>
      <c r="B25" t="s">
        <v>3</v>
      </c>
      <c r="C25" t="s">
        <v>43</v>
      </c>
      <c r="D25" t="s">
        <v>1327</v>
      </c>
      <c r="E25" s="34" t="s">
        <v>189</v>
      </c>
      <c r="F25" s="33" t="s">
        <v>1328</v>
      </c>
      <c r="G25" s="33" t="s">
        <v>1329</v>
      </c>
      <c r="H25" t="s">
        <v>413</v>
      </c>
      <c r="I25" s="1" t="s">
        <v>721</v>
      </c>
      <c r="J25" s="3" t="s">
        <v>2019</v>
      </c>
    </row>
    <row r="26" spans="1:10" x14ac:dyDescent="0.35">
      <c r="E26" s="40" t="s">
        <v>216</v>
      </c>
      <c r="I26" t="s">
        <v>595</v>
      </c>
      <c r="J26" t="s">
        <v>1330</v>
      </c>
    </row>
    <row r="27" spans="1:10" x14ac:dyDescent="0.35">
      <c r="I27" t="s">
        <v>366</v>
      </c>
      <c r="J27" t="s">
        <v>2020</v>
      </c>
    </row>
    <row r="28" spans="1:10" x14ac:dyDescent="0.35">
      <c r="I28" t="s">
        <v>345</v>
      </c>
      <c r="J28" t="s">
        <v>2021</v>
      </c>
    </row>
    <row r="29" spans="1:10" x14ac:dyDescent="0.35">
      <c r="I29" t="s">
        <v>346</v>
      </c>
      <c r="J29" t="s">
        <v>2022</v>
      </c>
    </row>
    <row r="30" spans="1:10" x14ac:dyDescent="0.35">
      <c r="I30" t="s">
        <v>1555</v>
      </c>
      <c r="J30" t="s">
        <v>2023</v>
      </c>
    </row>
    <row r="31" spans="1:10" x14ac:dyDescent="0.35">
      <c r="I31" t="s">
        <v>104</v>
      </c>
      <c r="J31" s="36" t="s">
        <v>2024</v>
      </c>
    </row>
    <row r="32" spans="1:10" x14ac:dyDescent="0.35">
      <c r="I32" s="38" t="s">
        <v>18</v>
      </c>
    </row>
    <row r="33" spans="1:10" x14ac:dyDescent="0.35">
      <c r="A33" s="33" t="s">
        <v>3916</v>
      </c>
      <c r="B33" t="s">
        <v>3</v>
      </c>
      <c r="C33" t="s">
        <v>43</v>
      </c>
      <c r="D33" t="s">
        <v>3918</v>
      </c>
      <c r="E33" s="34" t="s">
        <v>72</v>
      </c>
      <c r="F33" s="33" t="s">
        <v>1715</v>
      </c>
      <c r="G33" s="33" t="s">
        <v>2847</v>
      </c>
      <c r="H33" t="s">
        <v>1716</v>
      </c>
      <c r="I33" s="1" t="s">
        <v>1328</v>
      </c>
      <c r="J33" s="3" t="s">
        <v>1717</v>
      </c>
    </row>
    <row r="34" spans="1:10" x14ac:dyDescent="0.35">
      <c r="E34" s="17"/>
      <c r="I34" t="s">
        <v>1328</v>
      </c>
      <c r="J34" t="s">
        <v>1718</v>
      </c>
    </row>
    <row r="35" spans="1:10" x14ac:dyDescent="0.35">
      <c r="I35" t="s">
        <v>721</v>
      </c>
      <c r="J35" t="s">
        <v>1719</v>
      </c>
    </row>
    <row r="36" spans="1:10" x14ac:dyDescent="0.35">
      <c r="I36" t="s">
        <v>595</v>
      </c>
      <c r="J36" t="s">
        <v>1720</v>
      </c>
    </row>
    <row r="37" spans="1:10" x14ac:dyDescent="0.35">
      <c r="I37" t="s">
        <v>366</v>
      </c>
      <c r="J37" t="s">
        <v>1718</v>
      </c>
    </row>
    <row r="38" spans="1:10" x14ac:dyDescent="0.35">
      <c r="I38" t="s">
        <v>345</v>
      </c>
      <c r="J38" t="s">
        <v>1721</v>
      </c>
    </row>
    <row r="39" spans="1:10" x14ac:dyDescent="0.35">
      <c r="I39" t="s">
        <v>346</v>
      </c>
      <c r="J39" t="s">
        <v>1722</v>
      </c>
    </row>
    <row r="40" spans="1:10" x14ac:dyDescent="0.35">
      <c r="I40" t="s">
        <v>1555</v>
      </c>
      <c r="J40" t="s">
        <v>1723</v>
      </c>
    </row>
    <row r="41" spans="1:10" x14ac:dyDescent="0.35">
      <c r="I41" t="s">
        <v>104</v>
      </c>
      <c r="J41" t="s">
        <v>1724</v>
      </c>
    </row>
    <row r="42" spans="1:10" x14ac:dyDescent="0.35">
      <c r="I42" s="38" t="s">
        <v>18</v>
      </c>
      <c r="J42" t="s">
        <v>1725</v>
      </c>
    </row>
    <row r="43" spans="1:10" x14ac:dyDescent="0.35">
      <c r="J43" t="s">
        <v>1714</v>
      </c>
    </row>
    <row r="44" spans="1:10" x14ac:dyDescent="0.35">
      <c r="J44" s="36" t="s">
        <v>3917</v>
      </c>
    </row>
    <row r="45" spans="1:10" x14ac:dyDescent="0.35">
      <c r="A45" s="33" t="s">
        <v>1714</v>
      </c>
      <c r="B45" t="s">
        <v>3</v>
      </c>
      <c r="C45" t="s">
        <v>43</v>
      </c>
      <c r="D45" t="s">
        <v>1726</v>
      </c>
      <c r="E45" s="34" t="s">
        <v>65</v>
      </c>
      <c r="F45" s="33" t="s">
        <v>1715</v>
      </c>
      <c r="G45" s="33" t="s">
        <v>2848</v>
      </c>
      <c r="H45" t="s">
        <v>1716</v>
      </c>
      <c r="I45" s="1" t="s">
        <v>1328</v>
      </c>
      <c r="J45" s="3" t="s">
        <v>1717</v>
      </c>
    </row>
    <row r="46" spans="1:10" x14ac:dyDescent="0.35">
      <c r="E46" s="17"/>
      <c r="G46" s="33" t="s">
        <v>2847</v>
      </c>
      <c r="I46" t="s">
        <v>1328</v>
      </c>
      <c r="J46" t="s">
        <v>1718</v>
      </c>
    </row>
    <row r="47" spans="1:10" x14ac:dyDescent="0.35">
      <c r="I47" t="s">
        <v>721</v>
      </c>
      <c r="J47" t="s">
        <v>1719</v>
      </c>
    </row>
    <row r="48" spans="1:10" x14ac:dyDescent="0.35">
      <c r="I48" t="s">
        <v>595</v>
      </c>
      <c r="J48" t="s">
        <v>1720</v>
      </c>
    </row>
    <row r="49" spans="9:10" x14ac:dyDescent="0.35">
      <c r="I49" t="s">
        <v>366</v>
      </c>
      <c r="J49" t="s">
        <v>1718</v>
      </c>
    </row>
    <row r="50" spans="9:10" x14ac:dyDescent="0.35">
      <c r="I50" t="s">
        <v>345</v>
      </c>
      <c r="J50" t="s">
        <v>1721</v>
      </c>
    </row>
    <row r="51" spans="9:10" x14ac:dyDescent="0.35">
      <c r="I51" t="s">
        <v>346</v>
      </c>
      <c r="J51" t="s">
        <v>1722</v>
      </c>
    </row>
    <row r="52" spans="9:10" x14ac:dyDescent="0.35">
      <c r="I52" t="s">
        <v>1555</v>
      </c>
      <c r="J52" t="s">
        <v>1723</v>
      </c>
    </row>
    <row r="53" spans="9:10" x14ac:dyDescent="0.35">
      <c r="I53" t="s">
        <v>104</v>
      </c>
      <c r="J53" t="s">
        <v>1724</v>
      </c>
    </row>
    <row r="54" spans="9:10" x14ac:dyDescent="0.35">
      <c r="I54" s="38" t="s">
        <v>18</v>
      </c>
      <c r="J54" t="s">
        <v>1725</v>
      </c>
    </row>
    <row r="55" spans="9:10" x14ac:dyDescent="0.35">
      <c r="J55" s="36" t="s">
        <v>1714</v>
      </c>
    </row>
  </sheetData>
  <hyperlinks>
    <hyperlink ref="A1" location="Summary!A1" tooltip="Return to Totals" display="Back to Totals" xr:uid="{1FE70003-B7E4-47F4-B0CA-29DDED98C9E1}"/>
    <hyperlink ref="I32" r:id="rId1" xr:uid="{AF31E5C9-BF0E-44AA-A917-207D85963922}"/>
    <hyperlink ref="I54" r:id="rId2" xr:uid="{95469A4D-1731-430C-8CCB-03B062FF14AA}"/>
    <hyperlink ref="F25" r:id="rId3" xr:uid="{2DCAAE75-68D5-4B2B-AF62-1FC96D5A784F}"/>
    <hyperlink ref="G25" r:id="rId4" xr:uid="{0D5EE5CC-8D14-48CE-BC50-5717E29C782B}"/>
    <hyperlink ref="F45" r:id="rId5" xr:uid="{35F2B6CC-9EDC-4053-8FC3-B4713D5FC771}"/>
    <hyperlink ref="G46" r:id="rId6" xr:uid="{D36A96A1-4A9F-4141-A845-B5BD6A527EAA}"/>
    <hyperlink ref="G45" r:id="rId7" xr:uid="{C39CACDD-25C0-41F1-A57B-7C308B9B554A}"/>
    <hyperlink ref="J31" r:id="rId8" xr:uid="{C034FD98-BBED-4565-9738-29504D5621AB}"/>
    <hyperlink ref="A25" r:id="rId9" xr:uid="{C3A4A1C9-EEFE-4688-8240-4F0250A49F35}"/>
    <hyperlink ref="J55" r:id="rId10" xr:uid="{6BF9C109-3582-419E-8DF9-F81958864FE6}"/>
    <hyperlink ref="A45" r:id="rId11" xr:uid="{0936BF96-8CD1-4E20-9918-B80C6F519008}"/>
    <hyperlink ref="E45" r:id="rId12" xr:uid="{75311183-C2EE-440C-A047-648952ECAA8A}"/>
    <hyperlink ref="E26" r:id="rId13" xr:uid="{D4869173-65E8-4C57-A88E-01C8EEE3EC2E}"/>
    <hyperlink ref="E25" r:id="rId14" xr:uid="{E339603E-7C62-49CC-993F-56B9D037FFA8}"/>
    <hyperlink ref="I42" r:id="rId15" xr:uid="{FF160022-F9B7-4403-8725-B0731C493B88}"/>
    <hyperlink ref="F33" r:id="rId16" xr:uid="{214393BD-4B1E-45CC-88A7-6AD76A463421}"/>
    <hyperlink ref="G33" r:id="rId17" xr:uid="{F6F3D72A-914E-42F8-A1DC-C63D09E897C6}"/>
    <hyperlink ref="A33" r:id="rId18" xr:uid="{45D6A68F-B0A4-46ED-92BE-EB0BFF1B9667}"/>
    <hyperlink ref="E33" r:id="rId19" xr:uid="{500637DC-49BE-4CAC-8D7F-540B2AABA241}"/>
    <hyperlink ref="J44" r:id="rId20" xr:uid="{AB97CB40-F7D1-45C0-B7A0-15221A1F6876}"/>
    <hyperlink ref="I9" r:id="rId21" xr:uid="{9BCFF6C0-F691-48F7-A6DA-F0C1FA9FA369}"/>
    <hyperlink ref="J9" r:id="rId22" xr:uid="{C803DC72-BE22-4E86-B790-83D3ECF86EAF}"/>
    <hyperlink ref="A3" r:id="rId23" xr:uid="{CAFA9748-D0F4-4F2F-80A3-B4826A074E5D}"/>
    <hyperlink ref="E3" r:id="rId24" xr:uid="{3F2C44D8-784A-4863-B2DA-8F6A92A68535}"/>
    <hyperlink ref="G3" r:id="rId25" xr:uid="{21161008-D7CA-4584-B636-6AC7850973BD}"/>
    <hyperlink ref="I16" r:id="rId26" xr:uid="{2FF477E1-7EA2-423C-B21B-B28E44AC9F7C}"/>
    <hyperlink ref="A10" r:id="rId27" xr:uid="{C6221B90-5BD8-48E3-AEA0-6061672935D8}"/>
    <hyperlink ref="E10" r:id="rId28" xr:uid="{7537536B-815B-4203-AA8A-BCE877C5360C}"/>
    <hyperlink ref="G10" r:id="rId29" xr:uid="{4501E927-3179-4C10-9D10-D2DD7776B38B}"/>
    <hyperlink ref="J17" r:id="rId30" xr:uid="{C5F37708-45A1-40C6-A38F-2C50CA2C4A94}"/>
    <hyperlink ref="I24" r:id="rId31" xr:uid="{52098365-48F2-44D4-9F89-B0531640B08E}"/>
    <hyperlink ref="A18" r:id="rId32" xr:uid="{27C7AD56-AEFB-4B92-876C-1354087D7463}"/>
    <hyperlink ref="E18" r:id="rId33" xr:uid="{31803738-5C4A-442F-80C9-42C312D38BA1}"/>
    <hyperlink ref="G18" r:id="rId34" xr:uid="{94472B33-0872-4C1E-82CF-0034075CB895}"/>
    <hyperlink ref="J24" r:id="rId35" xr:uid="{B02FFBC7-A055-4590-85D1-8A1F6B37594D}"/>
    <hyperlink ref="E4" r:id="rId36" xr:uid="{91E6DDDA-C5DE-435F-B674-2AF1A6062846}"/>
    <hyperlink ref="E11" r:id="rId37" xr:uid="{00C98909-0E98-4138-ADCC-9E6542FF2E37}"/>
    <hyperlink ref="E19" r:id="rId38" xr:uid="{13A5340D-9B65-43AF-ABBD-ADBCDF0E43A1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31912-87FD-4257-BE47-26FAFC6E56BE}">
  <sheetPr>
    <tabColor theme="9" tint="-0.249977111117893"/>
  </sheetPr>
  <dimension ref="A1:J21"/>
  <sheetViews>
    <sheetView workbookViewId="0"/>
  </sheetViews>
  <sheetFormatPr defaultRowHeight="14.5" x14ac:dyDescent="0.35"/>
  <cols>
    <col min="1" max="1" width="14.6328125" customWidth="1"/>
    <col min="2" max="2" width="11.26953125" customWidth="1"/>
    <col min="3" max="3" width="21.81640625" customWidth="1"/>
    <col min="4" max="4" width="22.453125" customWidth="1"/>
    <col min="5" max="5" width="6.36328125" customWidth="1"/>
    <col min="6" max="6" width="14.7265625" customWidth="1"/>
    <col min="7" max="7" width="14.1796875" customWidth="1"/>
    <col min="8" max="8" width="22.36328125" customWidth="1"/>
    <col min="9" max="9" width="20.26953125" customWidth="1"/>
    <col min="10" max="10" width="20.54296875" customWidth="1"/>
  </cols>
  <sheetData>
    <row r="1" spans="1:10" x14ac:dyDescent="0.35">
      <c r="A1" s="34" t="s">
        <v>3196</v>
      </c>
      <c r="B1" s="16">
        <f>COUNTIF(I2:I1073,C1)+COUNTIF(I2:I1073,D1)</f>
        <v>3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7" t="s">
        <v>3953</v>
      </c>
      <c r="B3" t="s">
        <v>3</v>
      </c>
      <c r="C3" t="s">
        <v>43</v>
      </c>
      <c r="D3" t="s">
        <v>159</v>
      </c>
      <c r="E3" s="34" t="s">
        <v>89</v>
      </c>
      <c r="F3" s="37" t="s">
        <v>3585</v>
      </c>
      <c r="G3" s="37" t="s">
        <v>3586</v>
      </c>
      <c r="H3" t="s">
        <v>130</v>
      </c>
      <c r="I3" s="1" t="s">
        <v>163</v>
      </c>
      <c r="J3" s="3" t="s">
        <v>3587</v>
      </c>
    </row>
    <row r="4" spans="1:10" x14ac:dyDescent="0.35">
      <c r="I4" t="s">
        <v>167</v>
      </c>
      <c r="J4" t="s">
        <v>3588</v>
      </c>
    </row>
    <row r="5" spans="1:10" x14ac:dyDescent="0.35">
      <c r="I5" t="s">
        <v>97</v>
      </c>
      <c r="J5" t="s">
        <v>3589</v>
      </c>
    </row>
    <row r="6" spans="1:10" x14ac:dyDescent="0.35">
      <c r="I6" t="s">
        <v>100</v>
      </c>
      <c r="J6" t="s">
        <v>3590</v>
      </c>
    </row>
    <row r="7" spans="1:10" x14ac:dyDescent="0.35">
      <c r="I7" t="s">
        <v>104</v>
      </c>
      <c r="J7" s="36" t="s">
        <v>3954</v>
      </c>
    </row>
    <row r="8" spans="1:10" x14ac:dyDescent="0.35">
      <c r="I8" s="38" t="s">
        <v>18</v>
      </c>
    </row>
    <row r="9" spans="1:10" x14ac:dyDescent="0.35">
      <c r="A9" s="37" t="s">
        <v>3584</v>
      </c>
      <c r="B9" t="s">
        <v>3</v>
      </c>
      <c r="C9" t="s">
        <v>43</v>
      </c>
      <c r="D9" t="s">
        <v>184</v>
      </c>
      <c r="E9" s="34" t="s">
        <v>44</v>
      </c>
      <c r="F9" s="37" t="s">
        <v>3585</v>
      </c>
      <c r="G9" s="37" t="s">
        <v>3586</v>
      </c>
      <c r="H9" t="s">
        <v>130</v>
      </c>
      <c r="I9" s="1" t="s">
        <v>163</v>
      </c>
      <c r="J9" s="3" t="s">
        <v>3587</v>
      </c>
    </row>
    <row r="10" spans="1:10" x14ac:dyDescent="0.35">
      <c r="I10" t="s">
        <v>167</v>
      </c>
      <c r="J10" t="s">
        <v>3588</v>
      </c>
    </row>
    <row r="11" spans="1:10" x14ac:dyDescent="0.35">
      <c r="I11" t="s">
        <v>97</v>
      </c>
      <c r="J11" t="s">
        <v>3589</v>
      </c>
    </row>
    <row r="12" spans="1:10" x14ac:dyDescent="0.35">
      <c r="I12" t="s">
        <v>100</v>
      </c>
      <c r="J12" t="s">
        <v>3590</v>
      </c>
    </row>
    <row r="13" spans="1:10" x14ac:dyDescent="0.35">
      <c r="I13" t="s">
        <v>104</v>
      </c>
      <c r="J13" t="s">
        <v>3591</v>
      </c>
    </row>
    <row r="14" spans="1:10" x14ac:dyDescent="0.35">
      <c r="I14" s="38" t="s">
        <v>18</v>
      </c>
      <c r="J14" s="36" t="s">
        <v>3592</v>
      </c>
    </row>
    <row r="15" spans="1:10" x14ac:dyDescent="0.35">
      <c r="A15" s="33" t="s">
        <v>3608</v>
      </c>
      <c r="B15" t="s">
        <v>3</v>
      </c>
      <c r="C15" t="s">
        <v>43</v>
      </c>
      <c r="D15" t="s">
        <v>184</v>
      </c>
      <c r="E15" s="34" t="s">
        <v>44</v>
      </c>
      <c r="F15" s="37" t="s">
        <v>3585</v>
      </c>
      <c r="G15" s="37" t="s">
        <v>3586</v>
      </c>
      <c r="H15" t="s">
        <v>130</v>
      </c>
      <c r="I15" s="1" t="s">
        <v>163</v>
      </c>
      <c r="J15" s="3" t="s">
        <v>3587</v>
      </c>
    </row>
    <row r="16" spans="1:10" x14ac:dyDescent="0.35">
      <c r="I16" t="s">
        <v>167</v>
      </c>
      <c r="J16" t="s">
        <v>3588</v>
      </c>
    </row>
    <row r="17" spans="9:10" x14ac:dyDescent="0.35">
      <c r="I17" t="s">
        <v>97</v>
      </c>
      <c r="J17" t="s">
        <v>3589</v>
      </c>
    </row>
    <row r="18" spans="9:10" x14ac:dyDescent="0.35">
      <c r="I18" t="s">
        <v>100</v>
      </c>
      <c r="J18" t="s">
        <v>3590</v>
      </c>
    </row>
    <row r="19" spans="9:10" x14ac:dyDescent="0.35">
      <c r="I19" t="s">
        <v>104</v>
      </c>
      <c r="J19" t="s">
        <v>3609</v>
      </c>
    </row>
    <row r="20" spans="9:10" x14ac:dyDescent="0.35">
      <c r="I20" s="38" t="s">
        <v>18</v>
      </c>
      <c r="J20" t="s">
        <v>3591</v>
      </c>
    </row>
    <row r="21" spans="9:10" x14ac:dyDescent="0.35">
      <c r="J21" s="36" t="s">
        <v>3610</v>
      </c>
    </row>
  </sheetData>
  <hyperlinks>
    <hyperlink ref="A1" location="Summary!A1" tooltip="Return to Totals" display="Back to Totals" xr:uid="{4A2B11F6-65A4-4E5C-9B52-4C472CFF795B}"/>
    <hyperlink ref="F9" r:id="rId1" display="Isaac Humphrey" xr:uid="{F5BCAD88-3054-4446-AA6C-AE6943470BCB}"/>
    <hyperlink ref="G9" r:id="rId2" display="Judith Foster" xr:uid="{B733AA68-EDB7-4E57-BB94-0909B0F00502}"/>
    <hyperlink ref="A9" r:id="rId3" xr:uid="{8CE1171C-1B6D-494B-92AC-A57D8C81DE21}"/>
    <hyperlink ref="E9" r:id="rId4" display="57cM" xr:uid="{7EAAEB73-CAAF-49E6-B6F9-9130E46B9FE3}"/>
    <hyperlink ref="J14" r:id="rId5" xr:uid="{6D18DC1A-0FD7-456B-AD07-4C480ED1F3BD}"/>
    <hyperlink ref="I14" r:id="rId6" xr:uid="{6F5B0BA5-149B-4814-BF04-53FFEBC81E70}"/>
    <hyperlink ref="F15" r:id="rId7" display="Isaac Humphrey" xr:uid="{AC84FAA2-D336-4046-A243-ED44A1A0FF3F}"/>
    <hyperlink ref="G15" r:id="rId8" display="Judith Foster" xr:uid="{3EA2BA02-8141-4024-B962-A4FBB2C19761}"/>
    <hyperlink ref="E15" r:id="rId9" display="57cM" xr:uid="{D6B04646-FA32-49FE-ADCB-43AD538A98BE}"/>
    <hyperlink ref="I20" r:id="rId10" xr:uid="{E67A5042-A42A-4DD2-A381-D7AA02135B80}"/>
    <hyperlink ref="J21" r:id="rId11" xr:uid="{F513828A-8261-4B72-A7E6-63FD15DA5E0B}"/>
    <hyperlink ref="A15" r:id="rId12" xr:uid="{339FAC1E-25BF-48F6-8E8C-14D5EE8C4494}"/>
    <hyperlink ref="F3" r:id="rId13" display="Isaac Humphrey" xr:uid="{487E9D0A-12A1-4FD3-8EB0-97C25FA2460D}"/>
    <hyperlink ref="G3" r:id="rId14" display="Judith Foster" xr:uid="{E5746A49-3478-465E-8085-09F9D7D46918}"/>
    <hyperlink ref="A3" r:id="rId15" xr:uid="{56098650-D6B6-4F5F-BDB8-B6034DA14F0C}"/>
    <hyperlink ref="E3" r:id="rId16" display="57cM" xr:uid="{563D8366-C25E-4F34-8FE8-3DFA0102F66D}"/>
    <hyperlink ref="I8" r:id="rId17" xr:uid="{AFA64A62-017D-4895-8B88-C50AE2DB60EA}"/>
    <hyperlink ref="J7" r:id="rId18" xr:uid="{2AA6626C-09A9-4C8B-A868-AAA491E6B3E5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4">
    <tabColor theme="9" tint="-0.499984740745262"/>
  </sheetPr>
  <dimension ref="A1:J35"/>
  <sheetViews>
    <sheetView workbookViewId="0"/>
  </sheetViews>
  <sheetFormatPr defaultRowHeight="14.5" x14ac:dyDescent="0.35"/>
  <cols>
    <col min="1" max="1" width="18.453125" customWidth="1"/>
    <col min="2" max="2" width="15.6328125" customWidth="1"/>
    <col min="3" max="3" width="22.7265625" customWidth="1"/>
    <col min="4" max="4" width="21" customWidth="1"/>
    <col min="5" max="5" width="13" customWidth="1"/>
    <col min="6" max="6" width="22.90625" customWidth="1"/>
    <col min="7" max="7" width="24.453125" customWidth="1"/>
    <col min="8" max="8" width="23.26953125" customWidth="1"/>
    <col min="9" max="9" width="23.81640625" customWidth="1"/>
    <col min="10" max="10" width="19.7265625" customWidth="1"/>
  </cols>
  <sheetData>
    <row r="1" spans="1:10" x14ac:dyDescent="0.35">
      <c r="A1" s="34" t="s">
        <v>3196</v>
      </c>
      <c r="B1" s="16">
        <f>COUNTIF(I2:I1067,C1)+COUNTIF(I2:I1067,D1)</f>
        <v>4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7" t="s">
        <v>796</v>
      </c>
      <c r="B3" t="s">
        <v>3</v>
      </c>
      <c r="C3" t="s">
        <v>25</v>
      </c>
      <c r="D3" t="s">
        <v>797</v>
      </c>
      <c r="E3" s="34" t="s">
        <v>798</v>
      </c>
      <c r="F3" s="37" t="s">
        <v>799</v>
      </c>
      <c r="G3" s="37" t="s">
        <v>800</v>
      </c>
      <c r="H3" t="s">
        <v>413</v>
      </c>
      <c r="I3" s="1" t="s">
        <v>810</v>
      </c>
      <c r="J3" s="3" t="s">
        <v>809</v>
      </c>
    </row>
    <row r="4" spans="1:10" x14ac:dyDescent="0.35">
      <c r="E4" s="54" t="s">
        <v>201</v>
      </c>
      <c r="I4" t="s">
        <v>811</v>
      </c>
      <c r="J4" t="s">
        <v>808</v>
      </c>
    </row>
    <row r="5" spans="1:10" x14ac:dyDescent="0.35">
      <c r="I5" t="s">
        <v>812</v>
      </c>
      <c r="J5" t="s">
        <v>807</v>
      </c>
    </row>
    <row r="6" spans="1:10" x14ac:dyDescent="0.35">
      <c r="I6" t="s">
        <v>324</v>
      </c>
      <c r="J6" t="s">
        <v>806</v>
      </c>
    </row>
    <row r="7" spans="1:10" x14ac:dyDescent="0.35">
      <c r="I7" t="s">
        <v>12</v>
      </c>
      <c r="J7" t="s">
        <v>805</v>
      </c>
    </row>
    <row r="8" spans="1:10" x14ac:dyDescent="0.35">
      <c r="I8" t="s">
        <v>16</v>
      </c>
      <c r="J8" t="s">
        <v>804</v>
      </c>
    </row>
    <row r="9" spans="1:10" x14ac:dyDescent="0.35">
      <c r="I9" t="s">
        <v>17</v>
      </c>
      <c r="J9" t="s">
        <v>803</v>
      </c>
    </row>
    <row r="10" spans="1:10" x14ac:dyDescent="0.35">
      <c r="I10" s="38" t="s">
        <v>18</v>
      </c>
      <c r="J10" t="s">
        <v>802</v>
      </c>
    </row>
    <row r="11" spans="1:10" x14ac:dyDescent="0.35">
      <c r="J11" s="36" t="s">
        <v>801</v>
      </c>
    </row>
    <row r="12" spans="1:10" x14ac:dyDescent="0.35">
      <c r="A12" s="37" t="s">
        <v>4327</v>
      </c>
      <c r="B12" s="1" t="s">
        <v>315</v>
      </c>
      <c r="C12" t="s">
        <v>25</v>
      </c>
      <c r="D12" t="s">
        <v>1327</v>
      </c>
      <c r="E12" s="34" t="s">
        <v>3741</v>
      </c>
      <c r="F12" s="37" t="s">
        <v>799</v>
      </c>
      <c r="G12" s="37" t="s">
        <v>800</v>
      </c>
      <c r="H12" t="s">
        <v>413</v>
      </c>
      <c r="I12" s="1" t="s">
        <v>810</v>
      </c>
      <c r="J12" s="3" t="s">
        <v>809</v>
      </c>
    </row>
    <row r="13" spans="1:10" x14ac:dyDescent="0.35">
      <c r="I13" t="s">
        <v>811</v>
      </c>
      <c r="J13" t="s">
        <v>808</v>
      </c>
    </row>
    <row r="14" spans="1:10" x14ac:dyDescent="0.35">
      <c r="I14" t="s">
        <v>812</v>
      </c>
      <c r="J14" t="s">
        <v>807</v>
      </c>
    </row>
    <row r="15" spans="1:10" x14ac:dyDescent="0.35">
      <c r="I15" t="s">
        <v>324</v>
      </c>
      <c r="J15" t="s">
        <v>806</v>
      </c>
    </row>
    <row r="16" spans="1:10" x14ac:dyDescent="0.35">
      <c r="I16" t="s">
        <v>12</v>
      </c>
      <c r="J16" t="s">
        <v>4324</v>
      </c>
    </row>
    <row r="17" spans="1:10" x14ac:dyDescent="0.35">
      <c r="I17" t="s">
        <v>16</v>
      </c>
      <c r="J17" t="s">
        <v>4325</v>
      </c>
    </row>
    <row r="18" spans="1:10" x14ac:dyDescent="0.35">
      <c r="I18" t="s">
        <v>17</v>
      </c>
      <c r="J18" s="36" t="s">
        <v>4326</v>
      </c>
    </row>
    <row r="19" spans="1:10" x14ac:dyDescent="0.35">
      <c r="I19" s="38" t="s">
        <v>18</v>
      </c>
    </row>
    <row r="20" spans="1:10" x14ac:dyDescent="0.35">
      <c r="A20" s="37" t="s">
        <v>4328</v>
      </c>
      <c r="B20" s="1" t="s">
        <v>315</v>
      </c>
      <c r="C20" t="s">
        <v>25</v>
      </c>
      <c r="D20" t="s">
        <v>710</v>
      </c>
      <c r="E20" s="34" t="s">
        <v>32</v>
      </c>
      <c r="F20" s="37" t="s">
        <v>799</v>
      </c>
      <c r="G20" s="37" t="s">
        <v>800</v>
      </c>
      <c r="H20" t="s">
        <v>413</v>
      </c>
      <c r="I20" s="1" t="s">
        <v>810</v>
      </c>
      <c r="J20" s="3" t="s">
        <v>809</v>
      </c>
    </row>
    <row r="21" spans="1:10" x14ac:dyDescent="0.35">
      <c r="I21" t="s">
        <v>811</v>
      </c>
      <c r="J21" t="s">
        <v>808</v>
      </c>
    </row>
    <row r="22" spans="1:10" x14ac:dyDescent="0.35">
      <c r="I22" t="s">
        <v>812</v>
      </c>
      <c r="J22" t="s">
        <v>807</v>
      </c>
    </row>
    <row r="23" spans="1:10" x14ac:dyDescent="0.35">
      <c r="I23" t="s">
        <v>324</v>
      </c>
      <c r="J23" t="s">
        <v>806</v>
      </c>
    </row>
    <row r="24" spans="1:10" x14ac:dyDescent="0.35">
      <c r="I24" t="s">
        <v>12</v>
      </c>
      <c r="J24" t="s">
        <v>4324</v>
      </c>
    </row>
    <row r="25" spans="1:10" x14ac:dyDescent="0.35">
      <c r="I25" t="s">
        <v>16</v>
      </c>
      <c r="J25" t="s">
        <v>4325</v>
      </c>
    </row>
    <row r="26" spans="1:10" x14ac:dyDescent="0.35">
      <c r="I26" t="s">
        <v>17</v>
      </c>
      <c r="J26" t="s">
        <v>4326</v>
      </c>
    </row>
    <row r="27" spans="1:10" x14ac:dyDescent="0.35">
      <c r="I27" s="38" t="s">
        <v>18</v>
      </c>
      <c r="J27" s="36" t="s">
        <v>4329</v>
      </c>
    </row>
    <row r="28" spans="1:10" x14ac:dyDescent="0.35">
      <c r="A28" s="37" t="s">
        <v>4339</v>
      </c>
      <c r="B28" s="1" t="s">
        <v>315</v>
      </c>
      <c r="C28" t="s">
        <v>25</v>
      </c>
      <c r="D28" t="s">
        <v>1327</v>
      </c>
      <c r="E28" s="34" t="s">
        <v>32</v>
      </c>
      <c r="F28" s="37" t="s">
        <v>799</v>
      </c>
      <c r="G28" s="37" t="s">
        <v>800</v>
      </c>
      <c r="H28" t="s">
        <v>413</v>
      </c>
      <c r="I28" s="1" t="s">
        <v>810</v>
      </c>
      <c r="J28" s="3" t="s">
        <v>809</v>
      </c>
    </row>
    <row r="29" spans="1:10" x14ac:dyDescent="0.35">
      <c r="I29" t="s">
        <v>811</v>
      </c>
      <c r="J29" t="s">
        <v>808</v>
      </c>
    </row>
    <row r="30" spans="1:10" x14ac:dyDescent="0.35">
      <c r="I30" t="s">
        <v>812</v>
      </c>
      <c r="J30" t="s">
        <v>807</v>
      </c>
    </row>
    <row r="31" spans="1:10" x14ac:dyDescent="0.35">
      <c r="I31" t="s">
        <v>324</v>
      </c>
      <c r="J31" t="s">
        <v>806</v>
      </c>
    </row>
    <row r="32" spans="1:10" x14ac:dyDescent="0.35">
      <c r="I32" t="s">
        <v>12</v>
      </c>
      <c r="J32" t="s">
        <v>4324</v>
      </c>
    </row>
    <row r="33" spans="9:10" x14ac:dyDescent="0.35">
      <c r="I33" t="s">
        <v>16</v>
      </c>
      <c r="J33" t="s">
        <v>4325</v>
      </c>
    </row>
    <row r="34" spans="9:10" x14ac:dyDescent="0.35">
      <c r="I34" t="s">
        <v>17</v>
      </c>
      <c r="J34" s="36" t="s">
        <v>4340</v>
      </c>
    </row>
    <row r="35" spans="9:10" x14ac:dyDescent="0.35">
      <c r="I35" s="38" t="s">
        <v>18</v>
      </c>
    </row>
  </sheetData>
  <hyperlinks>
    <hyperlink ref="A1" location="Summary!A1" tooltip="Return to Totals" display="Back to Totals" xr:uid="{34993DC2-4355-4396-A3A1-C38B2EDE389F}"/>
    <hyperlink ref="I10" r:id="rId1" xr:uid="{AD029D9C-7189-4A31-B6F1-AFE049AC0076}"/>
    <hyperlink ref="F3" r:id="rId2" xr:uid="{55621BCD-621E-4DEC-A9EA-BE7479F85951}"/>
    <hyperlink ref="G3" r:id="rId3" xr:uid="{083A09B1-01D3-4DE7-9F72-3B4247344FCC}"/>
    <hyperlink ref="J11" r:id="rId4" xr:uid="{98DFBE9B-E4E3-4C6C-8037-3874D3A218F5}"/>
    <hyperlink ref="A3" r:id="rId5" xr:uid="{D4815F12-C097-4A3D-94F5-7E1500A2D1E1}"/>
    <hyperlink ref="E4" r:id="rId6" xr:uid="{90753087-9CFB-4EA0-BCB7-272E9C2978E0}"/>
    <hyperlink ref="E3" r:id="rId7" xr:uid="{2D7BFFB1-DF94-4E39-91EC-DF7BF993D8DF}"/>
    <hyperlink ref="F12" r:id="rId8" xr:uid="{1E35B340-58BD-48B0-A287-B32B5B001661}"/>
    <hyperlink ref="G12" r:id="rId9" xr:uid="{641C91DC-5B90-4BC9-A586-2C0D27ACE97E}"/>
    <hyperlink ref="A12" r:id="rId10" xr:uid="{789008EE-229A-4330-9D42-B450F9768A83}"/>
    <hyperlink ref="E12" r:id="rId11" xr:uid="{4ACC1437-6E6B-4446-AACF-BFF793160A56}"/>
    <hyperlink ref="J18" r:id="rId12" xr:uid="{23A66810-929F-4FCB-8B9E-6B36FC1273E0}"/>
    <hyperlink ref="I19" r:id="rId13" xr:uid="{73E354C4-67F4-4D02-8DC3-75715551AD99}"/>
    <hyperlink ref="F20" r:id="rId14" xr:uid="{FE20D073-78CE-42FF-B49F-A2548C3787F2}"/>
    <hyperlink ref="G20" r:id="rId15" xr:uid="{180B3CDD-7561-4C77-B01E-6D0DD8521660}"/>
    <hyperlink ref="A20" r:id="rId16" xr:uid="{8BDB22E0-4009-4BFB-B7DA-F4A38950487F}"/>
    <hyperlink ref="E20" r:id="rId17" xr:uid="{8A34DB82-DF55-422C-940F-68E71D902B13}"/>
    <hyperlink ref="I27" r:id="rId18" xr:uid="{81EED4C3-7634-4D91-9E6A-A38EB2A304B2}"/>
    <hyperlink ref="J27" r:id="rId19" xr:uid="{D21B2198-8953-4B5E-B5C5-B09C87CD059B}"/>
    <hyperlink ref="F28" r:id="rId20" xr:uid="{42DDC98C-179A-4A5F-93E0-C1E64EB9CB3A}"/>
    <hyperlink ref="G28" r:id="rId21" xr:uid="{5B4CED4C-4F99-4718-8978-6BCE6CD70E01}"/>
    <hyperlink ref="A28" r:id="rId22" display="Christine Murray" xr:uid="{2B00E3AE-00A4-480E-BF2D-8C31EB9160CF}"/>
    <hyperlink ref="E28" r:id="rId23" display="45cM" xr:uid="{4D5D7DD5-8DDB-46A3-9685-6FEBE84180DE}"/>
    <hyperlink ref="J34" r:id="rId24" display="Christine Halsey" xr:uid="{789D0CF4-CF87-4F27-8946-AE107FCAD395}"/>
    <hyperlink ref="I35" r:id="rId25" xr:uid="{EB03AAF0-0C85-4971-AB64-57735E8F0E47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5">
    <tabColor theme="8" tint="-0.499984740745262"/>
  </sheetPr>
  <dimension ref="A1:J190"/>
  <sheetViews>
    <sheetView topLeftCell="A37" zoomScaleNormal="100" workbookViewId="0">
      <selection activeCell="B47" sqref="B47"/>
    </sheetView>
  </sheetViews>
  <sheetFormatPr defaultRowHeight="14.5" x14ac:dyDescent="0.35"/>
  <cols>
    <col min="1" max="1" width="20.1796875" customWidth="1"/>
    <col min="2" max="2" width="9.7265625" customWidth="1"/>
    <col min="3" max="3" width="14.81640625" customWidth="1"/>
    <col min="4" max="4" width="18.90625" customWidth="1"/>
    <col min="5" max="5" width="12.26953125" customWidth="1"/>
    <col min="6" max="6" width="24.453125" customWidth="1"/>
    <col min="7" max="7" width="15" customWidth="1"/>
    <col min="8" max="8" width="12" customWidth="1"/>
    <col min="9" max="10" width="24.1796875" customWidth="1"/>
  </cols>
  <sheetData>
    <row r="1" spans="1:10" x14ac:dyDescent="0.35">
      <c r="A1" s="34" t="s">
        <v>3196</v>
      </c>
      <c r="B1" s="16">
        <f>COUNTIF(I2:I1137,C1)+COUNTIF(I2:I1137,D1)</f>
        <v>35</v>
      </c>
      <c r="C1" s="9" t="s">
        <v>18</v>
      </c>
      <c r="D1" s="17" t="s">
        <v>1249</v>
      </c>
    </row>
    <row r="2" spans="1:10" s="11" customFormat="1" x14ac:dyDescent="0.35">
      <c r="A2" s="11" t="s">
        <v>0</v>
      </c>
      <c r="B2" s="11" t="s">
        <v>2</v>
      </c>
      <c r="C2" s="11" t="s">
        <v>4</v>
      </c>
      <c r="D2" s="11" t="s">
        <v>5</v>
      </c>
      <c r="E2" s="11" t="s">
        <v>7</v>
      </c>
      <c r="F2" s="11" t="s">
        <v>10</v>
      </c>
      <c r="G2" s="11" t="s">
        <v>11</v>
      </c>
      <c r="H2" s="11" t="s">
        <v>23</v>
      </c>
      <c r="I2" s="11" t="s">
        <v>15</v>
      </c>
      <c r="J2" s="11" t="s">
        <v>14</v>
      </c>
    </row>
    <row r="3" spans="1:10" x14ac:dyDescent="0.35">
      <c r="A3" s="33" t="s">
        <v>3455</v>
      </c>
      <c r="B3" s="1" t="s">
        <v>315</v>
      </c>
      <c r="C3" t="s">
        <v>25</v>
      </c>
      <c r="D3" t="s">
        <v>562</v>
      </c>
      <c r="E3" s="34" t="s">
        <v>3456</v>
      </c>
      <c r="F3" s="33" t="s">
        <v>344</v>
      </c>
      <c r="G3" s="33" t="s">
        <v>345</v>
      </c>
      <c r="H3" t="s">
        <v>74</v>
      </c>
      <c r="I3" s="1" t="s">
        <v>346</v>
      </c>
      <c r="J3" s="3" t="s">
        <v>1569</v>
      </c>
    </row>
    <row r="4" spans="1:10" x14ac:dyDescent="0.35">
      <c r="E4" s="54" t="s">
        <v>3457</v>
      </c>
      <c r="I4" t="s">
        <v>1555</v>
      </c>
      <c r="J4" t="s">
        <v>1703</v>
      </c>
    </row>
    <row r="5" spans="1:10" x14ac:dyDescent="0.35">
      <c r="I5" t="s">
        <v>104</v>
      </c>
      <c r="J5" s="36" t="s">
        <v>2850</v>
      </c>
    </row>
    <row r="6" spans="1:10" x14ac:dyDescent="0.35">
      <c r="I6" s="38" t="s">
        <v>18</v>
      </c>
    </row>
    <row r="7" spans="1:10" x14ac:dyDescent="0.35">
      <c r="A7" s="33" t="s">
        <v>2852</v>
      </c>
      <c r="B7" t="s">
        <v>3</v>
      </c>
      <c r="C7" t="s">
        <v>25</v>
      </c>
      <c r="D7" t="s">
        <v>22</v>
      </c>
      <c r="E7" s="34" t="s">
        <v>2853</v>
      </c>
      <c r="F7" s="33" t="s">
        <v>344</v>
      </c>
      <c r="G7" s="33" t="s">
        <v>345</v>
      </c>
      <c r="H7" t="s">
        <v>74</v>
      </c>
      <c r="I7" s="1" t="s">
        <v>346</v>
      </c>
      <c r="J7" s="3" t="s">
        <v>1569</v>
      </c>
    </row>
    <row r="8" spans="1:10" x14ac:dyDescent="0.35">
      <c r="E8" s="54" t="s">
        <v>1376</v>
      </c>
      <c r="I8" t="s">
        <v>1555</v>
      </c>
      <c r="J8" t="s">
        <v>1703</v>
      </c>
    </row>
    <row r="9" spans="1:10" x14ac:dyDescent="0.35">
      <c r="I9" t="s">
        <v>104</v>
      </c>
      <c r="J9" t="s">
        <v>2850</v>
      </c>
    </row>
    <row r="10" spans="1:10" x14ac:dyDescent="0.35">
      <c r="I10" s="38" t="s">
        <v>18</v>
      </c>
      <c r="J10" s="36" t="s">
        <v>2851</v>
      </c>
    </row>
    <row r="11" spans="1:10" x14ac:dyDescent="0.35">
      <c r="A11" s="33" t="s">
        <v>1701</v>
      </c>
      <c r="B11" t="s">
        <v>3</v>
      </c>
      <c r="C11" t="s">
        <v>6</v>
      </c>
      <c r="D11" t="s">
        <v>1476</v>
      </c>
      <c r="E11" s="34" t="s">
        <v>1702</v>
      </c>
      <c r="F11" s="33" t="s">
        <v>344</v>
      </c>
      <c r="G11" s="33" t="s">
        <v>345</v>
      </c>
      <c r="H11" t="s">
        <v>74</v>
      </c>
      <c r="I11" s="1" t="s">
        <v>346</v>
      </c>
      <c r="J11" s="3" t="s">
        <v>1569</v>
      </c>
    </row>
    <row r="12" spans="1:10" x14ac:dyDescent="0.35">
      <c r="E12" s="54" t="s">
        <v>662</v>
      </c>
      <c r="I12" t="s">
        <v>1555</v>
      </c>
      <c r="J12" t="s">
        <v>1703</v>
      </c>
    </row>
    <row r="13" spans="1:10" x14ac:dyDescent="0.35">
      <c r="I13" t="s">
        <v>104</v>
      </c>
      <c r="J13" t="s">
        <v>1704</v>
      </c>
    </row>
    <row r="14" spans="1:10" x14ac:dyDescent="0.35">
      <c r="I14" s="38" t="s">
        <v>18</v>
      </c>
      <c r="J14" s="36" t="s">
        <v>1705</v>
      </c>
    </row>
    <row r="15" spans="1:10" x14ac:dyDescent="0.35">
      <c r="A15" s="33" t="s">
        <v>2824</v>
      </c>
      <c r="B15" s="1" t="s">
        <v>315</v>
      </c>
      <c r="C15" t="s">
        <v>6</v>
      </c>
      <c r="D15" t="s">
        <v>30</v>
      </c>
      <c r="E15" s="34" t="s">
        <v>8</v>
      </c>
      <c r="F15" s="33" t="s">
        <v>344</v>
      </c>
      <c r="G15" s="33" t="s">
        <v>345</v>
      </c>
      <c r="H15" t="s">
        <v>74</v>
      </c>
      <c r="I15" s="1" t="s">
        <v>346</v>
      </c>
      <c r="J15" s="3" t="s">
        <v>1569</v>
      </c>
    </row>
    <row r="16" spans="1:10" x14ac:dyDescent="0.35">
      <c r="E16" s="54" t="s">
        <v>1322</v>
      </c>
      <c r="I16" t="s">
        <v>1555</v>
      </c>
      <c r="J16" t="s">
        <v>1569</v>
      </c>
    </row>
    <row r="17" spans="1:10" x14ac:dyDescent="0.35">
      <c r="I17" t="s">
        <v>104</v>
      </c>
      <c r="J17" t="s">
        <v>1569</v>
      </c>
    </row>
    <row r="18" spans="1:10" x14ac:dyDescent="0.35">
      <c r="I18" s="38" t="s">
        <v>18</v>
      </c>
      <c r="J18" t="s">
        <v>2825</v>
      </c>
    </row>
    <row r="19" spans="1:10" x14ac:dyDescent="0.35">
      <c r="J19" s="36" t="s">
        <v>2826</v>
      </c>
    </row>
    <row r="20" spans="1:10" x14ac:dyDescent="0.35">
      <c r="A20" s="33" t="s">
        <v>3212</v>
      </c>
      <c r="B20" s="1" t="s">
        <v>315</v>
      </c>
      <c r="C20" t="s">
        <v>6</v>
      </c>
      <c r="D20" t="s">
        <v>22</v>
      </c>
      <c r="E20" s="34" t="s">
        <v>3214</v>
      </c>
      <c r="F20" s="33" t="s">
        <v>344</v>
      </c>
      <c r="G20" s="33" t="s">
        <v>345</v>
      </c>
      <c r="H20" t="s">
        <v>74</v>
      </c>
      <c r="I20" s="1" t="s">
        <v>346</v>
      </c>
      <c r="J20" s="3" t="s">
        <v>1569</v>
      </c>
    </row>
    <row r="21" spans="1:10" x14ac:dyDescent="0.35">
      <c r="E21" s="54" t="s">
        <v>3213</v>
      </c>
      <c r="I21" t="s">
        <v>1555</v>
      </c>
      <c r="J21" t="s">
        <v>3215</v>
      </c>
    </row>
    <row r="22" spans="1:10" x14ac:dyDescent="0.35">
      <c r="I22" t="s">
        <v>104</v>
      </c>
      <c r="J22" t="s">
        <v>3216</v>
      </c>
    </row>
    <row r="23" spans="1:10" x14ac:dyDescent="0.35">
      <c r="I23" s="38" t="s">
        <v>18</v>
      </c>
      <c r="J23" s="36" t="s">
        <v>3217</v>
      </c>
    </row>
    <row r="24" spans="1:10" x14ac:dyDescent="0.35">
      <c r="A24" s="33" t="s">
        <v>440</v>
      </c>
      <c r="B24" s="1" t="s">
        <v>315</v>
      </c>
      <c r="C24" t="s">
        <v>6</v>
      </c>
      <c r="D24" t="s">
        <v>30</v>
      </c>
      <c r="E24" s="34" t="s">
        <v>441</v>
      </c>
      <c r="F24" s="33" t="s">
        <v>344</v>
      </c>
      <c r="G24" s="33" t="s">
        <v>345</v>
      </c>
      <c r="H24" t="s">
        <v>74</v>
      </c>
      <c r="I24" s="1" t="s">
        <v>346</v>
      </c>
      <c r="J24" s="3" t="s">
        <v>445</v>
      </c>
    </row>
    <row r="25" spans="1:10" x14ac:dyDescent="0.35">
      <c r="E25" s="54" t="s">
        <v>1373</v>
      </c>
      <c r="I25" t="s">
        <v>1555</v>
      </c>
      <c r="J25" t="s">
        <v>444</v>
      </c>
    </row>
    <row r="26" spans="1:10" x14ac:dyDescent="0.35">
      <c r="I26" t="s">
        <v>104</v>
      </c>
      <c r="J26" t="s">
        <v>442</v>
      </c>
    </row>
    <row r="27" spans="1:10" x14ac:dyDescent="0.35">
      <c r="I27" s="38" t="s">
        <v>18</v>
      </c>
      <c r="J27" s="36" t="s">
        <v>443</v>
      </c>
    </row>
    <row r="28" spans="1:10" x14ac:dyDescent="0.35">
      <c r="A28" s="33" t="s">
        <v>516</v>
      </c>
      <c r="B28" s="2" t="s">
        <v>517</v>
      </c>
      <c r="C28" t="s">
        <v>22</v>
      </c>
      <c r="D28" t="s">
        <v>30</v>
      </c>
      <c r="E28" s="34" t="s">
        <v>518</v>
      </c>
      <c r="F28" s="33" t="s">
        <v>344</v>
      </c>
      <c r="G28" s="33" t="s">
        <v>345</v>
      </c>
      <c r="H28" t="s">
        <v>74</v>
      </c>
      <c r="I28" s="1" t="s">
        <v>346</v>
      </c>
      <c r="J28" s="3" t="s">
        <v>445</v>
      </c>
    </row>
    <row r="29" spans="1:10" x14ac:dyDescent="0.35">
      <c r="I29" t="s">
        <v>1555</v>
      </c>
      <c r="J29" t="s">
        <v>444</v>
      </c>
    </row>
    <row r="30" spans="1:10" x14ac:dyDescent="0.35">
      <c r="I30" t="s">
        <v>104</v>
      </c>
      <c r="J30" t="s">
        <v>442</v>
      </c>
    </row>
    <row r="31" spans="1:10" x14ac:dyDescent="0.35">
      <c r="I31" s="38" t="s">
        <v>18</v>
      </c>
      <c r="J31" s="36" t="s">
        <v>519</v>
      </c>
    </row>
    <row r="32" spans="1:10" x14ac:dyDescent="0.35">
      <c r="A32" s="33" t="s">
        <v>415</v>
      </c>
      <c r="B32" t="s">
        <v>3</v>
      </c>
      <c r="C32" t="s">
        <v>25</v>
      </c>
      <c r="D32" t="s">
        <v>30</v>
      </c>
      <c r="E32" s="34" t="s">
        <v>113</v>
      </c>
      <c r="F32" s="33" t="s">
        <v>344</v>
      </c>
      <c r="G32" s="33" t="s">
        <v>345</v>
      </c>
      <c r="H32" t="s">
        <v>74</v>
      </c>
      <c r="I32" s="1" t="s">
        <v>346</v>
      </c>
      <c r="J32" s="3" t="s">
        <v>419</v>
      </c>
    </row>
    <row r="33" spans="1:10" x14ac:dyDescent="0.35">
      <c r="E33" s="54" t="s">
        <v>169</v>
      </c>
      <c r="I33" t="s">
        <v>1555</v>
      </c>
      <c r="J33" t="s">
        <v>418</v>
      </c>
    </row>
    <row r="34" spans="1:10" x14ac:dyDescent="0.35">
      <c r="I34" t="s">
        <v>104</v>
      </c>
      <c r="J34" t="s">
        <v>416</v>
      </c>
    </row>
    <row r="35" spans="1:10" x14ac:dyDescent="0.35">
      <c r="I35" s="38" t="s">
        <v>18</v>
      </c>
      <c r="J35" s="36" t="s">
        <v>417</v>
      </c>
    </row>
    <row r="36" spans="1:10" x14ac:dyDescent="0.35">
      <c r="A36" s="37" t="s">
        <v>446</v>
      </c>
      <c r="B36" s="3" t="s">
        <v>276</v>
      </c>
      <c r="C36" t="s">
        <v>447</v>
      </c>
      <c r="D36" t="s">
        <v>30</v>
      </c>
      <c r="E36" s="34" t="s">
        <v>113</v>
      </c>
      <c r="F36" s="33" t="s">
        <v>344</v>
      </c>
      <c r="G36" s="33" t="s">
        <v>345</v>
      </c>
      <c r="H36" t="s">
        <v>74</v>
      </c>
      <c r="I36" s="1" t="s">
        <v>346</v>
      </c>
      <c r="J36" t="s">
        <v>445</v>
      </c>
    </row>
    <row r="37" spans="1:10" x14ac:dyDescent="0.35">
      <c r="E37" s="17"/>
      <c r="I37" t="s">
        <v>1555</v>
      </c>
      <c r="J37" t="s">
        <v>444</v>
      </c>
    </row>
    <row r="38" spans="1:10" x14ac:dyDescent="0.35">
      <c r="I38" t="s">
        <v>104</v>
      </c>
      <c r="J38" t="s">
        <v>442</v>
      </c>
    </row>
    <row r="39" spans="1:10" x14ac:dyDescent="0.35">
      <c r="I39" s="38" t="s">
        <v>18</v>
      </c>
      <c r="J39" s="36" t="s">
        <v>448</v>
      </c>
    </row>
    <row r="40" spans="1:10" x14ac:dyDescent="0.35">
      <c r="A40" s="37" t="s">
        <v>658</v>
      </c>
      <c r="B40" t="s">
        <v>3</v>
      </c>
      <c r="C40" t="s">
        <v>25</v>
      </c>
      <c r="D40" t="s">
        <v>22</v>
      </c>
      <c r="E40" s="54" t="s">
        <v>113</v>
      </c>
      <c r="F40" s="33" t="s">
        <v>344</v>
      </c>
      <c r="G40" s="33" t="s">
        <v>345</v>
      </c>
      <c r="H40" t="s">
        <v>74</v>
      </c>
      <c r="I40" s="1" t="s">
        <v>346</v>
      </c>
      <c r="J40" s="3" t="s">
        <v>346</v>
      </c>
    </row>
    <row r="41" spans="1:10" x14ac:dyDescent="0.35">
      <c r="E41" s="34" t="s">
        <v>659</v>
      </c>
      <c r="I41" t="s">
        <v>1555</v>
      </c>
      <c r="J41" t="s">
        <v>661</v>
      </c>
    </row>
    <row r="42" spans="1:10" x14ac:dyDescent="0.35">
      <c r="I42" t="s">
        <v>104</v>
      </c>
      <c r="J42" t="s">
        <v>660</v>
      </c>
    </row>
    <row r="43" spans="1:10" x14ac:dyDescent="0.35">
      <c r="I43" s="38" t="s">
        <v>18</v>
      </c>
      <c r="J43" s="36" t="s">
        <v>2856</v>
      </c>
    </row>
    <row r="44" spans="1:10" x14ac:dyDescent="0.35">
      <c r="A44" s="37" t="s">
        <v>4321</v>
      </c>
      <c r="B44" t="s">
        <v>3</v>
      </c>
      <c r="C44" t="s">
        <v>25</v>
      </c>
      <c r="D44" t="s">
        <v>30</v>
      </c>
      <c r="E44" s="34" t="s">
        <v>1373</v>
      </c>
      <c r="F44" s="33" t="s">
        <v>344</v>
      </c>
      <c r="G44" s="33" t="s">
        <v>345</v>
      </c>
      <c r="H44" t="s">
        <v>74</v>
      </c>
      <c r="I44" s="1" t="s">
        <v>346</v>
      </c>
      <c r="J44" s="3" t="s">
        <v>3266</v>
      </c>
    </row>
    <row r="45" spans="1:10" x14ac:dyDescent="0.35">
      <c r="E45" s="54" t="s">
        <v>1373</v>
      </c>
      <c r="I45" t="s">
        <v>1555</v>
      </c>
      <c r="J45" t="s">
        <v>3267</v>
      </c>
    </row>
    <row r="46" spans="1:10" x14ac:dyDescent="0.35">
      <c r="I46" t="s">
        <v>104</v>
      </c>
      <c r="J46" t="s">
        <v>4322</v>
      </c>
    </row>
    <row r="47" spans="1:10" x14ac:dyDescent="0.35">
      <c r="I47" s="38" t="s">
        <v>18</v>
      </c>
      <c r="J47" t="s">
        <v>3280</v>
      </c>
    </row>
    <row r="48" spans="1:10" x14ac:dyDescent="0.35">
      <c r="J48" s="36" t="s">
        <v>4323</v>
      </c>
    </row>
    <row r="49" spans="1:10" x14ac:dyDescent="0.35">
      <c r="A49" s="37" t="s">
        <v>2746</v>
      </c>
      <c r="B49" t="s">
        <v>3</v>
      </c>
      <c r="C49" t="s">
        <v>25</v>
      </c>
      <c r="D49" t="s">
        <v>30</v>
      </c>
      <c r="E49" s="34" t="s">
        <v>119</v>
      </c>
      <c r="F49" s="33" t="s">
        <v>344</v>
      </c>
      <c r="G49" s="33" t="s">
        <v>345</v>
      </c>
      <c r="H49" t="s">
        <v>74</v>
      </c>
      <c r="I49" s="1" t="s">
        <v>346</v>
      </c>
      <c r="J49" s="3" t="s">
        <v>2747</v>
      </c>
    </row>
    <row r="50" spans="1:10" x14ac:dyDescent="0.35">
      <c r="E50" s="54" t="s">
        <v>2750</v>
      </c>
      <c r="I50" t="s">
        <v>1555</v>
      </c>
      <c r="J50" t="s">
        <v>444</v>
      </c>
    </row>
    <row r="51" spans="1:10" x14ac:dyDescent="0.35">
      <c r="I51" t="s">
        <v>104</v>
      </c>
      <c r="J51" t="s">
        <v>2749</v>
      </c>
    </row>
    <row r="52" spans="1:10" x14ac:dyDescent="0.35">
      <c r="I52" s="38" t="s">
        <v>18</v>
      </c>
      <c r="J52" t="s">
        <v>2748</v>
      </c>
    </row>
    <row r="53" spans="1:10" x14ac:dyDescent="0.35">
      <c r="J53" s="36" t="s">
        <v>2746</v>
      </c>
    </row>
    <row r="54" spans="1:10" x14ac:dyDescent="0.35">
      <c r="A54" s="33" t="s">
        <v>1568</v>
      </c>
      <c r="B54" s="2" t="s">
        <v>517</v>
      </c>
      <c r="C54" t="s">
        <v>22</v>
      </c>
      <c r="D54" t="s">
        <v>22</v>
      </c>
      <c r="E54" s="34" t="s">
        <v>1567</v>
      </c>
      <c r="F54" s="33" t="s">
        <v>344</v>
      </c>
      <c r="G54" s="33" t="s">
        <v>345</v>
      </c>
      <c r="H54" t="s">
        <v>74</v>
      </c>
      <c r="I54" s="1" t="s">
        <v>346</v>
      </c>
      <c r="J54" s="3" t="s">
        <v>1569</v>
      </c>
    </row>
    <row r="55" spans="1:10" x14ac:dyDescent="0.35">
      <c r="I55" t="s">
        <v>1555</v>
      </c>
      <c r="J55" t="s">
        <v>418</v>
      </c>
    </row>
    <row r="56" spans="1:10" x14ac:dyDescent="0.35">
      <c r="I56" t="s">
        <v>104</v>
      </c>
      <c r="J56" t="s">
        <v>1570</v>
      </c>
    </row>
    <row r="57" spans="1:10" x14ac:dyDescent="0.35">
      <c r="I57" s="38" t="s">
        <v>18</v>
      </c>
      <c r="J57" s="36" t="s">
        <v>1571</v>
      </c>
    </row>
    <row r="58" spans="1:10" x14ac:dyDescent="0.35">
      <c r="A58" s="33" t="s">
        <v>2858</v>
      </c>
      <c r="B58" t="s">
        <v>3</v>
      </c>
      <c r="C58" t="s">
        <v>25</v>
      </c>
      <c r="D58" t="s">
        <v>41</v>
      </c>
      <c r="E58" s="54" t="s">
        <v>1228</v>
      </c>
      <c r="F58" s="33" t="s">
        <v>344</v>
      </c>
      <c r="G58" s="33" t="s">
        <v>345</v>
      </c>
      <c r="H58" t="s">
        <v>74</v>
      </c>
      <c r="I58" s="1" t="s">
        <v>346</v>
      </c>
      <c r="J58" s="3" t="s">
        <v>346</v>
      </c>
    </row>
    <row r="59" spans="1:10" x14ac:dyDescent="0.35">
      <c r="E59" s="34" t="s">
        <v>343</v>
      </c>
      <c r="I59" t="s">
        <v>1555</v>
      </c>
      <c r="J59" t="s">
        <v>347</v>
      </c>
    </row>
    <row r="60" spans="1:10" x14ac:dyDescent="0.35">
      <c r="I60" t="s">
        <v>104</v>
      </c>
      <c r="J60" t="s">
        <v>348</v>
      </c>
    </row>
    <row r="61" spans="1:10" x14ac:dyDescent="0.35">
      <c r="I61" s="38" t="s">
        <v>18</v>
      </c>
      <c r="J61" t="s">
        <v>349</v>
      </c>
    </row>
    <row r="62" spans="1:10" x14ac:dyDescent="0.35">
      <c r="J62" s="36" t="s">
        <v>350</v>
      </c>
    </row>
    <row r="63" spans="1:10" x14ac:dyDescent="0.35">
      <c r="A63" s="33" t="s">
        <v>1375</v>
      </c>
      <c r="B63" s="1" t="s">
        <v>315</v>
      </c>
      <c r="C63" t="s">
        <v>316</v>
      </c>
      <c r="D63" t="s">
        <v>184</v>
      </c>
      <c r="E63" s="34" t="s">
        <v>560</v>
      </c>
      <c r="F63" s="33" t="s">
        <v>356</v>
      </c>
      <c r="G63" s="33" t="s">
        <v>375</v>
      </c>
      <c r="H63" t="s">
        <v>73</v>
      </c>
      <c r="I63" s="1" t="s">
        <v>344</v>
      </c>
      <c r="J63" s="3" t="s">
        <v>582</v>
      </c>
    </row>
    <row r="64" spans="1:10" x14ac:dyDescent="0.35">
      <c r="E64" s="54" t="s">
        <v>1374</v>
      </c>
      <c r="I64" t="s">
        <v>346</v>
      </c>
      <c r="J64" t="s">
        <v>377</v>
      </c>
    </row>
    <row r="65" spans="1:10" x14ac:dyDescent="0.35">
      <c r="I65" t="s">
        <v>1555</v>
      </c>
      <c r="J65" t="s">
        <v>581</v>
      </c>
    </row>
    <row r="66" spans="1:10" x14ac:dyDescent="0.35">
      <c r="I66" t="s">
        <v>104</v>
      </c>
      <c r="J66" t="s">
        <v>580</v>
      </c>
    </row>
    <row r="67" spans="1:10" x14ac:dyDescent="0.35">
      <c r="I67" s="38" t="s">
        <v>18</v>
      </c>
      <c r="J67" t="s">
        <v>579</v>
      </c>
    </row>
    <row r="68" spans="1:10" x14ac:dyDescent="0.35">
      <c r="J68" s="36" t="s">
        <v>578</v>
      </c>
    </row>
    <row r="69" spans="1:10" x14ac:dyDescent="0.35">
      <c r="A69" s="33" t="s">
        <v>1429</v>
      </c>
      <c r="B69" t="s">
        <v>3</v>
      </c>
      <c r="C69" t="s">
        <v>25</v>
      </c>
      <c r="D69" t="s">
        <v>41</v>
      </c>
      <c r="E69" s="34" t="s">
        <v>1430</v>
      </c>
      <c r="F69" s="33" t="s">
        <v>356</v>
      </c>
      <c r="G69" s="33" t="s">
        <v>375</v>
      </c>
      <c r="H69" t="s">
        <v>73</v>
      </c>
      <c r="I69" s="1" t="s">
        <v>344</v>
      </c>
      <c r="J69" s="3" t="s">
        <v>582</v>
      </c>
    </row>
    <row r="70" spans="1:10" x14ac:dyDescent="0.35">
      <c r="E70" s="54" t="s">
        <v>327</v>
      </c>
      <c r="I70" t="s">
        <v>346</v>
      </c>
      <c r="J70" t="s">
        <v>377</v>
      </c>
    </row>
    <row r="71" spans="1:10" x14ac:dyDescent="0.35">
      <c r="I71" t="s">
        <v>1555</v>
      </c>
      <c r="J71" t="s">
        <v>581</v>
      </c>
    </row>
    <row r="72" spans="1:10" x14ac:dyDescent="0.35">
      <c r="I72" t="s">
        <v>104</v>
      </c>
      <c r="J72" t="s">
        <v>580</v>
      </c>
    </row>
    <row r="73" spans="1:10" x14ac:dyDescent="0.35">
      <c r="I73" s="38" t="s">
        <v>18</v>
      </c>
      <c r="J73" s="36" t="s">
        <v>1429</v>
      </c>
    </row>
    <row r="74" spans="1:10" x14ac:dyDescent="0.35">
      <c r="A74" s="37" t="s">
        <v>1239</v>
      </c>
      <c r="B74" t="s">
        <v>3</v>
      </c>
      <c r="C74" t="s">
        <v>25</v>
      </c>
      <c r="D74" t="s">
        <v>30</v>
      </c>
      <c r="E74" s="34" t="s">
        <v>1240</v>
      </c>
      <c r="F74" s="33" t="s">
        <v>344</v>
      </c>
      <c r="G74" s="33" t="s">
        <v>345</v>
      </c>
      <c r="H74" t="s">
        <v>74</v>
      </c>
      <c r="I74" s="1" t="s">
        <v>346</v>
      </c>
      <c r="J74" t="s">
        <v>445</v>
      </c>
    </row>
    <row r="75" spans="1:10" x14ac:dyDescent="0.35">
      <c r="E75" s="54" t="s">
        <v>32</v>
      </c>
      <c r="I75" t="s">
        <v>1555</v>
      </c>
      <c r="J75" t="s">
        <v>444</v>
      </c>
    </row>
    <row r="76" spans="1:10" x14ac:dyDescent="0.35">
      <c r="I76" t="s">
        <v>104</v>
      </c>
      <c r="J76" t="s">
        <v>442</v>
      </c>
    </row>
    <row r="77" spans="1:10" x14ac:dyDescent="0.35">
      <c r="I77" s="38" t="s">
        <v>18</v>
      </c>
      <c r="J77" s="36" t="s">
        <v>448</v>
      </c>
    </row>
    <row r="78" spans="1:10" x14ac:dyDescent="0.35">
      <c r="A78" s="33" t="s">
        <v>1282</v>
      </c>
      <c r="B78" t="s">
        <v>3</v>
      </c>
      <c r="C78" t="s">
        <v>25</v>
      </c>
      <c r="D78" t="s">
        <v>879</v>
      </c>
      <c r="E78" s="34" t="s">
        <v>343</v>
      </c>
      <c r="F78" s="33" t="s">
        <v>354</v>
      </c>
      <c r="G78" s="33" t="s">
        <v>355</v>
      </c>
      <c r="H78" t="s">
        <v>130</v>
      </c>
      <c r="I78" s="1" t="s">
        <v>356</v>
      </c>
      <c r="J78" s="3" t="s">
        <v>358</v>
      </c>
    </row>
    <row r="79" spans="1:10" x14ac:dyDescent="0.35">
      <c r="E79" s="54" t="s">
        <v>201</v>
      </c>
      <c r="I79" t="s">
        <v>357</v>
      </c>
      <c r="J79" t="s">
        <v>359</v>
      </c>
    </row>
    <row r="80" spans="1:10" x14ac:dyDescent="0.35">
      <c r="I80" t="s">
        <v>346</v>
      </c>
      <c r="J80" t="s">
        <v>1283</v>
      </c>
    </row>
    <row r="81" spans="1:10" x14ac:dyDescent="0.35">
      <c r="I81" t="s">
        <v>1555</v>
      </c>
      <c r="J81" t="s">
        <v>1284</v>
      </c>
    </row>
    <row r="82" spans="1:10" x14ac:dyDescent="0.35">
      <c r="I82" t="s">
        <v>104</v>
      </c>
      <c r="J82" s="36" t="s">
        <v>1282</v>
      </c>
    </row>
    <row r="83" spans="1:10" x14ac:dyDescent="0.35">
      <c r="I83" s="38" t="s">
        <v>18</v>
      </c>
    </row>
    <row r="84" spans="1:10" x14ac:dyDescent="0.35">
      <c r="A84" s="33" t="s">
        <v>3574</v>
      </c>
      <c r="B84" t="s">
        <v>3</v>
      </c>
      <c r="C84" t="s">
        <v>25</v>
      </c>
      <c r="D84" t="s">
        <v>879</v>
      </c>
      <c r="E84" s="34" t="s">
        <v>343</v>
      </c>
      <c r="F84" s="33" t="s">
        <v>354</v>
      </c>
      <c r="G84" s="33" t="s">
        <v>355</v>
      </c>
      <c r="H84" t="s">
        <v>130</v>
      </c>
      <c r="I84" s="1" t="s">
        <v>356</v>
      </c>
      <c r="J84" s="3" t="s">
        <v>358</v>
      </c>
    </row>
    <row r="85" spans="1:10" x14ac:dyDescent="0.35">
      <c r="E85" s="17"/>
      <c r="I85" t="s">
        <v>357</v>
      </c>
      <c r="J85" t="s">
        <v>359</v>
      </c>
    </row>
    <row r="86" spans="1:10" x14ac:dyDescent="0.35">
      <c r="I86" t="s">
        <v>346</v>
      </c>
      <c r="J86" t="s">
        <v>360</v>
      </c>
    </row>
    <row r="87" spans="1:10" x14ac:dyDescent="0.35">
      <c r="I87" t="s">
        <v>1555</v>
      </c>
      <c r="J87" t="s">
        <v>361</v>
      </c>
    </row>
    <row r="88" spans="1:10" x14ac:dyDescent="0.35">
      <c r="I88" t="s">
        <v>104</v>
      </c>
      <c r="J88" s="36" t="s">
        <v>3575</v>
      </c>
    </row>
    <row r="89" spans="1:10" x14ac:dyDescent="0.35">
      <c r="I89" s="38" t="s">
        <v>18</v>
      </c>
    </row>
    <row r="90" spans="1:10" x14ac:dyDescent="0.35">
      <c r="A90" s="33" t="s">
        <v>351</v>
      </c>
      <c r="B90" t="s">
        <v>3</v>
      </c>
      <c r="C90" t="s">
        <v>25</v>
      </c>
      <c r="D90" t="s">
        <v>352</v>
      </c>
      <c r="E90" s="34" t="s">
        <v>353</v>
      </c>
      <c r="F90" s="33" t="s">
        <v>354</v>
      </c>
      <c r="G90" s="33" t="s">
        <v>355</v>
      </c>
      <c r="H90" t="s">
        <v>130</v>
      </c>
      <c r="I90" s="1" t="s">
        <v>356</v>
      </c>
      <c r="J90" s="3" t="s">
        <v>358</v>
      </c>
    </row>
    <row r="91" spans="1:10" x14ac:dyDescent="0.35">
      <c r="E91" s="17"/>
      <c r="I91" t="s">
        <v>357</v>
      </c>
      <c r="J91" t="s">
        <v>359</v>
      </c>
    </row>
    <row r="92" spans="1:10" x14ac:dyDescent="0.35">
      <c r="I92" t="s">
        <v>346</v>
      </c>
      <c r="J92" t="s">
        <v>360</v>
      </c>
    </row>
    <row r="93" spans="1:10" x14ac:dyDescent="0.35">
      <c r="I93" t="s">
        <v>1555</v>
      </c>
      <c r="J93" s="36" t="s">
        <v>361</v>
      </c>
    </row>
    <row r="94" spans="1:10" x14ac:dyDescent="0.35">
      <c r="I94" t="s">
        <v>104</v>
      </c>
    </row>
    <row r="95" spans="1:10" x14ac:dyDescent="0.35">
      <c r="I95" s="38" t="s">
        <v>18</v>
      </c>
    </row>
    <row r="96" spans="1:10" x14ac:dyDescent="0.35">
      <c r="A96" s="33" t="s">
        <v>394</v>
      </c>
      <c r="B96" t="s">
        <v>3</v>
      </c>
      <c r="C96" t="s">
        <v>43</v>
      </c>
      <c r="D96" t="s">
        <v>159</v>
      </c>
      <c r="E96" s="54" t="s">
        <v>353</v>
      </c>
      <c r="F96" s="33" t="s">
        <v>356</v>
      </c>
      <c r="G96" s="33" t="s">
        <v>375</v>
      </c>
      <c r="H96" t="s">
        <v>73</v>
      </c>
      <c r="I96" s="1" t="s">
        <v>344</v>
      </c>
      <c r="J96" s="3" t="s">
        <v>376</v>
      </c>
    </row>
    <row r="97" spans="1:10" x14ac:dyDescent="0.35">
      <c r="E97" s="34" t="s">
        <v>216</v>
      </c>
      <c r="I97" t="s">
        <v>346</v>
      </c>
      <c r="J97" t="s">
        <v>377</v>
      </c>
    </row>
    <row r="98" spans="1:10" x14ac:dyDescent="0.35">
      <c r="I98" t="s">
        <v>1555</v>
      </c>
      <c r="J98" t="s">
        <v>395</v>
      </c>
    </row>
    <row r="99" spans="1:10" x14ac:dyDescent="0.35">
      <c r="I99" t="s">
        <v>104</v>
      </c>
      <c r="J99" t="s">
        <v>396</v>
      </c>
    </row>
    <row r="100" spans="1:10" x14ac:dyDescent="0.35">
      <c r="I100" s="38" t="s">
        <v>18</v>
      </c>
      <c r="J100" s="36" t="s">
        <v>397</v>
      </c>
    </row>
    <row r="101" spans="1:10" x14ac:dyDescent="0.35">
      <c r="A101" s="33" t="s">
        <v>3641</v>
      </c>
      <c r="B101" s="2" t="s">
        <v>517</v>
      </c>
      <c r="C101" t="s">
        <v>316</v>
      </c>
      <c r="D101" t="s">
        <v>30</v>
      </c>
      <c r="E101" s="34" t="s">
        <v>560</v>
      </c>
      <c r="F101" s="33" t="s">
        <v>356</v>
      </c>
      <c r="G101" s="33" t="s">
        <v>375</v>
      </c>
      <c r="H101" t="s">
        <v>73</v>
      </c>
      <c r="I101" s="1" t="s">
        <v>344</v>
      </c>
      <c r="J101" s="3" t="s">
        <v>582</v>
      </c>
    </row>
    <row r="102" spans="1:10" x14ac:dyDescent="0.35">
      <c r="E102" s="40"/>
      <c r="I102" t="s">
        <v>346</v>
      </c>
      <c r="J102" t="s">
        <v>3642</v>
      </c>
    </row>
    <row r="103" spans="1:10" x14ac:dyDescent="0.35">
      <c r="I103" t="s">
        <v>1555</v>
      </c>
      <c r="J103" t="s">
        <v>3643</v>
      </c>
    </row>
    <row r="104" spans="1:10" x14ac:dyDescent="0.35">
      <c r="I104" t="s">
        <v>104</v>
      </c>
      <c r="J104" s="36" t="s">
        <v>3641</v>
      </c>
    </row>
    <row r="105" spans="1:10" x14ac:dyDescent="0.35">
      <c r="I105" s="38" t="s">
        <v>18</v>
      </c>
    </row>
    <row r="106" spans="1:10" x14ac:dyDescent="0.35">
      <c r="A106" s="33" t="s">
        <v>602</v>
      </c>
      <c r="B106" s="1" t="s">
        <v>315</v>
      </c>
      <c r="C106" t="s">
        <v>603</v>
      </c>
      <c r="D106" t="s">
        <v>597</v>
      </c>
      <c r="E106" s="34" t="s">
        <v>604</v>
      </c>
      <c r="F106" s="33" t="s">
        <v>356</v>
      </c>
      <c r="G106" s="33" t="s">
        <v>375</v>
      </c>
      <c r="H106" t="s">
        <v>73</v>
      </c>
      <c r="I106" s="1" t="s">
        <v>344</v>
      </c>
      <c r="J106" s="3" t="s">
        <v>582</v>
      </c>
    </row>
    <row r="107" spans="1:10" x14ac:dyDescent="0.35">
      <c r="E107" s="17"/>
      <c r="I107" t="s">
        <v>346</v>
      </c>
      <c r="J107" t="s">
        <v>377</v>
      </c>
    </row>
    <row r="108" spans="1:10" x14ac:dyDescent="0.35">
      <c r="I108" t="s">
        <v>1555</v>
      </c>
      <c r="J108" t="s">
        <v>605</v>
      </c>
    </row>
    <row r="109" spans="1:10" x14ac:dyDescent="0.35">
      <c r="I109" t="s">
        <v>104</v>
      </c>
      <c r="J109" s="36" t="s">
        <v>2857</v>
      </c>
    </row>
    <row r="110" spans="1:10" x14ac:dyDescent="0.35">
      <c r="I110" s="38" t="s">
        <v>18</v>
      </c>
    </row>
    <row r="111" spans="1:10" x14ac:dyDescent="0.35">
      <c r="A111" s="33" t="s">
        <v>2446</v>
      </c>
      <c r="B111" t="s">
        <v>3</v>
      </c>
      <c r="C111" t="s">
        <v>25</v>
      </c>
      <c r="D111" t="s">
        <v>41</v>
      </c>
      <c r="E111" s="34" t="s">
        <v>327</v>
      </c>
      <c r="F111" s="33" t="s">
        <v>356</v>
      </c>
      <c r="G111" s="33" t="s">
        <v>375</v>
      </c>
      <c r="H111" t="s">
        <v>73</v>
      </c>
      <c r="I111" s="1" t="s">
        <v>344</v>
      </c>
      <c r="J111" s="3" t="s">
        <v>582</v>
      </c>
    </row>
    <row r="112" spans="1:10" x14ac:dyDescent="0.35">
      <c r="E112" s="17"/>
      <c r="I112" t="s">
        <v>346</v>
      </c>
      <c r="J112" t="s">
        <v>377</v>
      </c>
    </row>
    <row r="113" spans="1:10" x14ac:dyDescent="0.35">
      <c r="I113" t="s">
        <v>1555</v>
      </c>
      <c r="J113" t="s">
        <v>2447</v>
      </c>
    </row>
    <row r="114" spans="1:10" x14ac:dyDescent="0.35">
      <c r="I114" t="s">
        <v>104</v>
      </c>
      <c r="J114" t="s">
        <v>2448</v>
      </c>
    </row>
    <row r="115" spans="1:10" x14ac:dyDescent="0.35">
      <c r="I115" s="38" t="s">
        <v>18</v>
      </c>
      <c r="J115" s="36" t="s">
        <v>2446</v>
      </c>
    </row>
    <row r="116" spans="1:10" x14ac:dyDescent="0.35">
      <c r="A116" s="33" t="s">
        <v>374</v>
      </c>
      <c r="B116" t="s">
        <v>3</v>
      </c>
      <c r="C116" t="s">
        <v>43</v>
      </c>
      <c r="D116" t="s">
        <v>184</v>
      </c>
      <c r="E116" s="34" t="s">
        <v>340</v>
      </c>
      <c r="F116" s="33" t="s">
        <v>356</v>
      </c>
      <c r="G116" s="33" t="s">
        <v>375</v>
      </c>
      <c r="H116" t="s">
        <v>73</v>
      </c>
      <c r="I116" s="1" t="s">
        <v>344</v>
      </c>
      <c r="J116" s="3" t="s">
        <v>376</v>
      </c>
    </row>
    <row r="117" spans="1:10" x14ac:dyDescent="0.35">
      <c r="E117" s="54" t="s">
        <v>189</v>
      </c>
      <c r="I117" t="s">
        <v>346</v>
      </c>
      <c r="J117" t="s">
        <v>377</v>
      </c>
    </row>
    <row r="118" spans="1:10" x14ac:dyDescent="0.35">
      <c r="I118" t="s">
        <v>1555</v>
      </c>
      <c r="J118" t="s">
        <v>378</v>
      </c>
    </row>
    <row r="119" spans="1:10" x14ac:dyDescent="0.35">
      <c r="I119" t="s">
        <v>104</v>
      </c>
      <c r="J119" t="s">
        <v>379</v>
      </c>
    </row>
    <row r="120" spans="1:10" x14ac:dyDescent="0.35">
      <c r="I120" s="38" t="s">
        <v>18</v>
      </c>
      <c r="J120" t="s">
        <v>380</v>
      </c>
    </row>
    <row r="121" spans="1:10" x14ac:dyDescent="0.35">
      <c r="J121" s="36" t="s">
        <v>374</v>
      </c>
    </row>
    <row r="122" spans="1:10" x14ac:dyDescent="0.35">
      <c r="A122" s="33" t="s">
        <v>1427</v>
      </c>
      <c r="B122" t="s">
        <v>3</v>
      </c>
      <c r="C122" t="s">
        <v>43</v>
      </c>
      <c r="D122" t="s">
        <v>64</v>
      </c>
      <c r="E122" s="34" t="s">
        <v>340</v>
      </c>
      <c r="F122" s="33" t="s">
        <v>356</v>
      </c>
      <c r="G122" s="33" t="s">
        <v>412</v>
      </c>
      <c r="H122" t="s">
        <v>54</v>
      </c>
      <c r="I122" s="1" t="s">
        <v>476</v>
      </c>
      <c r="J122" s="3" t="s">
        <v>470</v>
      </c>
    </row>
    <row r="123" spans="1:10" x14ac:dyDescent="0.35">
      <c r="E123" s="17"/>
      <c r="I123" t="s">
        <v>356</v>
      </c>
      <c r="J123" t="s">
        <v>471</v>
      </c>
    </row>
    <row r="124" spans="1:10" x14ac:dyDescent="0.35">
      <c r="I124" t="s">
        <v>344</v>
      </c>
      <c r="J124" t="s">
        <v>472</v>
      </c>
    </row>
    <row r="125" spans="1:10" x14ac:dyDescent="0.35">
      <c r="I125" t="s">
        <v>346</v>
      </c>
      <c r="J125" t="s">
        <v>472</v>
      </c>
    </row>
    <row r="126" spans="1:10" x14ac:dyDescent="0.35">
      <c r="I126" t="s">
        <v>1555</v>
      </c>
      <c r="J126" t="s">
        <v>473</v>
      </c>
    </row>
    <row r="127" spans="1:10" x14ac:dyDescent="0.35">
      <c r="I127" t="s">
        <v>104</v>
      </c>
      <c r="J127" s="36" t="s">
        <v>1428</v>
      </c>
    </row>
    <row r="128" spans="1:10" x14ac:dyDescent="0.35">
      <c r="I128" s="38" t="s">
        <v>18</v>
      </c>
    </row>
    <row r="129" spans="1:10" x14ac:dyDescent="0.35">
      <c r="A129" s="33" t="s">
        <v>3510</v>
      </c>
      <c r="B129" t="s">
        <v>3</v>
      </c>
      <c r="C129" t="s">
        <v>25</v>
      </c>
      <c r="D129" t="s">
        <v>352</v>
      </c>
      <c r="E129" s="34" t="s">
        <v>179</v>
      </c>
      <c r="F129" s="33" t="s">
        <v>354</v>
      </c>
      <c r="G129" s="33" t="s">
        <v>355</v>
      </c>
      <c r="H129" t="s">
        <v>130</v>
      </c>
      <c r="I129" s="1" t="s">
        <v>356</v>
      </c>
      <c r="J129" s="3" t="s">
        <v>3511</v>
      </c>
    </row>
    <row r="130" spans="1:10" x14ac:dyDescent="0.35">
      <c r="E130" s="17"/>
      <c r="I130" t="s">
        <v>357</v>
      </c>
      <c r="J130" t="s">
        <v>3512</v>
      </c>
    </row>
    <row r="131" spans="1:10" x14ac:dyDescent="0.35">
      <c r="I131" t="s">
        <v>346</v>
      </c>
      <c r="J131" t="s">
        <v>3513</v>
      </c>
    </row>
    <row r="132" spans="1:10" x14ac:dyDescent="0.35">
      <c r="I132" t="s">
        <v>1555</v>
      </c>
      <c r="J132" t="s">
        <v>3514</v>
      </c>
    </row>
    <row r="133" spans="1:10" x14ac:dyDescent="0.35">
      <c r="I133" t="s">
        <v>104</v>
      </c>
      <c r="J133" t="s">
        <v>3515</v>
      </c>
    </row>
    <row r="134" spans="1:10" x14ac:dyDescent="0.35">
      <c r="I134" s="38" t="s">
        <v>18</v>
      </c>
      <c r="J134" s="36" t="s">
        <v>3516</v>
      </c>
    </row>
    <row r="135" spans="1:10" x14ac:dyDescent="0.35">
      <c r="A135" s="33" t="s">
        <v>3880</v>
      </c>
      <c r="B135" t="s">
        <v>3</v>
      </c>
      <c r="C135" t="s">
        <v>25</v>
      </c>
      <c r="D135" t="s">
        <v>352</v>
      </c>
      <c r="E135" s="34" t="s">
        <v>179</v>
      </c>
      <c r="F135" s="33" t="s">
        <v>354</v>
      </c>
      <c r="G135" s="33" t="s">
        <v>355</v>
      </c>
      <c r="H135" t="s">
        <v>130</v>
      </c>
      <c r="I135" s="1" t="s">
        <v>356</v>
      </c>
      <c r="J135" s="3" t="s">
        <v>3511</v>
      </c>
    </row>
    <row r="136" spans="1:10" x14ac:dyDescent="0.35">
      <c r="E136" s="17"/>
      <c r="I136" t="s">
        <v>357</v>
      </c>
      <c r="J136" t="s">
        <v>3512</v>
      </c>
    </row>
    <row r="137" spans="1:10" x14ac:dyDescent="0.35">
      <c r="I137" t="s">
        <v>346</v>
      </c>
      <c r="J137" t="s">
        <v>3513</v>
      </c>
    </row>
    <row r="138" spans="1:10" x14ac:dyDescent="0.35">
      <c r="I138" t="s">
        <v>1555</v>
      </c>
      <c r="J138" t="s">
        <v>3514</v>
      </c>
    </row>
    <row r="139" spans="1:10" x14ac:dyDescent="0.35">
      <c r="I139" t="s">
        <v>104</v>
      </c>
      <c r="J139" s="36" t="s">
        <v>3881</v>
      </c>
    </row>
    <row r="140" spans="1:10" x14ac:dyDescent="0.35">
      <c r="I140" s="38" t="s">
        <v>18</v>
      </c>
    </row>
    <row r="141" spans="1:10" x14ac:dyDescent="0.35">
      <c r="A141" s="33" t="s">
        <v>1987</v>
      </c>
      <c r="B141" t="s">
        <v>3</v>
      </c>
      <c r="C141" t="s">
        <v>43</v>
      </c>
      <c r="D141" t="s">
        <v>159</v>
      </c>
      <c r="E141" s="54" t="s">
        <v>189</v>
      </c>
      <c r="F141" s="33" t="s">
        <v>356</v>
      </c>
      <c r="G141" s="33" t="s">
        <v>375</v>
      </c>
      <c r="H141" t="s">
        <v>73</v>
      </c>
      <c r="I141" s="1" t="s">
        <v>344</v>
      </c>
      <c r="J141" s="3" t="s">
        <v>376</v>
      </c>
    </row>
    <row r="142" spans="1:10" x14ac:dyDescent="0.35">
      <c r="E142" s="34" t="s">
        <v>201</v>
      </c>
      <c r="I142" t="s">
        <v>346</v>
      </c>
      <c r="J142" t="s">
        <v>377</v>
      </c>
    </row>
    <row r="143" spans="1:10" x14ac:dyDescent="0.35">
      <c r="I143" t="s">
        <v>1555</v>
      </c>
      <c r="J143" t="s">
        <v>1988</v>
      </c>
    </row>
    <row r="144" spans="1:10" x14ac:dyDescent="0.35">
      <c r="I144" t="s">
        <v>104</v>
      </c>
      <c r="J144" t="s">
        <v>1989</v>
      </c>
    </row>
    <row r="145" spans="1:10" x14ac:dyDescent="0.35">
      <c r="I145" s="38" t="s">
        <v>18</v>
      </c>
      <c r="J145" t="s">
        <v>1990</v>
      </c>
    </row>
    <row r="146" spans="1:10" x14ac:dyDescent="0.35">
      <c r="J146" s="36" t="s">
        <v>1987</v>
      </c>
    </row>
    <row r="147" spans="1:10" x14ac:dyDescent="0.35">
      <c r="A147" s="33" t="s">
        <v>2643</v>
      </c>
      <c r="B147" t="s">
        <v>3</v>
      </c>
      <c r="C147" t="s">
        <v>43</v>
      </c>
      <c r="D147" t="s">
        <v>55</v>
      </c>
      <c r="E147" s="34" t="s">
        <v>189</v>
      </c>
      <c r="F147" s="33" t="s">
        <v>356</v>
      </c>
      <c r="G147" s="33" t="s">
        <v>412</v>
      </c>
      <c r="H147" t="s">
        <v>54</v>
      </c>
      <c r="I147" s="1" t="s">
        <v>476</v>
      </c>
      <c r="J147" s="3" t="s">
        <v>411</v>
      </c>
    </row>
    <row r="148" spans="1:10" x14ac:dyDescent="0.35">
      <c r="E148" s="17"/>
      <c r="I148" t="s">
        <v>356</v>
      </c>
      <c r="J148" t="s">
        <v>410</v>
      </c>
    </row>
    <row r="149" spans="1:10" x14ac:dyDescent="0.35">
      <c r="I149" t="s">
        <v>344</v>
      </c>
      <c r="J149" t="s">
        <v>2644</v>
      </c>
    </row>
    <row r="150" spans="1:10" x14ac:dyDescent="0.35">
      <c r="I150" t="s">
        <v>346</v>
      </c>
      <c r="J150" t="s">
        <v>2645</v>
      </c>
    </row>
    <row r="151" spans="1:10" x14ac:dyDescent="0.35">
      <c r="I151" t="s">
        <v>1555</v>
      </c>
      <c r="J151" t="s">
        <v>2646</v>
      </c>
    </row>
    <row r="152" spans="1:10" x14ac:dyDescent="0.35">
      <c r="I152" t="s">
        <v>104</v>
      </c>
      <c r="J152" t="s">
        <v>2647</v>
      </c>
    </row>
    <row r="153" spans="1:10" x14ac:dyDescent="0.35">
      <c r="I153" s="38" t="s">
        <v>18</v>
      </c>
      <c r="J153" s="36" t="s">
        <v>2648</v>
      </c>
    </row>
    <row r="154" spans="1:10" x14ac:dyDescent="0.35">
      <c r="A154" s="33" t="s">
        <v>3884</v>
      </c>
      <c r="B154" t="s">
        <v>3</v>
      </c>
      <c r="C154" t="s">
        <v>43</v>
      </c>
      <c r="D154" t="s">
        <v>55</v>
      </c>
      <c r="E154" s="34" t="s">
        <v>189</v>
      </c>
      <c r="F154" s="33" t="s">
        <v>356</v>
      </c>
      <c r="G154" s="33" t="s">
        <v>412</v>
      </c>
      <c r="H154" t="s">
        <v>54</v>
      </c>
      <c r="I154" s="1" t="s">
        <v>476</v>
      </c>
      <c r="J154" s="3" t="s">
        <v>411</v>
      </c>
    </row>
    <row r="155" spans="1:10" x14ac:dyDescent="0.35">
      <c r="E155" s="17"/>
      <c r="I155" t="s">
        <v>356</v>
      </c>
      <c r="J155" t="s">
        <v>410</v>
      </c>
    </row>
    <row r="156" spans="1:10" x14ac:dyDescent="0.35">
      <c r="I156" t="s">
        <v>344</v>
      </c>
      <c r="J156" t="s">
        <v>2644</v>
      </c>
    </row>
    <row r="157" spans="1:10" x14ac:dyDescent="0.35">
      <c r="I157" t="s">
        <v>346</v>
      </c>
      <c r="J157" t="s">
        <v>2645</v>
      </c>
    </row>
    <row r="158" spans="1:10" x14ac:dyDescent="0.35">
      <c r="I158" t="s">
        <v>1555</v>
      </c>
      <c r="J158" t="s">
        <v>2646</v>
      </c>
    </row>
    <row r="159" spans="1:10" x14ac:dyDescent="0.35">
      <c r="I159" t="s">
        <v>104</v>
      </c>
      <c r="J159" t="s">
        <v>3885</v>
      </c>
    </row>
    <row r="160" spans="1:10" x14ac:dyDescent="0.35">
      <c r="I160" s="38" t="s">
        <v>18</v>
      </c>
      <c r="J160" s="36" t="s">
        <v>3886</v>
      </c>
    </row>
    <row r="161" spans="1:10" x14ac:dyDescent="0.35">
      <c r="A161" s="33" t="s">
        <v>469</v>
      </c>
      <c r="B161" t="s">
        <v>3</v>
      </c>
      <c r="C161" t="s">
        <v>43</v>
      </c>
      <c r="D161" t="s">
        <v>55</v>
      </c>
      <c r="E161" s="34" t="s">
        <v>201</v>
      </c>
      <c r="F161" s="33" t="s">
        <v>356</v>
      </c>
      <c r="G161" s="33" t="s">
        <v>412</v>
      </c>
      <c r="H161" t="s">
        <v>54</v>
      </c>
      <c r="I161" s="1" t="s">
        <v>476</v>
      </c>
      <c r="J161" s="3" t="s">
        <v>470</v>
      </c>
    </row>
    <row r="162" spans="1:10" x14ac:dyDescent="0.35">
      <c r="E162" s="17"/>
      <c r="I162" t="s">
        <v>356</v>
      </c>
      <c r="J162" t="s">
        <v>471</v>
      </c>
    </row>
    <row r="163" spans="1:10" x14ac:dyDescent="0.35">
      <c r="I163" t="s">
        <v>344</v>
      </c>
      <c r="J163" t="s">
        <v>472</v>
      </c>
    </row>
    <row r="164" spans="1:10" x14ac:dyDescent="0.35">
      <c r="I164" t="s">
        <v>346</v>
      </c>
      <c r="J164" t="s">
        <v>472</v>
      </c>
    </row>
    <row r="165" spans="1:10" x14ac:dyDescent="0.35">
      <c r="I165" t="s">
        <v>1555</v>
      </c>
      <c r="J165" t="s">
        <v>473</v>
      </c>
    </row>
    <row r="166" spans="1:10" x14ac:dyDescent="0.35">
      <c r="I166" t="s">
        <v>104</v>
      </c>
      <c r="J166" t="s">
        <v>474</v>
      </c>
    </row>
    <row r="167" spans="1:10" x14ac:dyDescent="0.35">
      <c r="I167" s="38" t="s">
        <v>18</v>
      </c>
      <c r="J167" s="36" t="s">
        <v>475</v>
      </c>
    </row>
    <row r="168" spans="1:10" x14ac:dyDescent="0.35">
      <c r="A168" s="33" t="s">
        <v>3891</v>
      </c>
      <c r="B168" t="s">
        <v>3</v>
      </c>
      <c r="C168" t="s">
        <v>43</v>
      </c>
      <c r="D168" t="s">
        <v>699</v>
      </c>
      <c r="E168" s="34" t="s">
        <v>201</v>
      </c>
      <c r="F168" s="33" t="s">
        <v>356</v>
      </c>
      <c r="G168" s="33" t="s">
        <v>412</v>
      </c>
      <c r="H168" t="s">
        <v>54</v>
      </c>
      <c r="I168" s="1" t="s">
        <v>476</v>
      </c>
      <c r="J168" s="3" t="s">
        <v>411</v>
      </c>
    </row>
    <row r="169" spans="1:10" x14ac:dyDescent="0.35">
      <c r="E169" s="17"/>
      <c r="I169" t="s">
        <v>356</v>
      </c>
      <c r="J169" t="s">
        <v>410</v>
      </c>
    </row>
    <row r="170" spans="1:10" x14ac:dyDescent="0.35">
      <c r="I170" t="s">
        <v>344</v>
      </c>
      <c r="J170" t="s">
        <v>2644</v>
      </c>
    </row>
    <row r="171" spans="1:10" x14ac:dyDescent="0.35">
      <c r="I171" t="s">
        <v>346</v>
      </c>
      <c r="J171" t="s">
        <v>2644</v>
      </c>
    </row>
    <row r="172" spans="1:10" x14ac:dyDescent="0.35">
      <c r="I172" t="s">
        <v>1555</v>
      </c>
      <c r="J172" t="s">
        <v>2646</v>
      </c>
    </row>
    <row r="173" spans="1:10" x14ac:dyDescent="0.35">
      <c r="I173" t="s">
        <v>104</v>
      </c>
      <c r="J173" t="s">
        <v>2647</v>
      </c>
    </row>
    <row r="174" spans="1:10" x14ac:dyDescent="0.35">
      <c r="I174" s="38" t="s">
        <v>18</v>
      </c>
      <c r="J174" t="s">
        <v>2648</v>
      </c>
    </row>
    <row r="175" spans="1:10" x14ac:dyDescent="0.35">
      <c r="I175" s="37"/>
      <c r="J175" t="s">
        <v>3892</v>
      </c>
    </row>
    <row r="176" spans="1:10" x14ac:dyDescent="0.35">
      <c r="I176" s="37"/>
      <c r="J176" s="36" t="s">
        <v>3893</v>
      </c>
    </row>
    <row r="177" spans="1:10" x14ac:dyDescent="0.35">
      <c r="A177" s="33" t="s">
        <v>405</v>
      </c>
      <c r="B177" t="s">
        <v>3</v>
      </c>
      <c r="C177" t="s">
        <v>43</v>
      </c>
      <c r="D177" t="s">
        <v>64</v>
      </c>
      <c r="E177" s="34" t="s">
        <v>89</v>
      </c>
      <c r="F177" s="33" t="s">
        <v>356</v>
      </c>
      <c r="G177" s="33" t="s">
        <v>412</v>
      </c>
      <c r="H177" t="s">
        <v>54</v>
      </c>
      <c r="I177" s="1" t="s">
        <v>354</v>
      </c>
      <c r="J177" s="3" t="s">
        <v>411</v>
      </c>
    </row>
    <row r="178" spans="1:10" x14ac:dyDescent="0.35">
      <c r="E178" s="17"/>
      <c r="I178" t="s">
        <v>356</v>
      </c>
      <c r="J178" t="s">
        <v>410</v>
      </c>
    </row>
    <row r="179" spans="1:10" x14ac:dyDescent="0.35">
      <c r="I179" t="s">
        <v>344</v>
      </c>
      <c r="J179" t="s">
        <v>409</v>
      </c>
    </row>
    <row r="180" spans="1:10" x14ac:dyDescent="0.35">
      <c r="I180" t="s">
        <v>346</v>
      </c>
      <c r="J180" t="s">
        <v>408</v>
      </c>
    </row>
    <row r="181" spans="1:10" x14ac:dyDescent="0.35">
      <c r="I181" t="s">
        <v>1555</v>
      </c>
      <c r="J181" t="s">
        <v>407</v>
      </c>
    </row>
    <row r="182" spans="1:10" x14ac:dyDescent="0.35">
      <c r="I182" t="s">
        <v>104</v>
      </c>
      <c r="J182" s="36" t="s">
        <v>406</v>
      </c>
    </row>
    <row r="183" spans="1:10" x14ac:dyDescent="0.35">
      <c r="I183" s="38" t="s">
        <v>18</v>
      </c>
    </row>
    <row r="184" spans="1:10" x14ac:dyDescent="0.35">
      <c r="A184" s="33" t="s">
        <v>3454</v>
      </c>
      <c r="B184" t="s">
        <v>3</v>
      </c>
      <c r="C184" t="s">
        <v>43</v>
      </c>
      <c r="D184" t="s">
        <v>55</v>
      </c>
      <c r="E184" s="34" t="s">
        <v>44</v>
      </c>
      <c r="F184" s="33" t="s">
        <v>356</v>
      </c>
      <c r="G184" s="33" t="s">
        <v>412</v>
      </c>
      <c r="H184" t="s">
        <v>54</v>
      </c>
      <c r="I184" s="1" t="s">
        <v>354</v>
      </c>
      <c r="J184" s="3" t="s">
        <v>411</v>
      </c>
    </row>
    <row r="185" spans="1:10" x14ac:dyDescent="0.35">
      <c r="E185" s="17"/>
      <c r="I185" t="s">
        <v>356</v>
      </c>
      <c r="J185" t="s">
        <v>3448</v>
      </c>
    </row>
    <row r="186" spans="1:10" x14ac:dyDescent="0.35">
      <c r="I186" t="s">
        <v>344</v>
      </c>
      <c r="J186" t="s">
        <v>3449</v>
      </c>
    </row>
    <row r="187" spans="1:10" x14ac:dyDescent="0.35">
      <c r="I187" t="s">
        <v>346</v>
      </c>
      <c r="J187" t="s">
        <v>3450</v>
      </c>
    </row>
    <row r="188" spans="1:10" x14ac:dyDescent="0.35">
      <c r="I188" t="s">
        <v>1555</v>
      </c>
      <c r="J188" t="s">
        <v>3451</v>
      </c>
    </row>
    <row r="189" spans="1:10" x14ac:dyDescent="0.35">
      <c r="I189" t="s">
        <v>104</v>
      </c>
      <c r="J189" t="s">
        <v>3452</v>
      </c>
    </row>
    <row r="190" spans="1:10" x14ac:dyDescent="0.35">
      <c r="I190" s="38" t="s">
        <v>18</v>
      </c>
      <c r="J190" s="36" t="s">
        <v>3453</v>
      </c>
    </row>
  </sheetData>
  <hyperlinks>
    <hyperlink ref="A1" location="Summary!A1" tooltip="Return to Totals" display="Back to Totals" xr:uid="{8C82BAFB-53ED-4140-9D4E-43FA723E93C5}"/>
    <hyperlink ref="I18" r:id="rId1" xr:uid="{15D8A773-0890-49AD-99EE-456E9E136FD7}"/>
    <hyperlink ref="I27" r:id="rId2" xr:uid="{901BB29F-02FA-4AC3-A6C4-589A349BFEC1}"/>
    <hyperlink ref="I31" r:id="rId3" xr:uid="{2656F5AA-9A1D-4551-A4B0-F8960019D2A5}"/>
    <hyperlink ref="I35" r:id="rId4" xr:uid="{E6CA5068-467A-4815-8015-428F1EA9BD01}"/>
    <hyperlink ref="I39" r:id="rId5" xr:uid="{560A3969-41C9-4849-A66E-4F184E094BBA}"/>
    <hyperlink ref="I43" r:id="rId6" xr:uid="{DA13152C-0BE9-4138-81DB-3F1590B5EE6E}"/>
    <hyperlink ref="I52" r:id="rId7" xr:uid="{6F8E4EBE-AA86-466C-908D-703733221344}"/>
    <hyperlink ref="I57" r:id="rId8" xr:uid="{B7C52054-5450-4ACA-8DE4-6822219DF057}"/>
    <hyperlink ref="I61" r:id="rId9" xr:uid="{44DFB2A2-D918-47F6-9A8E-3B106D16F413}"/>
    <hyperlink ref="I67" r:id="rId10" xr:uid="{0D244B54-E760-476A-906A-AE65107D12C2}"/>
    <hyperlink ref="I73" r:id="rId11" xr:uid="{39DFDC40-0789-4D07-BB8A-6642ED440E3F}"/>
    <hyperlink ref="I77" r:id="rId12" xr:uid="{DCBE431E-8F48-48BC-9FB6-7A1775EC966C}"/>
    <hyperlink ref="I83" r:id="rId13" xr:uid="{09CEE46A-2AF5-422C-9F77-F06C22282CE6}"/>
    <hyperlink ref="I95" r:id="rId14" xr:uid="{198C6B1E-F46E-42CD-9D9C-F3A9118DE5F1}"/>
    <hyperlink ref="I100" r:id="rId15" xr:uid="{E89406CE-5D14-4E0B-A9FC-DA203B75E384}"/>
    <hyperlink ref="I110" r:id="rId16" xr:uid="{4863DBAC-136F-4D8E-BFB2-AA4F2D3E5C4C}"/>
    <hyperlink ref="I115" r:id="rId17" xr:uid="{543F350B-062A-4DE2-944D-26BB866F9036}"/>
    <hyperlink ref="I120" r:id="rId18" xr:uid="{F9BFCF92-B982-4575-88E6-2A530B5F0568}"/>
    <hyperlink ref="I128" r:id="rId19" xr:uid="{8FFCB795-3BF7-4EB7-BCA5-2C7DAB646567}"/>
    <hyperlink ref="I145" r:id="rId20" xr:uid="{9B8CF147-68F3-477B-A9A0-B7B2E870F758}"/>
    <hyperlink ref="I153" r:id="rId21" xr:uid="{AF59F6B7-A768-4C2F-94EF-187EAF2F0885}"/>
    <hyperlink ref="I167" r:id="rId22" xr:uid="{FD268B12-77C8-44F6-8009-CFC85A47BE60}"/>
    <hyperlink ref="I183" r:id="rId23" xr:uid="{B240B2AF-4A07-45F8-AE94-C52C113E375B}"/>
    <hyperlink ref="I10" r:id="rId24" xr:uid="{C919A138-BF0C-49C5-B6A6-9863230E0D17}"/>
    <hyperlink ref="A7" r:id="rId25" xr:uid="{AAE7111F-5A7F-4A59-99C0-DC22495C7708}"/>
    <hyperlink ref="F7" r:id="rId26" display="George P Jezzard" xr:uid="{41455D0A-0C0A-4B2A-BEEE-470FB9E2E82D}"/>
    <hyperlink ref="G7" r:id="rId27" xr:uid="{B2A22302-00CC-49C6-ABA8-17482DD76FCC}"/>
    <hyperlink ref="J10" r:id="rId28" xr:uid="{B9312BC8-5E34-4712-908F-AF0AEB229D1C}"/>
    <hyperlink ref="I14" r:id="rId29" xr:uid="{86D7460E-CFA5-4733-B1F2-4CAB6A3FB04D}"/>
    <hyperlink ref="F11" r:id="rId30" display="George P Jezzard" xr:uid="{DFC8F5F5-C193-4FA0-BCB9-7B4118FE1E6D}"/>
    <hyperlink ref="F15" r:id="rId31" display="George P Jezzard" xr:uid="{98EAA2D4-5A9F-4331-ABA0-6E7E1A73C029}"/>
    <hyperlink ref="F24" r:id="rId32" display="George P Jezzard" xr:uid="{89FC26A1-AF14-4E1E-ABDB-525C64C7CDE5}"/>
    <hyperlink ref="F28" r:id="rId33" display="George P Jezzard" xr:uid="{4A4D68E4-B771-4C3F-A390-5B44FF2EA7E2}"/>
    <hyperlink ref="F32" r:id="rId34" display="George P Jezzard" xr:uid="{7A32F67C-F928-4986-A83B-69C8B794CDC3}"/>
    <hyperlink ref="F36" r:id="rId35" display="George P Jezzard" xr:uid="{0D8A23CF-2CD0-420B-A6A6-339221A2A1D2}"/>
    <hyperlink ref="F40" r:id="rId36" display="George P Jezzard" xr:uid="{37D283E7-84FF-4646-BF05-9D4A3FBE3BA1}"/>
    <hyperlink ref="F49" r:id="rId37" display="George P Jezzard" xr:uid="{4E5A18A3-F515-48DC-88BA-585E89A4966A}"/>
    <hyperlink ref="F54" r:id="rId38" display="George P Jezzard" xr:uid="{9F56A940-D06B-4223-985A-370D977BC3C0}"/>
    <hyperlink ref="F58" r:id="rId39" display="George P Jezzard" xr:uid="{E3BADD42-9709-48EE-B8AE-7AA84D6B5BB8}"/>
    <hyperlink ref="F74" r:id="rId40" display="George P Jezzard" xr:uid="{1FB6225A-841B-4D9D-8113-E8AE3D08A789}"/>
    <hyperlink ref="G11" r:id="rId41" xr:uid="{7F2AAA2D-A1C8-4732-A8DF-BB889B746A88}"/>
    <hyperlink ref="G15" r:id="rId42" xr:uid="{4B793129-4751-4B1C-B8D2-B2B633BCCDD7}"/>
    <hyperlink ref="G24" r:id="rId43" xr:uid="{2FD49D12-0D61-4A94-BDCA-8D128CE47AC0}"/>
    <hyperlink ref="G28" r:id="rId44" xr:uid="{1195BB05-6223-424D-90C6-0142627578D1}"/>
    <hyperlink ref="G32" r:id="rId45" xr:uid="{D391FC7B-2246-4E89-A51A-4215FEEAB92B}"/>
    <hyperlink ref="G36" r:id="rId46" xr:uid="{0DC89242-66FD-4242-9AF3-937E32840F88}"/>
    <hyperlink ref="G40" r:id="rId47" xr:uid="{2EDF23CF-35F7-4BD4-8B11-02C4D3431A17}"/>
    <hyperlink ref="G49" r:id="rId48" xr:uid="{EEEE764A-FCF7-4A52-9A95-CC57F99FC6B9}"/>
    <hyperlink ref="G54" r:id="rId49" xr:uid="{F86498C8-74FD-49EC-B232-020EEAC4BC5E}"/>
    <hyperlink ref="G58" r:id="rId50" xr:uid="{279A04B3-BEBD-4290-BD06-5BDC5B271673}"/>
    <hyperlink ref="F63" r:id="rId51" xr:uid="{5E793841-DED6-48FA-AA6A-E16EA2146F4C}"/>
    <hyperlink ref="F69" r:id="rId52" xr:uid="{E61979A1-EA89-44C6-AB4F-381D1BE8F99B}"/>
    <hyperlink ref="F96" r:id="rId53" xr:uid="{3E2EE0B8-4108-40AF-A2DF-E7A3D03F832B}"/>
    <hyperlink ref="F106" r:id="rId54" xr:uid="{E6894F6F-0C91-4304-9595-C215A227681B}"/>
    <hyperlink ref="F111" r:id="rId55" xr:uid="{B0F0CEBD-3DCF-45C8-95AA-70FB02FCA893}"/>
    <hyperlink ref="F116" r:id="rId56" xr:uid="{1CC3FAA0-13BD-4577-AD3B-D8BE8CADC094}"/>
    <hyperlink ref="F141" r:id="rId57" xr:uid="{21740D84-8C57-4A2A-868F-EAF8DBD051BC}"/>
    <hyperlink ref="G63" r:id="rId58" xr:uid="{72C2439D-5F3E-49AE-8CE3-107D1C9D9227}"/>
    <hyperlink ref="G69" r:id="rId59" xr:uid="{762D2A7B-F760-492D-8647-60E2BA0456DA}"/>
    <hyperlink ref="G96" r:id="rId60" xr:uid="{E21F909F-9E66-48BD-89E2-25581F98001D}"/>
    <hyperlink ref="G106" r:id="rId61" xr:uid="{4FB60172-D09D-4CA0-902F-385B943623DE}"/>
    <hyperlink ref="G111" r:id="rId62" xr:uid="{184AE6CA-C193-435D-894E-3FC983EB7C0B}"/>
    <hyperlink ref="G116" r:id="rId63" xr:uid="{3BFE009D-48DB-4995-ADAB-0A73E4D0D183}"/>
    <hyperlink ref="G74" r:id="rId64" xr:uid="{7E205B68-955B-4978-8D18-89F937444493}"/>
    <hyperlink ref="F78" r:id="rId65" xr:uid="{311AF5E3-9411-4694-9FDD-86AE6EA9B94A}"/>
    <hyperlink ref="F90" r:id="rId66" xr:uid="{57CD36A2-8B36-44E0-8A36-E8BE9CD127D5}"/>
    <hyperlink ref="G78" r:id="rId67" xr:uid="{19966959-FCAD-4AA0-9D98-355A7CB3AA1E}"/>
    <hyperlink ref="G90" r:id="rId68" xr:uid="{8C835FDB-B794-4638-AA95-58A446B05FF7}"/>
    <hyperlink ref="F122" r:id="rId69" xr:uid="{92E6F8A0-70F7-411A-AA87-BA8178B31CC5}"/>
    <hyperlink ref="F147" r:id="rId70" xr:uid="{AED9F111-1BCC-4978-A149-8E60D8D712AC}"/>
    <hyperlink ref="F161" r:id="rId71" xr:uid="{F322FD8F-6A1D-472F-AB84-D10C8C1AF4D4}"/>
    <hyperlink ref="F177" r:id="rId72" xr:uid="{DAB0B070-A66E-4EB0-8B86-F003309F42A6}"/>
    <hyperlink ref="G177" r:id="rId73" xr:uid="{B44FC952-E1C2-46FC-ADC0-1E0235FCF438}"/>
    <hyperlink ref="G161" r:id="rId74" xr:uid="{A536A5E1-6E6E-464D-A7B6-EA07B802E08A}"/>
    <hyperlink ref="G147" r:id="rId75" xr:uid="{F56347F4-0819-4748-B7F5-39EA1F1E200A}"/>
    <hyperlink ref="G122" r:id="rId76" xr:uid="{B16376D7-188C-4C37-80CA-0E8323E95C7F}"/>
    <hyperlink ref="G141" r:id="rId77" xr:uid="{E67750A0-B2A9-434D-AE5E-4E067AA54F6A}"/>
    <hyperlink ref="J14" r:id="rId78" xr:uid="{D3F9E603-9A7F-4B44-93C7-19DC67751B79}"/>
    <hyperlink ref="J19" r:id="rId79" xr:uid="{F8ABBC98-1E74-4DE2-B7B5-DE1BD87D972B}"/>
    <hyperlink ref="J27" r:id="rId80" xr:uid="{F07FCD0E-CBD9-460B-8A6B-610146230F2B}"/>
    <hyperlink ref="J31" r:id="rId81" xr:uid="{03E0A131-7DEB-4127-8461-C1B681FC8157}"/>
    <hyperlink ref="J35" r:id="rId82" xr:uid="{4D8053FA-47C9-4446-A008-47C82D945E75}"/>
    <hyperlink ref="J39" r:id="rId83" xr:uid="{60D155C3-400F-43C2-A1CB-E3C3E85ABCE7}"/>
    <hyperlink ref="J43" r:id="rId84" xr:uid="{F80334F4-A84D-47B4-88BF-3D9C1D1A7D04}"/>
    <hyperlink ref="A40" r:id="rId85" xr:uid="{E3F93C85-3852-4758-AA84-FDC157A862B3}"/>
    <hyperlink ref="J53" r:id="rId86" xr:uid="{DD12C649-4EAB-4A2D-8139-5F8BB9548BA4}"/>
    <hyperlink ref="A49" r:id="rId87" xr:uid="{739555B7-FD4D-4B0D-A860-EE95F87A6596}"/>
    <hyperlink ref="J57" r:id="rId88" xr:uid="{8BADE399-D8DD-4B4F-9212-CEEE7580B0D4}"/>
    <hyperlink ref="J62" r:id="rId89" xr:uid="{4883567B-FEC4-4B2C-9753-B5F9928F9DF0}"/>
    <hyperlink ref="J68" r:id="rId90" xr:uid="{4CD459FC-F24E-41AF-A387-2AEC5E18074C}"/>
    <hyperlink ref="J73" r:id="rId91" xr:uid="{172DF3D8-DD8A-4A19-88FE-75B6E3B10C3F}"/>
    <hyperlink ref="A69" r:id="rId92" xr:uid="{27D873E1-65D8-470C-94AF-EF7A22700363}"/>
    <hyperlink ref="J77" r:id="rId93" xr:uid="{1F18AD93-0FBF-490D-A3BF-E45CFA0BC917}"/>
    <hyperlink ref="J82" r:id="rId94" xr:uid="{3CCA575A-F50F-4FE9-B9B1-3B9C74BE6938}"/>
    <hyperlink ref="J93" r:id="rId95" xr:uid="{BC041211-BB4D-4CC2-A18A-47407A91C07D}"/>
    <hyperlink ref="J100" r:id="rId96" xr:uid="{FE1D5F19-2498-4CC2-A7BF-1C7F0EC7B80F}"/>
    <hyperlink ref="J109" r:id="rId97" xr:uid="{D0131E37-F264-41E7-981B-87C9E1938A3D}"/>
    <hyperlink ref="J115" r:id="rId98" xr:uid="{AE57EDFB-D4A0-470B-A116-AFD3A035B4E8}"/>
    <hyperlink ref="A111" r:id="rId99" xr:uid="{01438376-1A2D-4D33-9CF4-CB1B417AB501}"/>
    <hyperlink ref="J121" r:id="rId100" xr:uid="{49C79634-D167-497A-B227-5026E0C0E731}"/>
    <hyperlink ref="J127" r:id="rId101" xr:uid="{8BC6F71C-F6E4-43AA-8AC5-B0D5ADF6168D}"/>
    <hyperlink ref="J146" r:id="rId102" xr:uid="{6624BF25-CCFB-43D9-BAC0-6FCA83FC60C5}"/>
    <hyperlink ref="J153" r:id="rId103" xr:uid="{18EFC843-EE16-426C-A259-13B92AEC476D}"/>
    <hyperlink ref="J167" r:id="rId104" xr:uid="{9D6FE0CB-6B22-45DE-B8F0-1FBF86ADC44C}"/>
    <hyperlink ref="J182" r:id="rId105" xr:uid="{258E94BA-C7E5-40B8-80DE-683D5B607505}"/>
    <hyperlink ref="A177" r:id="rId106" xr:uid="{2B36A43B-CCC3-4AD6-9C52-2A17F402266C}"/>
    <hyperlink ref="A11" r:id="rId107" xr:uid="{2CBC96F3-E8D6-4264-8E71-D8DE73E7F65E}"/>
    <hyperlink ref="A15" r:id="rId108" xr:uid="{0C74CFEA-50EB-49C3-99FF-8098E2D65735}"/>
    <hyperlink ref="A24" r:id="rId109" xr:uid="{A6F3F56E-1788-40ED-AF97-DC7C70805B70}"/>
    <hyperlink ref="A32" r:id="rId110" xr:uid="{FA930BD9-35DD-41A6-AE63-18EA813D2926}"/>
    <hyperlink ref="A28" r:id="rId111" xr:uid="{507E4920-10FA-4D47-A89D-A4C4D3B38F09}"/>
    <hyperlink ref="A54" r:id="rId112" xr:uid="{90029F7F-4671-4034-82C3-CD302D91B24C}"/>
    <hyperlink ref="A74" r:id="rId113" xr:uid="{0DE0186B-5105-4633-A741-8281F3D70187}"/>
    <hyperlink ref="A58" r:id="rId114" xr:uid="{16676DB0-7315-4F75-9017-D704E9621994}"/>
    <hyperlink ref="A78" r:id="rId115" xr:uid="{92C3B4BB-BCA6-42B8-B013-421BD66BC28E}"/>
    <hyperlink ref="A90" r:id="rId116" xr:uid="{DBC161BC-8EA8-4A1F-9928-A894FDB5E707}"/>
    <hyperlink ref="A116" r:id="rId117" xr:uid="{53A0E2CD-2B9A-48A3-B561-92F01D302AF5}"/>
    <hyperlink ref="A161" r:id="rId118" xr:uid="{CB12EAE5-E352-467D-A6E6-383DCEBAF8D3}"/>
    <hyperlink ref="A96" r:id="rId119" xr:uid="{CCC9D07F-2586-4860-B3BF-BB9BBC8B79CD}"/>
    <hyperlink ref="A147" r:id="rId120" xr:uid="{8A524BF6-8667-4641-BD07-FBD0A66508A9}"/>
    <hyperlink ref="A141" r:id="rId121" xr:uid="{73C4C288-E4D2-4DCE-BE1F-7D4B14CDD2EE}"/>
    <hyperlink ref="A122" r:id="rId122" xr:uid="{BFACBFD7-1EC5-4020-BC44-7E3B37A0109F}"/>
    <hyperlink ref="A106" r:id="rId123" xr:uid="{D706C297-7FBE-47CE-86C1-0A5FEC000788}"/>
    <hyperlink ref="A63" r:id="rId124" xr:uid="{F55B2478-A8F4-4A84-9FC2-7806187A5D94}"/>
    <hyperlink ref="A36" r:id="rId125" xr:uid="{B1B9A77B-5C13-4862-867C-A5C1BFAACE09}"/>
    <hyperlink ref="E177" r:id="rId126" xr:uid="{4C02CB9A-C7AC-4E32-AB1A-51D7DB7C9677}"/>
    <hyperlink ref="E161" r:id="rId127" xr:uid="{FC372985-7883-4836-8284-171C683EA5AA}"/>
    <hyperlink ref="E147" r:id="rId128" xr:uid="{52ED08BD-17DA-419A-B773-8416826B0CD3}"/>
    <hyperlink ref="E117" r:id="rId129" xr:uid="{6213D143-1C39-4439-A0C6-559D247E86E4}"/>
    <hyperlink ref="E141" r:id="rId130" xr:uid="{AB0846BC-FA1E-4AE5-A0D4-E1B05841DCB2}"/>
    <hyperlink ref="E142" r:id="rId131" xr:uid="{D1C30546-F57F-4CEE-BB3E-EC14453A8636}"/>
    <hyperlink ref="E122" r:id="rId132" xr:uid="{98955E8C-FCC4-43E5-900F-7D02E76F9D50}"/>
    <hyperlink ref="E116" r:id="rId133" xr:uid="{5A008837-874F-40F4-9B09-01AE5D15F362}"/>
    <hyperlink ref="E111" r:id="rId134" xr:uid="{1F0338C5-219C-44ED-850B-645BBCDFD684}"/>
    <hyperlink ref="E106" r:id="rId135" xr:uid="{A40AF1D3-411E-45DD-8E48-1695A7522CCC}"/>
    <hyperlink ref="E97" r:id="rId136" xr:uid="{AB2E72FB-26F5-44B0-B6E4-A3D004F0FDA1}"/>
    <hyperlink ref="E96" r:id="rId137" xr:uid="{CBD978B3-40BC-4B42-8E58-05F42586B24E}"/>
    <hyperlink ref="E90" r:id="rId138" xr:uid="{8C9E86EA-224D-4E85-9EFC-2A5BB30E9236}"/>
    <hyperlink ref="E79" r:id="rId139" xr:uid="{E07CC2CA-6A25-48A1-B4E5-9B61FEA26BDE}"/>
    <hyperlink ref="E78" r:id="rId140" xr:uid="{0EAD5A68-BC7F-4D42-9D9B-2326C7872464}"/>
    <hyperlink ref="E59" r:id="rId141" xr:uid="{B450FD6A-828A-4440-B21A-E5696EAB8B21}"/>
    <hyperlink ref="E75" r:id="rId142" xr:uid="{3903F6FA-F1B1-49D6-9DAA-69AE16D7C87F}"/>
    <hyperlink ref="E74" r:id="rId143" xr:uid="{DD0AE47B-8C70-4899-AF66-8A052E1BD545}"/>
    <hyperlink ref="E70" r:id="rId144" xr:uid="{E9C531E4-96DA-4A98-AA0D-95D2884CAAFE}"/>
    <hyperlink ref="E69" r:id="rId145" xr:uid="{E37E4990-0EEB-41DE-8F68-2AA4C8BECC48}"/>
    <hyperlink ref="E64" r:id="rId146" xr:uid="{87058211-DCE3-48E2-B96B-99AF5F22425F}"/>
    <hyperlink ref="E63" r:id="rId147" xr:uid="{EA4D1224-D597-42BB-B15E-836AE7B31DF0}"/>
    <hyperlink ref="E58" r:id="rId148" xr:uid="{7D78E6AA-2799-4FF4-BA0A-7F39622D1117}"/>
    <hyperlink ref="E54" r:id="rId149" xr:uid="{8B8C37D2-B12F-419D-BFFF-30352048F006}"/>
    <hyperlink ref="E50" r:id="rId150" xr:uid="{37A88CB2-618A-4551-8DD2-11990316EB0D}"/>
    <hyperlink ref="E49" r:id="rId151" xr:uid="{D34DC843-877E-47BD-A006-988F1103D436}"/>
    <hyperlink ref="E41" r:id="rId152" xr:uid="{78ED9BE1-D375-4B7C-A70A-054FB0A33D44}"/>
    <hyperlink ref="E40" r:id="rId153" xr:uid="{500925B3-0193-474D-883E-72582962F354}"/>
    <hyperlink ref="E36" r:id="rId154" xr:uid="{913572DD-A7D4-4755-A7B0-3F563CCB9861}"/>
    <hyperlink ref="E32" r:id="rId155" xr:uid="{1B87BE2E-1E42-46F0-BC26-3D9D19777B7E}"/>
    <hyperlink ref="E33" r:id="rId156" xr:uid="{D4DF4A9F-C5B2-4797-A194-8ABF2F14BFA9}"/>
    <hyperlink ref="E28" r:id="rId157" xr:uid="{7D938548-299D-482B-B588-B59B8AB7774B}"/>
    <hyperlink ref="E25" r:id="rId158" xr:uid="{1354B2EB-79F6-434F-90FF-B0AA4F9BF8FA}"/>
    <hyperlink ref="E24" r:id="rId159" xr:uid="{2C1CD79A-1E68-42EA-AF32-BF272F04B8A1}"/>
    <hyperlink ref="E16" r:id="rId160" xr:uid="{B2DA69FC-0CDA-4BC8-A7BC-EE512D724D57}"/>
    <hyperlink ref="E15" r:id="rId161" xr:uid="{DEF4B67A-4D42-46F9-98B3-0DEBEEF9ECC8}"/>
    <hyperlink ref="E12" r:id="rId162" xr:uid="{D69888CF-7796-49F5-84FF-28B8A2C0C112}"/>
    <hyperlink ref="E11" r:id="rId163" xr:uid="{A6D2D678-90C4-4283-9A59-C4BC9BB4E71D}"/>
    <hyperlink ref="E8" r:id="rId164" xr:uid="{1C4D55FD-2B35-41D7-9A01-1B2D8FB3ACFE}"/>
    <hyperlink ref="E7" r:id="rId165" xr:uid="{985B6058-E622-40F4-9B9E-90F12314572F}"/>
    <hyperlink ref="I23" r:id="rId166" xr:uid="{2F9D78F7-0A24-4ACA-B148-10E3452C9543}"/>
    <hyperlink ref="F20" r:id="rId167" display="George P Jezzard" xr:uid="{0B9FC952-D901-4EB2-A261-FF5A27E9BBB3}"/>
    <hyperlink ref="G20" r:id="rId168" xr:uid="{F3997A6F-8A24-4FC1-A25F-1677BBBB9AE1}"/>
    <hyperlink ref="A20" r:id="rId169" xr:uid="{65F909EA-30C2-45A8-9CE1-8435489DFB60}"/>
    <hyperlink ref="E21" r:id="rId170" xr:uid="{2278C005-27B2-46DF-AE66-2C1F45940397}"/>
    <hyperlink ref="E20" r:id="rId171" xr:uid="{C4800B30-B6A5-4CA2-8E33-5548D3A56245}"/>
    <hyperlink ref="J23" r:id="rId172" xr:uid="{C2E0DC82-2FC2-46FB-9534-57EB2F49757A}"/>
    <hyperlink ref="I190" r:id="rId173" xr:uid="{66D3D76E-2293-4E82-A7AA-99A23B425524}"/>
    <hyperlink ref="F184" r:id="rId174" xr:uid="{B3A8F3B4-7840-4EC8-BF05-8F5C839DDD9C}"/>
    <hyperlink ref="G184" r:id="rId175" xr:uid="{4421B5FB-D044-4059-8CB4-28380F530AA3}"/>
    <hyperlink ref="A184" r:id="rId176" display="raejoy66" xr:uid="{8D0E6AB5-BA16-4227-B1AB-46B17EAB8C5B}"/>
    <hyperlink ref="E184" r:id="rId177" xr:uid="{DC972798-AEE5-4BA1-A156-334FFD2C7DA4}"/>
    <hyperlink ref="J190" r:id="rId178" xr:uid="{8F15A817-4B1C-4606-8B4C-B8BF58A0521E}"/>
    <hyperlink ref="I6" r:id="rId179" xr:uid="{8030BD32-34BC-433B-BCE3-7EAFED4692C3}"/>
    <hyperlink ref="A3" r:id="rId180" xr:uid="{30166AF5-A94E-42AA-B009-69880F048C3C}"/>
    <hyperlink ref="F3" r:id="rId181" display="George P Jezzard" xr:uid="{AC763E00-5A49-409B-BAD7-870E393109E7}"/>
    <hyperlink ref="G3" r:id="rId182" xr:uid="{005C07D5-F1B5-459C-8BE4-4CC0BF5675FB}"/>
    <hyperlink ref="E4" r:id="rId183" display="50cM" xr:uid="{056D0793-BADE-439C-8ACD-B9493AAF3EAE}"/>
    <hyperlink ref="E3" r:id="rId184" display="130cM" xr:uid="{5A34A657-2CD6-4CD0-B309-5716673CA15B}"/>
    <hyperlink ref="J5" r:id="rId185" xr:uid="{CCDEF176-2B7C-40BF-BE71-4F55283E6E64}"/>
    <hyperlink ref="I134" r:id="rId186" xr:uid="{E4D37EAF-DD36-4A90-883F-8295C187F512}"/>
    <hyperlink ref="F129" r:id="rId187" xr:uid="{C2E0C31F-DA52-49B3-AAC3-5CC91BC64BC8}"/>
    <hyperlink ref="G129" r:id="rId188" xr:uid="{AC4420CA-264F-44D3-8161-4EF0C6D2BA48}"/>
    <hyperlink ref="A129" r:id="rId189" xr:uid="{D1B2AAC1-6EE8-4486-A994-7E40A903E318}"/>
    <hyperlink ref="E129" r:id="rId190" xr:uid="{FECC944F-D7B8-4F32-AE8D-B10C9920053E}"/>
    <hyperlink ref="J134" r:id="rId191" xr:uid="{C3866488-03CF-4F70-A09A-D06FAFDF58BC}"/>
    <hyperlink ref="A84" r:id="rId192" xr:uid="{E2C95C78-A1F2-4D5B-A893-3D3E5883095D}"/>
    <hyperlink ref="E84" r:id="rId193" xr:uid="{3928F667-77BB-43E8-8CA9-40A4BD4E4C9D}"/>
    <hyperlink ref="F84" r:id="rId194" xr:uid="{28438E98-6759-42B9-8598-CFC804A957E9}"/>
    <hyperlink ref="G84" r:id="rId195" xr:uid="{7A0F79D3-993D-419E-BF48-6C90CB50A89B}"/>
    <hyperlink ref="J88" r:id="rId196" xr:uid="{181A212D-693E-4405-AAE3-1C3FE4EA5374}"/>
    <hyperlink ref="I89" r:id="rId197" xr:uid="{05328D6C-FA5C-4CB3-912F-A3AF88FD97D1}"/>
    <hyperlink ref="I105" r:id="rId198" xr:uid="{D3E6628E-4B84-4C6E-9A75-663E13763674}"/>
    <hyperlink ref="F101" r:id="rId199" xr:uid="{F2D01DB7-116F-478A-8ACB-11A8A0529934}"/>
    <hyperlink ref="G101" r:id="rId200" xr:uid="{AE02C768-2D65-429A-8769-6F92EBB1B6DD}"/>
    <hyperlink ref="A101" r:id="rId201" xr:uid="{40C65071-47D3-41B7-A8D0-83D97B7D3B0C}"/>
    <hyperlink ref="E101" r:id="rId202" xr:uid="{9A2ABADC-0C42-44BF-9DC5-5C6122DEA7BA}"/>
    <hyperlink ref="J104" r:id="rId203" xr:uid="{BF811B74-D09F-4783-A1EF-BB5B10B44694}"/>
    <hyperlink ref="I140" r:id="rId204" xr:uid="{0F765877-3994-4C01-8FEB-814EF941099C}"/>
    <hyperlink ref="F135" r:id="rId205" xr:uid="{58BF3A60-77CA-4CC6-8AFC-20E0C650C7AF}"/>
    <hyperlink ref="G135" r:id="rId206" xr:uid="{E1B29F63-2901-4333-ACFC-968BD097BF81}"/>
    <hyperlink ref="A135" r:id="rId207" xr:uid="{A64C885C-C72C-42B3-ADAA-BE890C6B8A09}"/>
    <hyperlink ref="E135" r:id="rId208" xr:uid="{BD7F215F-4B96-42DE-8347-315640439B5C}"/>
    <hyperlink ref="J139" r:id="rId209" xr:uid="{F2242BD8-780F-48AE-971A-A545277394D1}"/>
    <hyperlink ref="I160" r:id="rId210" xr:uid="{8F8EA22C-0B94-4292-A1A9-AC1AC36D809C}"/>
    <hyperlink ref="F154" r:id="rId211" xr:uid="{EBF6A2DE-61E0-4EBA-8D84-31E83F0D7D03}"/>
    <hyperlink ref="G154" r:id="rId212" xr:uid="{F251D299-F99B-490B-B433-9059CED1DB98}"/>
    <hyperlink ref="J160" r:id="rId213" xr:uid="{899D6868-3D94-4B50-A095-5105B5223F3A}"/>
    <hyperlink ref="A154" r:id="rId214" xr:uid="{04497E69-58EC-46E3-98D1-6C1D94ABF79E}"/>
    <hyperlink ref="E154" r:id="rId215" xr:uid="{F6D53A71-7E2C-494B-B0D3-7F4E7E3D3BE2}"/>
    <hyperlink ref="I174" r:id="rId216" xr:uid="{124372B6-0EDD-4739-8347-14A1A570CA09}"/>
    <hyperlink ref="F168" r:id="rId217" xr:uid="{9CDECAE6-BF5F-4CC4-80FD-CFD13B0464E4}"/>
    <hyperlink ref="G168" r:id="rId218" xr:uid="{CDDE4821-BE48-4F97-847E-F7A6CC99B965}"/>
    <hyperlink ref="A168" r:id="rId219" xr:uid="{095A7E33-889D-48EA-BEE6-693700E47658}"/>
    <hyperlink ref="E168" r:id="rId220" xr:uid="{46465E57-FF98-4F58-B7EE-AFE77E2B666C}"/>
    <hyperlink ref="J176" r:id="rId221" xr:uid="{7C66232B-FBA0-4B37-A3D9-3668DE62B949}"/>
    <hyperlink ref="I47" r:id="rId222" xr:uid="{2803FE49-4AC6-4AC0-B3D9-E146EB1E40CA}"/>
    <hyperlink ref="F44" r:id="rId223" display="George P Jezzard" xr:uid="{29FC6573-B640-432B-8194-E4506A292DE5}"/>
    <hyperlink ref="G44" r:id="rId224" xr:uid="{725717C1-BA67-48C8-9785-807389BF861B}"/>
    <hyperlink ref="J48" r:id="rId225" xr:uid="{130645C0-E88F-4B55-9DB0-DE96B9E7FB9C}"/>
    <hyperlink ref="A44" r:id="rId226" xr:uid="{B18A0721-8C8F-4AF0-BA68-746F6CE2E36F}"/>
    <hyperlink ref="E44" r:id="rId227" xr:uid="{8D42A406-02F0-4A5E-9DC8-EE172C639237}"/>
    <hyperlink ref="E45" r:id="rId228" xr:uid="{7B046539-35CA-4299-BDE8-F6AD06EAA1D7}"/>
  </hyperlinks>
  <pageMargins left="0.7" right="0.7" top="0.75" bottom="0.75" header="0.3" footer="0.3"/>
  <pageSetup paperSize="9" orientation="portrait" horizontalDpi="0" verticalDpi="0" r:id="rId229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4BABD-16B3-4A99-87C7-35F6C1DCA58A}">
  <sheetPr>
    <tabColor theme="6" tint="0.39997558519241921"/>
  </sheetPr>
  <dimension ref="A1:J34"/>
  <sheetViews>
    <sheetView workbookViewId="0"/>
  </sheetViews>
  <sheetFormatPr defaultRowHeight="14.5" x14ac:dyDescent="0.35"/>
  <cols>
    <col min="1" max="1" width="18.54296875" customWidth="1"/>
    <col min="2" max="2" width="12.81640625" customWidth="1"/>
    <col min="3" max="3" width="21.54296875" customWidth="1"/>
    <col min="4" max="4" width="21.6328125" customWidth="1"/>
    <col min="5" max="5" width="12.08984375" customWidth="1"/>
    <col min="6" max="6" width="21.54296875" customWidth="1"/>
    <col min="7" max="7" width="22.6328125" customWidth="1"/>
    <col min="8" max="8" width="25.26953125" customWidth="1"/>
    <col min="9" max="9" width="22.08984375" customWidth="1"/>
    <col min="10" max="10" width="21.36328125" customWidth="1"/>
  </cols>
  <sheetData>
    <row r="1" spans="1:10" x14ac:dyDescent="0.35">
      <c r="A1" s="34" t="s">
        <v>3196</v>
      </c>
      <c r="B1" s="16">
        <f>COUNTIF(I2:I1067,C1)+COUNTIF(I2:I1067,D1)</f>
        <v>4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2870</v>
      </c>
      <c r="B3" t="s">
        <v>3</v>
      </c>
      <c r="C3" t="s">
        <v>43</v>
      </c>
      <c r="D3" t="s">
        <v>429</v>
      </c>
      <c r="E3" s="34" t="s">
        <v>26</v>
      </c>
      <c r="F3" s="33" t="s">
        <v>2862</v>
      </c>
      <c r="G3" s="33" t="s">
        <v>2863</v>
      </c>
      <c r="H3" t="s">
        <v>413</v>
      </c>
      <c r="I3" s="1" t="s">
        <v>426</v>
      </c>
      <c r="J3" s="3" t="s">
        <v>2864</v>
      </c>
    </row>
    <row r="4" spans="1:10" x14ac:dyDescent="0.35">
      <c r="E4" s="17"/>
      <c r="I4" t="s">
        <v>365</v>
      </c>
      <c r="J4" t="s">
        <v>2865</v>
      </c>
    </row>
    <row r="5" spans="1:10" x14ac:dyDescent="0.35">
      <c r="I5" t="s">
        <v>366</v>
      </c>
      <c r="J5" t="s">
        <v>2866</v>
      </c>
    </row>
    <row r="6" spans="1:10" x14ac:dyDescent="0.35">
      <c r="I6" t="s">
        <v>345</v>
      </c>
      <c r="J6" t="s">
        <v>2867</v>
      </c>
    </row>
    <row r="7" spans="1:10" x14ac:dyDescent="0.35">
      <c r="I7" t="s">
        <v>346</v>
      </c>
      <c r="J7" t="s">
        <v>2868</v>
      </c>
    </row>
    <row r="8" spans="1:10" x14ac:dyDescent="0.35">
      <c r="I8" t="s">
        <v>1555</v>
      </c>
      <c r="J8" t="s">
        <v>2869</v>
      </c>
    </row>
    <row r="9" spans="1:10" x14ac:dyDescent="0.35">
      <c r="I9" t="s">
        <v>104</v>
      </c>
      <c r="J9" s="36" t="s">
        <v>2870</v>
      </c>
    </row>
    <row r="10" spans="1:10" x14ac:dyDescent="0.35">
      <c r="I10" s="38" t="s">
        <v>18</v>
      </c>
      <c r="J10" s="25"/>
    </row>
    <row r="11" spans="1:10" x14ac:dyDescent="0.35">
      <c r="A11" s="33" t="s">
        <v>2871</v>
      </c>
      <c r="B11" t="s">
        <v>3</v>
      </c>
      <c r="C11" t="s">
        <v>43</v>
      </c>
      <c r="D11" t="s">
        <v>429</v>
      </c>
      <c r="E11" s="34" t="s">
        <v>585</v>
      </c>
      <c r="F11" s="33" t="s">
        <v>2862</v>
      </c>
      <c r="G11" s="33" t="s">
        <v>2863</v>
      </c>
      <c r="H11" t="s">
        <v>413</v>
      </c>
      <c r="I11" s="1" t="s">
        <v>426</v>
      </c>
      <c r="J11" s="3" t="s">
        <v>2864</v>
      </c>
    </row>
    <row r="12" spans="1:10" x14ac:dyDescent="0.35">
      <c r="E12" s="17"/>
      <c r="I12" t="s">
        <v>365</v>
      </c>
      <c r="J12" t="s">
        <v>2865</v>
      </c>
    </row>
    <row r="13" spans="1:10" x14ac:dyDescent="0.35">
      <c r="I13" t="s">
        <v>366</v>
      </c>
      <c r="J13" t="s">
        <v>2866</v>
      </c>
    </row>
    <row r="14" spans="1:10" x14ac:dyDescent="0.35">
      <c r="I14" t="s">
        <v>345</v>
      </c>
      <c r="J14" t="s">
        <v>2872</v>
      </c>
    </row>
    <row r="15" spans="1:10" x14ac:dyDescent="0.35">
      <c r="I15" t="s">
        <v>346</v>
      </c>
      <c r="J15" t="s">
        <v>2873</v>
      </c>
    </row>
    <row r="16" spans="1:10" x14ac:dyDescent="0.35">
      <c r="I16" t="s">
        <v>1555</v>
      </c>
      <c r="J16" t="s">
        <v>2874</v>
      </c>
    </row>
    <row r="17" spans="1:10" x14ac:dyDescent="0.35">
      <c r="I17" t="s">
        <v>104</v>
      </c>
      <c r="J17" s="36" t="s">
        <v>2871</v>
      </c>
    </row>
    <row r="18" spans="1:10" x14ac:dyDescent="0.35">
      <c r="I18" s="38" t="s">
        <v>18</v>
      </c>
      <c r="J18" s="25"/>
    </row>
    <row r="19" spans="1:10" x14ac:dyDescent="0.35">
      <c r="A19" s="33" t="s">
        <v>2875</v>
      </c>
      <c r="B19" t="s">
        <v>3</v>
      </c>
      <c r="C19" t="s">
        <v>43</v>
      </c>
      <c r="D19" t="s">
        <v>429</v>
      </c>
      <c r="E19" s="34" t="s">
        <v>585</v>
      </c>
      <c r="F19" s="33" t="s">
        <v>2862</v>
      </c>
      <c r="G19" s="33" t="s">
        <v>2863</v>
      </c>
      <c r="H19" t="s">
        <v>413</v>
      </c>
      <c r="I19" s="1" t="s">
        <v>426</v>
      </c>
      <c r="J19" s="3" t="s">
        <v>2864</v>
      </c>
    </row>
    <row r="20" spans="1:10" x14ac:dyDescent="0.35">
      <c r="E20" s="17"/>
      <c r="I20" t="s">
        <v>365</v>
      </c>
      <c r="J20" t="s">
        <v>2865</v>
      </c>
    </row>
    <row r="21" spans="1:10" x14ac:dyDescent="0.35">
      <c r="I21" t="s">
        <v>366</v>
      </c>
      <c r="J21" t="s">
        <v>2866</v>
      </c>
    </row>
    <row r="22" spans="1:10" x14ac:dyDescent="0.35">
      <c r="I22" t="s">
        <v>345</v>
      </c>
      <c r="J22" t="s">
        <v>2867</v>
      </c>
    </row>
    <row r="23" spans="1:10" x14ac:dyDescent="0.35">
      <c r="I23" t="s">
        <v>346</v>
      </c>
      <c r="J23" t="s">
        <v>2868</v>
      </c>
    </row>
    <row r="24" spans="1:10" x14ac:dyDescent="0.35">
      <c r="I24" t="s">
        <v>1555</v>
      </c>
      <c r="J24" t="s">
        <v>2876</v>
      </c>
    </row>
    <row r="25" spans="1:10" x14ac:dyDescent="0.35">
      <c r="I25" t="s">
        <v>104</v>
      </c>
      <c r="J25" s="36" t="s">
        <v>2877</v>
      </c>
    </row>
    <row r="26" spans="1:10" x14ac:dyDescent="0.35">
      <c r="I26" s="38" t="s">
        <v>18</v>
      </c>
      <c r="J26" s="25"/>
    </row>
    <row r="27" spans="1:10" x14ac:dyDescent="0.35">
      <c r="A27" s="33" t="s">
        <v>4179</v>
      </c>
      <c r="B27" t="s">
        <v>3</v>
      </c>
      <c r="C27" t="s">
        <v>43</v>
      </c>
      <c r="D27" t="s">
        <v>710</v>
      </c>
      <c r="E27" s="34" t="s">
        <v>327</v>
      </c>
      <c r="F27" s="33" t="s">
        <v>2862</v>
      </c>
      <c r="G27" s="33" t="s">
        <v>2863</v>
      </c>
      <c r="H27" t="s">
        <v>413</v>
      </c>
      <c r="I27" s="1" t="s">
        <v>426</v>
      </c>
      <c r="J27" s="3" t="s">
        <v>2864</v>
      </c>
    </row>
    <row r="28" spans="1:10" x14ac:dyDescent="0.35">
      <c r="E28" s="17"/>
      <c r="I28" t="s">
        <v>365</v>
      </c>
      <c r="J28" t="s">
        <v>2865</v>
      </c>
    </row>
    <row r="29" spans="1:10" x14ac:dyDescent="0.35">
      <c r="I29" t="s">
        <v>366</v>
      </c>
      <c r="J29" t="s">
        <v>2866</v>
      </c>
    </row>
    <row r="30" spans="1:10" x14ac:dyDescent="0.35">
      <c r="I30" t="s">
        <v>345</v>
      </c>
      <c r="J30" t="s">
        <v>2872</v>
      </c>
    </row>
    <row r="31" spans="1:10" x14ac:dyDescent="0.35">
      <c r="I31" t="s">
        <v>346</v>
      </c>
      <c r="J31" t="s">
        <v>2873</v>
      </c>
    </row>
    <row r="32" spans="1:10" x14ac:dyDescent="0.35">
      <c r="I32" t="s">
        <v>1555</v>
      </c>
      <c r="J32" t="s">
        <v>2874</v>
      </c>
    </row>
    <row r="33" spans="9:10" x14ac:dyDescent="0.35">
      <c r="I33" t="s">
        <v>104</v>
      </c>
      <c r="J33" t="s">
        <v>2871</v>
      </c>
    </row>
    <row r="34" spans="9:10" x14ac:dyDescent="0.35">
      <c r="I34" s="38" t="s">
        <v>18</v>
      </c>
      <c r="J34" s="36" t="s">
        <v>4180</v>
      </c>
    </row>
  </sheetData>
  <hyperlinks>
    <hyperlink ref="A1" location="Summary!A1" tooltip="Return to Totals" display="Back to Totals" xr:uid="{E8A87000-98A7-4DA2-86FC-E2F360E2DD01}"/>
    <hyperlink ref="A3" r:id="rId1" xr:uid="{5A0397CB-6613-4C15-ACA4-0406D7C3B5B0}"/>
    <hyperlink ref="J9" r:id="rId2" xr:uid="{13359DC9-B5B0-458B-9179-5994080887A3}"/>
    <hyperlink ref="F3" r:id="rId3" xr:uid="{8CD8E8FF-323A-4980-8314-EF92125A93E5}"/>
    <hyperlink ref="G3" r:id="rId4" xr:uid="{D076F51E-6A08-4F12-9253-7995ABA10277}"/>
    <hyperlink ref="A11" r:id="rId5" display="Margaret Atherton" xr:uid="{33367A69-50AA-407D-8670-8BA0A872CCC5}"/>
    <hyperlink ref="J17" r:id="rId6" xr:uid="{3637E4AB-9DDF-4358-842D-511169FCC0B4}"/>
    <hyperlink ref="F11" r:id="rId7" xr:uid="{B4F4427F-F798-4CB8-9598-674275A93244}"/>
    <hyperlink ref="G11" r:id="rId8" xr:uid="{BAF0099A-BF3E-4BB3-B69A-9DBD51BE51A9}"/>
    <hyperlink ref="A19" r:id="rId9" xr:uid="{45AE16C0-03FE-478B-A710-AAF2331B0F2E}"/>
    <hyperlink ref="J25" r:id="rId10" xr:uid="{E7DFEE85-A7C5-4B3F-A058-C3043C5F7D02}"/>
    <hyperlink ref="F19" r:id="rId11" xr:uid="{A7069540-C5F1-44D6-B2A4-948F433037C7}"/>
    <hyperlink ref="G19" r:id="rId12" xr:uid="{C7686FC5-38AF-4E86-8210-B1303FF075E6}"/>
    <hyperlink ref="E11" r:id="rId13" xr:uid="{09D55E50-6504-4AFC-B38B-1C4607C7712B}"/>
    <hyperlink ref="E19" r:id="rId14" xr:uid="{2F4AE2C9-8EC7-4560-9089-3F4BF633B866}"/>
    <hyperlink ref="E3" r:id="rId15" xr:uid="{A54AEF70-3166-4DB6-9910-E758791FA0B1}"/>
    <hyperlink ref="A27" r:id="rId16" xr:uid="{AA1FF7F4-8ED2-41D1-A410-46789896E51E}"/>
    <hyperlink ref="F27" r:id="rId17" xr:uid="{D1EF15AD-7206-4B14-ADA6-CD2F8701D78E}"/>
    <hyperlink ref="G27" r:id="rId18" xr:uid="{64F1141F-A18E-42B6-B4A2-B63D3975DA52}"/>
    <hyperlink ref="E27" r:id="rId19" xr:uid="{B82F3F46-D67B-4D4A-9B7D-12D10B83AF93}"/>
    <hyperlink ref="J34" r:id="rId20" xr:uid="{596C0A4A-DF79-4089-9C36-547ECB6D0A4D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51E1C-9C44-4F6B-A0C2-0A26AB339446}">
  <sheetPr codeName="Sheet26">
    <tabColor rgb="FFFFFF99"/>
  </sheetPr>
  <dimension ref="A1:J252"/>
  <sheetViews>
    <sheetView workbookViewId="0"/>
  </sheetViews>
  <sheetFormatPr defaultRowHeight="14.5" x14ac:dyDescent="0.35"/>
  <cols>
    <col min="1" max="1" width="22.36328125" customWidth="1"/>
    <col min="2" max="2" width="12.36328125" customWidth="1"/>
    <col min="3" max="3" width="21.08984375" customWidth="1"/>
    <col min="4" max="4" width="22.6328125" customWidth="1"/>
    <col min="5" max="5" width="11" customWidth="1"/>
    <col min="6" max="6" width="22.6328125" customWidth="1"/>
    <col min="7" max="7" width="22.7265625" customWidth="1"/>
    <col min="8" max="8" width="24.453125" customWidth="1"/>
    <col min="9" max="9" width="24.90625" customWidth="1"/>
    <col min="10" max="10" width="23.08984375" customWidth="1"/>
  </cols>
  <sheetData>
    <row r="1" spans="1:10" x14ac:dyDescent="0.35">
      <c r="A1" s="34" t="s">
        <v>3196</v>
      </c>
      <c r="B1" s="16">
        <f>COUNTIF(I2:I1107,C1)+COUNTIF(I2:I1107,D1)</f>
        <v>24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2526</v>
      </c>
      <c r="B3" s="1" t="s">
        <v>315</v>
      </c>
      <c r="C3" t="s">
        <v>43</v>
      </c>
      <c r="D3" t="s">
        <v>1783</v>
      </c>
      <c r="E3" s="40" t="s">
        <v>2621</v>
      </c>
      <c r="F3" s="33" t="s">
        <v>2221</v>
      </c>
      <c r="G3" s="33" t="s">
        <v>2222</v>
      </c>
      <c r="H3" t="s">
        <v>1716</v>
      </c>
      <c r="I3" s="1" t="s">
        <v>2183</v>
      </c>
      <c r="J3" s="3" t="s">
        <v>2240</v>
      </c>
    </row>
    <row r="4" spans="1:10" x14ac:dyDescent="0.35">
      <c r="E4" s="34" t="s">
        <v>2622</v>
      </c>
      <c r="I4" t="s">
        <v>784</v>
      </c>
      <c r="J4" t="s">
        <v>2223</v>
      </c>
    </row>
    <row r="5" spans="1:10" x14ac:dyDescent="0.35">
      <c r="I5" t="s">
        <v>785</v>
      </c>
      <c r="J5" t="s">
        <v>2224</v>
      </c>
    </row>
    <row r="6" spans="1:10" x14ac:dyDescent="0.35">
      <c r="I6" t="s">
        <v>120</v>
      </c>
      <c r="J6" t="s">
        <v>2225</v>
      </c>
    </row>
    <row r="7" spans="1:10" x14ac:dyDescent="0.35">
      <c r="I7" t="s">
        <v>122</v>
      </c>
      <c r="J7" t="s">
        <v>2519</v>
      </c>
    </row>
    <row r="8" spans="1:10" x14ac:dyDescent="0.35">
      <c r="I8" t="s">
        <v>112</v>
      </c>
      <c r="J8" t="s">
        <v>2520</v>
      </c>
    </row>
    <row r="9" spans="1:10" x14ac:dyDescent="0.35">
      <c r="I9" t="s">
        <v>116</v>
      </c>
      <c r="J9" t="s">
        <v>2521</v>
      </c>
    </row>
    <row r="10" spans="1:10" x14ac:dyDescent="0.35">
      <c r="I10" t="s">
        <v>117</v>
      </c>
      <c r="J10" t="s">
        <v>2522</v>
      </c>
    </row>
    <row r="11" spans="1:10" x14ac:dyDescent="0.35">
      <c r="I11" t="s">
        <v>17</v>
      </c>
      <c r="J11" s="8" t="s">
        <v>2523</v>
      </c>
    </row>
    <row r="12" spans="1:10" x14ac:dyDescent="0.35">
      <c r="I12" s="38" t="s">
        <v>18</v>
      </c>
      <c r="J12" t="s">
        <v>2524</v>
      </c>
    </row>
    <row r="13" spans="1:10" x14ac:dyDescent="0.35">
      <c r="J13" s="36" t="s">
        <v>2525</v>
      </c>
    </row>
    <row r="14" spans="1:10" x14ac:dyDescent="0.35">
      <c r="A14" s="33" t="s">
        <v>2537</v>
      </c>
      <c r="B14" s="1" t="s">
        <v>315</v>
      </c>
      <c r="C14" t="s">
        <v>43</v>
      </c>
      <c r="D14" t="s">
        <v>2538</v>
      </c>
      <c r="E14" s="40" t="s">
        <v>179</v>
      </c>
      <c r="F14" s="33" t="s">
        <v>2221</v>
      </c>
      <c r="G14" s="33" t="s">
        <v>2222</v>
      </c>
      <c r="H14" t="s">
        <v>1716</v>
      </c>
      <c r="I14" s="1" t="s">
        <v>2183</v>
      </c>
      <c r="J14" s="3" t="s">
        <v>2528</v>
      </c>
    </row>
    <row r="15" spans="1:10" x14ac:dyDescent="0.35">
      <c r="E15" s="15"/>
      <c r="I15" t="s">
        <v>784</v>
      </c>
      <c r="J15" t="s">
        <v>2539</v>
      </c>
    </row>
    <row r="16" spans="1:10" x14ac:dyDescent="0.35">
      <c r="I16" t="s">
        <v>785</v>
      </c>
      <c r="J16" t="s">
        <v>2540</v>
      </c>
    </row>
    <row r="17" spans="1:10" x14ac:dyDescent="0.35">
      <c r="I17" t="s">
        <v>120</v>
      </c>
      <c r="J17" t="s">
        <v>2541</v>
      </c>
    </row>
    <row r="18" spans="1:10" x14ac:dyDescent="0.35">
      <c r="I18" t="s">
        <v>122</v>
      </c>
      <c r="J18" t="s">
        <v>2542</v>
      </c>
    </row>
    <row r="19" spans="1:10" x14ac:dyDescent="0.35">
      <c r="I19" t="s">
        <v>112</v>
      </c>
      <c r="J19" t="s">
        <v>2543</v>
      </c>
    </row>
    <row r="20" spans="1:10" x14ac:dyDescent="0.35">
      <c r="I20" t="s">
        <v>116</v>
      </c>
      <c r="J20" t="s">
        <v>2544</v>
      </c>
    </row>
    <row r="21" spans="1:10" x14ac:dyDescent="0.35">
      <c r="I21" t="s">
        <v>117</v>
      </c>
      <c r="J21" t="s">
        <v>2545</v>
      </c>
    </row>
    <row r="22" spans="1:10" x14ac:dyDescent="0.35">
      <c r="I22" t="s">
        <v>17</v>
      </c>
      <c r="J22" s="8" t="s">
        <v>2547</v>
      </c>
    </row>
    <row r="23" spans="1:10" x14ac:dyDescent="0.35">
      <c r="I23" s="38" t="s">
        <v>1249</v>
      </c>
      <c r="J23" t="s">
        <v>2546</v>
      </c>
    </row>
    <row r="24" spans="1:10" x14ac:dyDescent="0.35">
      <c r="J24" s="36" t="s">
        <v>2537</v>
      </c>
    </row>
    <row r="25" spans="1:10" x14ac:dyDescent="0.35">
      <c r="A25" s="33" t="s">
        <v>3900</v>
      </c>
      <c r="B25" s="25" t="s">
        <v>3</v>
      </c>
      <c r="C25" t="s">
        <v>43</v>
      </c>
      <c r="D25" t="s">
        <v>615</v>
      </c>
      <c r="E25" s="34" t="s">
        <v>201</v>
      </c>
      <c r="F25" s="33" t="s">
        <v>2183</v>
      </c>
      <c r="G25" s="33" t="s">
        <v>2184</v>
      </c>
      <c r="H25" t="s">
        <v>91</v>
      </c>
      <c r="I25" s="1" t="s">
        <v>784</v>
      </c>
      <c r="J25" s="3" t="s">
        <v>2185</v>
      </c>
    </row>
    <row r="26" spans="1:10" x14ac:dyDescent="0.35">
      <c r="E26" s="17"/>
      <c r="I26" t="s">
        <v>785</v>
      </c>
      <c r="J26" t="s">
        <v>2186</v>
      </c>
    </row>
    <row r="27" spans="1:10" x14ac:dyDescent="0.35">
      <c r="I27" t="s">
        <v>120</v>
      </c>
      <c r="J27" t="s">
        <v>2187</v>
      </c>
    </row>
    <row r="28" spans="1:10" x14ac:dyDescent="0.35">
      <c r="I28" t="s">
        <v>122</v>
      </c>
      <c r="J28" t="s">
        <v>2188</v>
      </c>
    </row>
    <row r="29" spans="1:10" x14ac:dyDescent="0.35">
      <c r="I29" t="s">
        <v>112</v>
      </c>
      <c r="J29" t="s">
        <v>2189</v>
      </c>
    </row>
    <row r="30" spans="1:10" x14ac:dyDescent="0.35">
      <c r="I30" t="s">
        <v>116</v>
      </c>
      <c r="J30" t="s">
        <v>2190</v>
      </c>
    </row>
    <row r="31" spans="1:10" x14ac:dyDescent="0.35">
      <c r="I31" t="s">
        <v>117</v>
      </c>
      <c r="J31" t="s">
        <v>2191</v>
      </c>
    </row>
    <row r="32" spans="1:10" x14ac:dyDescent="0.35">
      <c r="I32" t="s">
        <v>17</v>
      </c>
      <c r="J32" t="s">
        <v>3901</v>
      </c>
    </row>
    <row r="33" spans="1:10" x14ac:dyDescent="0.35">
      <c r="I33" s="38" t="s">
        <v>18</v>
      </c>
      <c r="J33" s="36" t="s">
        <v>3902</v>
      </c>
    </row>
    <row r="34" spans="1:10" x14ac:dyDescent="0.35">
      <c r="A34" s="33" t="s">
        <v>2182</v>
      </c>
      <c r="B34" s="25" t="s">
        <v>3</v>
      </c>
      <c r="C34" t="s">
        <v>43</v>
      </c>
      <c r="D34" t="s">
        <v>615</v>
      </c>
      <c r="E34" s="34" t="s">
        <v>216</v>
      </c>
      <c r="F34" s="33" t="s">
        <v>2183</v>
      </c>
      <c r="G34" s="33" t="s">
        <v>2184</v>
      </c>
      <c r="H34" t="s">
        <v>91</v>
      </c>
      <c r="I34" s="1" t="s">
        <v>784</v>
      </c>
      <c r="J34" s="3" t="s">
        <v>2185</v>
      </c>
    </row>
    <row r="35" spans="1:10" x14ac:dyDescent="0.35">
      <c r="E35" s="17"/>
      <c r="I35" t="s">
        <v>785</v>
      </c>
      <c r="J35" t="s">
        <v>2186</v>
      </c>
    </row>
    <row r="36" spans="1:10" x14ac:dyDescent="0.35">
      <c r="I36" t="s">
        <v>120</v>
      </c>
      <c r="J36" t="s">
        <v>2187</v>
      </c>
    </row>
    <row r="37" spans="1:10" x14ac:dyDescent="0.35">
      <c r="I37" t="s">
        <v>122</v>
      </c>
      <c r="J37" t="s">
        <v>2188</v>
      </c>
    </row>
    <row r="38" spans="1:10" x14ac:dyDescent="0.35">
      <c r="I38" t="s">
        <v>112</v>
      </c>
      <c r="J38" t="s">
        <v>2189</v>
      </c>
    </row>
    <row r="39" spans="1:10" x14ac:dyDescent="0.35">
      <c r="I39" t="s">
        <v>116</v>
      </c>
      <c r="J39" t="s">
        <v>2190</v>
      </c>
    </row>
    <row r="40" spans="1:10" x14ac:dyDescent="0.35">
      <c r="I40" t="s">
        <v>117</v>
      </c>
      <c r="J40" t="s">
        <v>2191</v>
      </c>
    </row>
    <row r="41" spans="1:10" x14ac:dyDescent="0.35">
      <c r="I41" t="s">
        <v>17</v>
      </c>
      <c r="J41" t="s">
        <v>2192</v>
      </c>
    </row>
    <row r="42" spans="1:10" x14ac:dyDescent="0.35">
      <c r="I42" s="38" t="s">
        <v>18</v>
      </c>
      <c r="J42" s="36" t="s">
        <v>2193</v>
      </c>
    </row>
    <row r="43" spans="1:10" x14ac:dyDescent="0.35">
      <c r="A43" s="33" t="s">
        <v>2202</v>
      </c>
      <c r="B43" s="25" t="s">
        <v>3</v>
      </c>
      <c r="C43" t="s">
        <v>43</v>
      </c>
      <c r="D43" t="s">
        <v>615</v>
      </c>
      <c r="E43" s="40" t="s">
        <v>216</v>
      </c>
      <c r="F43" s="33" t="s">
        <v>2183</v>
      </c>
      <c r="G43" s="33" t="s">
        <v>2184</v>
      </c>
      <c r="H43" t="s">
        <v>91</v>
      </c>
      <c r="I43" s="1" t="s">
        <v>784</v>
      </c>
      <c r="J43" s="3" t="s">
        <v>2185</v>
      </c>
    </row>
    <row r="44" spans="1:10" x14ac:dyDescent="0.35">
      <c r="E44" s="34" t="s">
        <v>89</v>
      </c>
      <c r="I44" t="s">
        <v>785</v>
      </c>
      <c r="J44" t="s">
        <v>2203</v>
      </c>
    </row>
    <row r="45" spans="1:10" x14ac:dyDescent="0.35">
      <c r="I45" t="s">
        <v>120</v>
      </c>
      <c r="J45" t="s">
        <v>2204</v>
      </c>
    </row>
    <row r="46" spans="1:10" x14ac:dyDescent="0.35">
      <c r="I46" t="s">
        <v>122</v>
      </c>
      <c r="J46" t="s">
        <v>2205</v>
      </c>
    </row>
    <row r="47" spans="1:10" x14ac:dyDescent="0.35">
      <c r="I47" t="s">
        <v>112</v>
      </c>
      <c r="J47" t="s">
        <v>2206</v>
      </c>
    </row>
    <row r="48" spans="1:10" x14ac:dyDescent="0.35">
      <c r="I48" t="s">
        <v>116</v>
      </c>
      <c r="J48" t="s">
        <v>2207</v>
      </c>
    </row>
    <row r="49" spans="1:10" x14ac:dyDescent="0.35">
      <c r="I49" t="s">
        <v>117</v>
      </c>
      <c r="J49" t="s">
        <v>2208</v>
      </c>
    </row>
    <row r="50" spans="1:10" x14ac:dyDescent="0.35">
      <c r="I50" t="s">
        <v>17</v>
      </c>
      <c r="J50" t="s">
        <v>2209</v>
      </c>
    </row>
    <row r="51" spans="1:10" x14ac:dyDescent="0.35">
      <c r="I51" s="38" t="s">
        <v>18</v>
      </c>
      <c r="J51" s="24" t="s">
        <v>2210</v>
      </c>
    </row>
    <row r="52" spans="1:10" x14ac:dyDescent="0.35">
      <c r="A52" s="33" t="s">
        <v>3796</v>
      </c>
      <c r="B52" s="25" t="s">
        <v>3</v>
      </c>
      <c r="C52" t="s">
        <v>43</v>
      </c>
      <c r="D52" t="s">
        <v>656</v>
      </c>
      <c r="E52" s="40" t="s">
        <v>216</v>
      </c>
      <c r="F52" s="33" t="s">
        <v>2183</v>
      </c>
      <c r="G52" s="33" t="s">
        <v>2184</v>
      </c>
      <c r="H52" t="s">
        <v>91</v>
      </c>
      <c r="I52" s="1" t="s">
        <v>784</v>
      </c>
      <c r="J52" s="3" t="s">
        <v>2185</v>
      </c>
    </row>
    <row r="53" spans="1:10" x14ac:dyDescent="0.35">
      <c r="E53" s="34"/>
      <c r="I53" t="s">
        <v>785</v>
      </c>
      <c r="J53" t="s">
        <v>2356</v>
      </c>
    </row>
    <row r="54" spans="1:10" x14ac:dyDescent="0.35">
      <c r="I54" t="s">
        <v>120</v>
      </c>
      <c r="J54" t="s">
        <v>2356</v>
      </c>
    </row>
    <row r="55" spans="1:10" x14ac:dyDescent="0.35">
      <c r="I55" t="s">
        <v>122</v>
      </c>
      <c r="J55" t="s">
        <v>2357</v>
      </c>
    </row>
    <row r="56" spans="1:10" x14ac:dyDescent="0.35">
      <c r="I56" t="s">
        <v>112</v>
      </c>
      <c r="J56" t="s">
        <v>2358</v>
      </c>
    </row>
    <row r="57" spans="1:10" x14ac:dyDescent="0.35">
      <c r="I57" t="s">
        <v>116</v>
      </c>
      <c r="J57" t="s">
        <v>2359</v>
      </c>
    </row>
    <row r="58" spans="1:10" x14ac:dyDescent="0.35">
      <c r="I58" t="s">
        <v>117</v>
      </c>
      <c r="J58" t="s">
        <v>2360</v>
      </c>
    </row>
    <row r="59" spans="1:10" x14ac:dyDescent="0.35">
      <c r="I59" t="s">
        <v>17</v>
      </c>
      <c r="J59" t="s">
        <v>2361</v>
      </c>
    </row>
    <row r="60" spans="1:10" x14ac:dyDescent="0.35">
      <c r="I60" s="38" t="s">
        <v>18</v>
      </c>
      <c r="J60" s="22" t="s">
        <v>2362</v>
      </c>
    </row>
    <row r="61" spans="1:10" x14ac:dyDescent="0.35">
      <c r="I61" s="37"/>
      <c r="J61" s="22" t="s">
        <v>3797</v>
      </c>
    </row>
    <row r="62" spans="1:10" x14ac:dyDescent="0.35">
      <c r="I62" s="37"/>
      <c r="J62" s="36" t="s">
        <v>3796</v>
      </c>
    </row>
    <row r="63" spans="1:10" x14ac:dyDescent="0.35">
      <c r="A63" s="33" t="s">
        <v>2527</v>
      </c>
      <c r="B63" s="1" t="s">
        <v>315</v>
      </c>
      <c r="C63" t="s">
        <v>43</v>
      </c>
      <c r="D63" t="s">
        <v>2536</v>
      </c>
      <c r="E63" s="40" t="s">
        <v>72</v>
      </c>
      <c r="F63" s="33" t="s">
        <v>2221</v>
      </c>
      <c r="G63" s="33" t="s">
        <v>2222</v>
      </c>
      <c r="H63" t="s">
        <v>1716</v>
      </c>
      <c r="I63" s="1" t="s">
        <v>2183</v>
      </c>
      <c r="J63" s="3" t="s">
        <v>2528</v>
      </c>
    </row>
    <row r="64" spans="1:10" x14ac:dyDescent="0.35">
      <c r="E64" s="15"/>
      <c r="I64" t="s">
        <v>784</v>
      </c>
      <c r="J64" t="s">
        <v>2529</v>
      </c>
    </row>
    <row r="65" spans="1:10" x14ac:dyDescent="0.35">
      <c r="I65" t="s">
        <v>785</v>
      </c>
      <c r="J65" t="s">
        <v>2530</v>
      </c>
    </row>
    <row r="66" spans="1:10" x14ac:dyDescent="0.35">
      <c r="I66" t="s">
        <v>120</v>
      </c>
      <c r="J66" t="s">
        <v>2531</v>
      </c>
    </row>
    <row r="67" spans="1:10" x14ac:dyDescent="0.35">
      <c r="I67" t="s">
        <v>122</v>
      </c>
      <c r="J67" t="s">
        <v>2532</v>
      </c>
    </row>
    <row r="68" spans="1:10" x14ac:dyDescent="0.35">
      <c r="I68" t="s">
        <v>112</v>
      </c>
      <c r="J68" t="s">
        <v>2533</v>
      </c>
    </row>
    <row r="69" spans="1:10" x14ac:dyDescent="0.35">
      <c r="I69" t="s">
        <v>116</v>
      </c>
      <c r="J69" t="s">
        <v>2534</v>
      </c>
    </row>
    <row r="70" spans="1:10" x14ac:dyDescent="0.35">
      <c r="I70" t="s">
        <v>117</v>
      </c>
      <c r="J70" t="s">
        <v>2535</v>
      </c>
    </row>
    <row r="71" spans="1:10" x14ac:dyDescent="0.35">
      <c r="I71" t="s">
        <v>17</v>
      </c>
      <c r="J71" s="36" t="s">
        <v>2527</v>
      </c>
    </row>
    <row r="72" spans="1:10" x14ac:dyDescent="0.35">
      <c r="I72" s="38" t="s">
        <v>18</v>
      </c>
    </row>
    <row r="73" spans="1:10" x14ac:dyDescent="0.35">
      <c r="A73" s="33" t="s">
        <v>2345</v>
      </c>
      <c r="B73" s="25" t="s">
        <v>3</v>
      </c>
      <c r="C73" t="s">
        <v>43</v>
      </c>
      <c r="D73" t="s">
        <v>1048</v>
      </c>
      <c r="E73" s="40" t="s">
        <v>72</v>
      </c>
      <c r="F73" s="33" t="s">
        <v>2183</v>
      </c>
      <c r="G73" s="33" t="s">
        <v>2184</v>
      </c>
      <c r="H73" t="s">
        <v>91</v>
      </c>
      <c r="I73" s="1" t="s">
        <v>784</v>
      </c>
      <c r="J73" s="3" t="s">
        <v>2225</v>
      </c>
    </row>
    <row r="74" spans="1:10" x14ac:dyDescent="0.35">
      <c r="E74" s="15"/>
      <c r="I74" t="s">
        <v>785</v>
      </c>
      <c r="J74" t="s">
        <v>2303</v>
      </c>
    </row>
    <row r="75" spans="1:10" x14ac:dyDescent="0.35">
      <c r="I75" t="s">
        <v>120</v>
      </c>
      <c r="J75" t="s">
        <v>2346</v>
      </c>
    </row>
    <row r="76" spans="1:10" x14ac:dyDescent="0.35">
      <c r="I76" t="s">
        <v>122</v>
      </c>
      <c r="J76" t="s">
        <v>2347</v>
      </c>
    </row>
    <row r="77" spans="1:10" x14ac:dyDescent="0.35">
      <c r="I77" t="s">
        <v>112</v>
      </c>
      <c r="J77" t="s">
        <v>2348</v>
      </c>
    </row>
    <row r="78" spans="1:10" x14ac:dyDescent="0.35">
      <c r="I78" t="s">
        <v>116</v>
      </c>
      <c r="J78" t="s">
        <v>2349</v>
      </c>
    </row>
    <row r="79" spans="1:10" x14ac:dyDescent="0.35">
      <c r="I79" t="s">
        <v>117</v>
      </c>
      <c r="J79" t="s">
        <v>2350</v>
      </c>
    </row>
    <row r="80" spans="1:10" x14ac:dyDescent="0.35">
      <c r="I80" t="s">
        <v>17</v>
      </c>
      <c r="J80" t="s">
        <v>2351</v>
      </c>
    </row>
    <row r="81" spans="1:10" x14ac:dyDescent="0.35">
      <c r="I81" s="38" t="s">
        <v>1249</v>
      </c>
      <c r="J81" s="22" t="s">
        <v>2352</v>
      </c>
    </row>
    <row r="82" spans="1:10" x14ac:dyDescent="0.35">
      <c r="J82" s="22" t="s">
        <v>2353</v>
      </c>
    </row>
    <row r="83" spans="1:10" x14ac:dyDescent="0.35">
      <c r="J83" s="22" t="s">
        <v>2354</v>
      </c>
    </row>
    <row r="84" spans="1:10" x14ac:dyDescent="0.35">
      <c r="J84" s="36" t="s">
        <v>2345</v>
      </c>
    </row>
    <row r="85" spans="1:10" x14ac:dyDescent="0.35">
      <c r="A85" s="33" t="s">
        <v>2355</v>
      </c>
      <c r="B85" s="25" t="s">
        <v>3</v>
      </c>
      <c r="C85" t="s">
        <v>43</v>
      </c>
      <c r="D85" t="s">
        <v>1065</v>
      </c>
      <c r="E85" s="40" t="s">
        <v>72</v>
      </c>
      <c r="F85" s="33" t="s">
        <v>2183</v>
      </c>
      <c r="G85" s="33" t="s">
        <v>2184</v>
      </c>
      <c r="H85" t="s">
        <v>91</v>
      </c>
      <c r="I85" s="1" t="s">
        <v>784</v>
      </c>
      <c r="J85" s="3" t="s">
        <v>2185</v>
      </c>
    </row>
    <row r="86" spans="1:10" x14ac:dyDescent="0.35">
      <c r="E86" s="15"/>
      <c r="I86" t="s">
        <v>785</v>
      </c>
      <c r="J86" t="s">
        <v>2356</v>
      </c>
    </row>
    <row r="87" spans="1:10" x14ac:dyDescent="0.35">
      <c r="I87" t="s">
        <v>120</v>
      </c>
      <c r="J87" t="s">
        <v>2356</v>
      </c>
    </row>
    <row r="88" spans="1:10" x14ac:dyDescent="0.35">
      <c r="I88" t="s">
        <v>122</v>
      </c>
      <c r="J88" t="s">
        <v>2357</v>
      </c>
    </row>
    <row r="89" spans="1:10" x14ac:dyDescent="0.35">
      <c r="I89" t="s">
        <v>112</v>
      </c>
      <c r="J89" t="s">
        <v>2358</v>
      </c>
    </row>
    <row r="90" spans="1:10" x14ac:dyDescent="0.35">
      <c r="I90" t="s">
        <v>116</v>
      </c>
      <c r="J90" t="s">
        <v>2359</v>
      </c>
    </row>
    <row r="91" spans="1:10" x14ac:dyDescent="0.35">
      <c r="I91" t="s">
        <v>117</v>
      </c>
      <c r="J91" t="s">
        <v>2360</v>
      </c>
    </row>
    <row r="92" spans="1:10" x14ac:dyDescent="0.35">
      <c r="I92" t="s">
        <v>17</v>
      </c>
      <c r="J92" t="s">
        <v>2361</v>
      </c>
    </row>
    <row r="93" spans="1:10" x14ac:dyDescent="0.35">
      <c r="I93" s="38" t="s">
        <v>1249</v>
      </c>
      <c r="J93" s="22" t="s">
        <v>2362</v>
      </c>
    </row>
    <row r="94" spans="1:10" x14ac:dyDescent="0.35">
      <c r="J94" s="36" t="s">
        <v>2363</v>
      </c>
    </row>
    <row r="95" spans="1:10" x14ac:dyDescent="0.35">
      <c r="A95" s="33" t="s">
        <v>3798</v>
      </c>
      <c r="B95" s="25" t="s">
        <v>3</v>
      </c>
      <c r="C95" t="s">
        <v>43</v>
      </c>
      <c r="D95" t="s">
        <v>656</v>
      </c>
      <c r="E95" s="40" t="s">
        <v>72</v>
      </c>
      <c r="F95" s="33" t="s">
        <v>2183</v>
      </c>
      <c r="G95" s="33" t="s">
        <v>2184</v>
      </c>
      <c r="H95" t="s">
        <v>91</v>
      </c>
      <c r="I95" s="1" t="s">
        <v>784</v>
      </c>
      <c r="J95" s="3" t="s">
        <v>2185</v>
      </c>
    </row>
    <row r="96" spans="1:10" x14ac:dyDescent="0.35">
      <c r="E96" s="15"/>
      <c r="I96" t="s">
        <v>785</v>
      </c>
      <c r="J96" t="s">
        <v>2356</v>
      </c>
    </row>
    <row r="97" spans="1:10" x14ac:dyDescent="0.35">
      <c r="I97" t="s">
        <v>120</v>
      </c>
      <c r="J97" t="s">
        <v>2356</v>
      </c>
    </row>
    <row r="98" spans="1:10" x14ac:dyDescent="0.35">
      <c r="I98" t="s">
        <v>122</v>
      </c>
      <c r="J98" t="s">
        <v>2357</v>
      </c>
    </row>
    <row r="99" spans="1:10" x14ac:dyDescent="0.35">
      <c r="I99" t="s">
        <v>112</v>
      </c>
      <c r="J99" t="s">
        <v>2358</v>
      </c>
    </row>
    <row r="100" spans="1:10" x14ac:dyDescent="0.35">
      <c r="I100" t="s">
        <v>116</v>
      </c>
      <c r="J100" t="s">
        <v>2359</v>
      </c>
    </row>
    <row r="101" spans="1:10" x14ac:dyDescent="0.35">
      <c r="I101" t="s">
        <v>117</v>
      </c>
      <c r="J101" t="s">
        <v>2360</v>
      </c>
    </row>
    <row r="102" spans="1:10" x14ac:dyDescent="0.35">
      <c r="I102" t="s">
        <v>17</v>
      </c>
      <c r="J102" t="s">
        <v>2361</v>
      </c>
    </row>
    <row r="103" spans="1:10" x14ac:dyDescent="0.35">
      <c r="I103" s="38" t="s">
        <v>1249</v>
      </c>
      <c r="J103" s="22" t="s">
        <v>2362</v>
      </c>
    </row>
    <row r="104" spans="1:10" x14ac:dyDescent="0.35">
      <c r="J104" t="s">
        <v>3799</v>
      </c>
    </row>
    <row r="105" spans="1:10" x14ac:dyDescent="0.35">
      <c r="J105" s="36" t="s">
        <v>3798</v>
      </c>
    </row>
    <row r="106" spans="1:10" x14ac:dyDescent="0.35">
      <c r="A106" s="33" t="s">
        <v>3800</v>
      </c>
      <c r="B106" s="25" t="s">
        <v>3</v>
      </c>
      <c r="C106" t="s">
        <v>43</v>
      </c>
      <c r="D106" t="s">
        <v>656</v>
      </c>
      <c r="E106" s="40" t="s">
        <v>72</v>
      </c>
      <c r="F106" s="33" t="s">
        <v>2183</v>
      </c>
      <c r="G106" s="33" t="s">
        <v>2184</v>
      </c>
      <c r="H106" t="s">
        <v>91</v>
      </c>
      <c r="I106" s="1" t="s">
        <v>784</v>
      </c>
      <c r="J106" s="3" t="s">
        <v>2365</v>
      </c>
    </row>
    <row r="107" spans="1:10" x14ac:dyDescent="0.35">
      <c r="E107" s="15"/>
      <c r="I107" t="s">
        <v>785</v>
      </c>
      <c r="J107" t="s">
        <v>2240</v>
      </c>
    </row>
    <row r="108" spans="1:10" x14ac:dyDescent="0.35">
      <c r="I108" t="s">
        <v>120</v>
      </c>
      <c r="J108" t="s">
        <v>2366</v>
      </c>
    </row>
    <row r="109" spans="1:10" x14ac:dyDescent="0.35">
      <c r="I109" t="s">
        <v>122</v>
      </c>
      <c r="J109" t="s">
        <v>2368</v>
      </c>
    </row>
    <row r="110" spans="1:10" x14ac:dyDescent="0.35">
      <c r="I110" t="s">
        <v>112</v>
      </c>
      <c r="J110" t="s">
        <v>2369</v>
      </c>
    </row>
    <row r="111" spans="1:10" x14ac:dyDescent="0.35">
      <c r="I111" t="s">
        <v>116</v>
      </c>
      <c r="J111" t="s">
        <v>2370</v>
      </c>
    </row>
    <row r="112" spans="1:10" x14ac:dyDescent="0.35">
      <c r="I112" t="s">
        <v>117</v>
      </c>
      <c r="J112" t="s">
        <v>2371</v>
      </c>
    </row>
    <row r="113" spans="1:10" x14ac:dyDescent="0.35">
      <c r="I113" t="s">
        <v>17</v>
      </c>
      <c r="J113" t="s">
        <v>2372</v>
      </c>
    </row>
    <row r="114" spans="1:10" x14ac:dyDescent="0.35">
      <c r="I114" s="38" t="s">
        <v>1249</v>
      </c>
      <c r="J114" s="22" t="s">
        <v>3801</v>
      </c>
    </row>
    <row r="115" spans="1:10" x14ac:dyDescent="0.35">
      <c r="J115" s="36" t="s">
        <v>3800</v>
      </c>
    </row>
    <row r="116" spans="1:10" x14ac:dyDescent="0.35">
      <c r="A116" s="33" t="s">
        <v>2364</v>
      </c>
      <c r="B116" s="25" t="s">
        <v>3</v>
      </c>
      <c r="C116" t="s">
        <v>43</v>
      </c>
      <c r="D116" t="s">
        <v>1065</v>
      </c>
      <c r="E116" s="40" t="s">
        <v>72</v>
      </c>
      <c r="F116" s="33" t="s">
        <v>2183</v>
      </c>
      <c r="G116" s="33" t="s">
        <v>2184</v>
      </c>
      <c r="H116" t="s">
        <v>91</v>
      </c>
      <c r="I116" s="1" t="s">
        <v>784</v>
      </c>
      <c r="J116" s="3" t="s">
        <v>2365</v>
      </c>
    </row>
    <row r="117" spans="1:10" x14ac:dyDescent="0.35">
      <c r="E117" s="15"/>
      <c r="I117" t="s">
        <v>785</v>
      </c>
      <c r="J117" t="s">
        <v>2240</v>
      </c>
    </row>
    <row r="118" spans="1:10" x14ac:dyDescent="0.35">
      <c r="I118" t="s">
        <v>120</v>
      </c>
      <c r="J118" t="s">
        <v>2366</v>
      </c>
    </row>
    <row r="119" spans="1:10" x14ac:dyDescent="0.35">
      <c r="I119" t="s">
        <v>122</v>
      </c>
      <c r="J119" t="s">
        <v>2367</v>
      </c>
    </row>
    <row r="120" spans="1:10" x14ac:dyDescent="0.35">
      <c r="I120" t="s">
        <v>112</v>
      </c>
      <c r="J120" t="s">
        <v>2368</v>
      </c>
    </row>
    <row r="121" spans="1:10" x14ac:dyDescent="0.35">
      <c r="I121" t="s">
        <v>116</v>
      </c>
      <c r="J121" t="s">
        <v>2369</v>
      </c>
    </row>
    <row r="122" spans="1:10" x14ac:dyDescent="0.35">
      <c r="I122" t="s">
        <v>117</v>
      </c>
      <c r="J122" t="s">
        <v>2370</v>
      </c>
    </row>
    <row r="123" spans="1:10" x14ac:dyDescent="0.35">
      <c r="I123" t="s">
        <v>17</v>
      </c>
      <c r="J123" t="s">
        <v>2371</v>
      </c>
    </row>
    <row r="124" spans="1:10" x14ac:dyDescent="0.35">
      <c r="I124" s="38" t="s">
        <v>1249</v>
      </c>
      <c r="J124" s="22" t="s">
        <v>2372</v>
      </c>
    </row>
    <row r="125" spans="1:10" x14ac:dyDescent="0.35">
      <c r="J125" s="36" t="s">
        <v>2373</v>
      </c>
    </row>
    <row r="126" spans="1:10" x14ac:dyDescent="0.35">
      <c r="A126" s="33" t="s">
        <v>2374</v>
      </c>
      <c r="B126" s="25" t="s">
        <v>3</v>
      </c>
      <c r="C126" t="s">
        <v>43</v>
      </c>
      <c r="D126" t="s">
        <v>1783</v>
      </c>
      <c r="E126" s="40" t="s">
        <v>72</v>
      </c>
      <c r="F126" s="33" t="s">
        <v>2221</v>
      </c>
      <c r="G126" s="33" t="s">
        <v>2222</v>
      </c>
      <c r="H126" t="s">
        <v>1716</v>
      </c>
      <c r="I126" s="1" t="s">
        <v>2183</v>
      </c>
      <c r="J126" s="3" t="s">
        <v>2240</v>
      </c>
    </row>
    <row r="127" spans="1:10" x14ac:dyDescent="0.35">
      <c r="E127" s="15"/>
      <c r="I127" t="s">
        <v>784</v>
      </c>
      <c r="J127" t="s">
        <v>2375</v>
      </c>
    </row>
    <row r="128" spans="1:10" x14ac:dyDescent="0.35">
      <c r="I128" t="s">
        <v>785</v>
      </c>
      <c r="J128" t="s">
        <v>2376</v>
      </c>
    </row>
    <row r="129" spans="1:10" x14ac:dyDescent="0.35">
      <c r="I129" t="s">
        <v>120</v>
      </c>
      <c r="J129" t="s">
        <v>2377</v>
      </c>
    </row>
    <row r="130" spans="1:10" x14ac:dyDescent="0.35">
      <c r="I130" t="s">
        <v>122</v>
      </c>
      <c r="J130" t="s">
        <v>2378</v>
      </c>
    </row>
    <row r="131" spans="1:10" x14ac:dyDescent="0.35">
      <c r="I131" t="s">
        <v>112</v>
      </c>
      <c r="J131" t="s">
        <v>2379</v>
      </c>
    </row>
    <row r="132" spans="1:10" x14ac:dyDescent="0.35">
      <c r="I132" t="s">
        <v>116</v>
      </c>
      <c r="J132" t="s">
        <v>2380</v>
      </c>
    </row>
    <row r="133" spans="1:10" x14ac:dyDescent="0.35">
      <c r="I133" t="s">
        <v>117</v>
      </c>
      <c r="J133" t="s">
        <v>2381</v>
      </c>
    </row>
    <row r="134" spans="1:10" x14ac:dyDescent="0.35">
      <c r="I134" t="s">
        <v>17</v>
      </c>
      <c r="J134" s="22" t="s">
        <v>2382</v>
      </c>
    </row>
    <row r="135" spans="1:10" x14ac:dyDescent="0.35">
      <c r="I135" s="38" t="s">
        <v>18</v>
      </c>
      <c r="J135" s="36" t="s">
        <v>2383</v>
      </c>
    </row>
    <row r="136" spans="1:10" x14ac:dyDescent="0.35">
      <c r="A136" s="33" t="s">
        <v>2384</v>
      </c>
      <c r="B136" s="25" t="s">
        <v>3</v>
      </c>
      <c r="C136" t="s">
        <v>43</v>
      </c>
      <c r="D136" t="s">
        <v>760</v>
      </c>
      <c r="E136" s="40" t="s">
        <v>72</v>
      </c>
      <c r="F136" s="33" t="s">
        <v>2385</v>
      </c>
      <c r="G136" s="33" t="s">
        <v>2397</v>
      </c>
      <c r="H136" t="s">
        <v>771</v>
      </c>
      <c r="I136" s="1" t="s">
        <v>2221</v>
      </c>
      <c r="J136" s="3" t="s">
        <v>2396</v>
      </c>
    </row>
    <row r="137" spans="1:10" x14ac:dyDescent="0.35">
      <c r="E137" s="15"/>
      <c r="I137" s="25" t="s">
        <v>2183</v>
      </c>
      <c r="J137" t="s">
        <v>2386</v>
      </c>
    </row>
    <row r="138" spans="1:10" x14ac:dyDescent="0.35">
      <c r="I138" t="s">
        <v>784</v>
      </c>
      <c r="J138" t="s">
        <v>2388</v>
      </c>
    </row>
    <row r="139" spans="1:10" x14ac:dyDescent="0.35">
      <c r="I139" t="s">
        <v>785</v>
      </c>
      <c r="J139" t="s">
        <v>2387</v>
      </c>
    </row>
    <row r="140" spans="1:10" x14ac:dyDescent="0.35">
      <c r="I140" t="s">
        <v>120</v>
      </c>
      <c r="J140" t="s">
        <v>2389</v>
      </c>
    </row>
    <row r="141" spans="1:10" x14ac:dyDescent="0.35">
      <c r="I141" t="s">
        <v>122</v>
      </c>
      <c r="J141" t="s">
        <v>2390</v>
      </c>
    </row>
    <row r="142" spans="1:10" x14ac:dyDescent="0.35">
      <c r="I142" t="s">
        <v>112</v>
      </c>
      <c r="J142" t="s">
        <v>2391</v>
      </c>
    </row>
    <row r="143" spans="1:10" x14ac:dyDescent="0.35">
      <c r="I143" t="s">
        <v>116</v>
      </c>
      <c r="J143" s="22" t="s">
        <v>2392</v>
      </c>
    </row>
    <row r="144" spans="1:10" x14ac:dyDescent="0.35">
      <c r="I144" t="s">
        <v>117</v>
      </c>
      <c r="J144" t="s">
        <v>2393</v>
      </c>
    </row>
    <row r="145" spans="1:10" x14ac:dyDescent="0.35">
      <c r="I145" t="s">
        <v>17</v>
      </c>
      <c r="J145" t="s">
        <v>2394</v>
      </c>
    </row>
    <row r="146" spans="1:10" x14ac:dyDescent="0.35">
      <c r="I146" s="38" t="s">
        <v>1249</v>
      </c>
      <c r="J146" s="36" t="s">
        <v>2395</v>
      </c>
    </row>
    <row r="147" spans="1:10" x14ac:dyDescent="0.35">
      <c r="A147" s="33" t="s">
        <v>2398</v>
      </c>
      <c r="B147" s="25" t="s">
        <v>3</v>
      </c>
      <c r="C147" t="s">
        <v>43</v>
      </c>
      <c r="D147" t="s">
        <v>1783</v>
      </c>
      <c r="E147" s="40" t="s">
        <v>65</v>
      </c>
      <c r="F147" s="33" t="s">
        <v>2221</v>
      </c>
      <c r="G147" s="33" t="s">
        <v>2222</v>
      </c>
      <c r="H147" t="s">
        <v>1716</v>
      </c>
      <c r="I147" s="1" t="s">
        <v>2183</v>
      </c>
      <c r="J147" s="3" t="s">
        <v>2240</v>
      </c>
    </row>
    <row r="148" spans="1:10" x14ac:dyDescent="0.35">
      <c r="E148" s="15"/>
      <c r="I148" t="s">
        <v>784</v>
      </c>
      <c r="J148" t="s">
        <v>2240</v>
      </c>
    </row>
    <row r="149" spans="1:10" x14ac:dyDescent="0.35">
      <c r="I149" t="s">
        <v>785</v>
      </c>
      <c r="J149" t="s">
        <v>2399</v>
      </c>
    </row>
    <row r="150" spans="1:10" x14ac:dyDescent="0.35">
      <c r="I150" t="s">
        <v>120</v>
      </c>
      <c r="J150" t="s">
        <v>2400</v>
      </c>
    </row>
    <row r="151" spans="1:10" x14ac:dyDescent="0.35">
      <c r="I151" t="s">
        <v>122</v>
      </c>
      <c r="J151" t="s">
        <v>2401</v>
      </c>
    </row>
    <row r="152" spans="1:10" x14ac:dyDescent="0.35">
      <c r="I152" t="s">
        <v>112</v>
      </c>
      <c r="J152" t="s">
        <v>2402</v>
      </c>
    </row>
    <row r="153" spans="1:10" x14ac:dyDescent="0.35">
      <c r="I153" t="s">
        <v>116</v>
      </c>
      <c r="J153" t="s">
        <v>2403</v>
      </c>
    </row>
    <row r="154" spans="1:10" x14ac:dyDescent="0.35">
      <c r="I154" t="s">
        <v>117</v>
      </c>
      <c r="J154" t="s">
        <v>2403</v>
      </c>
    </row>
    <row r="155" spans="1:10" x14ac:dyDescent="0.35">
      <c r="I155" t="s">
        <v>17</v>
      </c>
      <c r="J155" s="22" t="s">
        <v>2404</v>
      </c>
    </row>
    <row r="156" spans="1:10" x14ac:dyDescent="0.35">
      <c r="I156" s="38" t="s">
        <v>18</v>
      </c>
      <c r="J156" t="s">
        <v>2403</v>
      </c>
    </row>
    <row r="157" spans="1:10" x14ac:dyDescent="0.35">
      <c r="J157" s="38" t="s">
        <v>2405</v>
      </c>
    </row>
    <row r="158" spans="1:10" x14ac:dyDescent="0.35">
      <c r="A158" s="33" t="s">
        <v>2211</v>
      </c>
      <c r="B158" s="25" t="s">
        <v>3</v>
      </c>
      <c r="C158" t="s">
        <v>43</v>
      </c>
      <c r="D158" t="s">
        <v>656</v>
      </c>
      <c r="E158" s="34" t="s">
        <v>89</v>
      </c>
      <c r="F158" s="33" t="s">
        <v>2183</v>
      </c>
      <c r="G158" s="33" t="s">
        <v>2184</v>
      </c>
      <c r="H158" t="s">
        <v>91</v>
      </c>
      <c r="I158" s="1" t="s">
        <v>784</v>
      </c>
      <c r="J158" s="3" t="s">
        <v>2185</v>
      </c>
    </row>
    <row r="159" spans="1:10" x14ac:dyDescent="0.35">
      <c r="E159" s="17"/>
      <c r="I159" t="s">
        <v>785</v>
      </c>
      <c r="J159" t="s">
        <v>2186</v>
      </c>
    </row>
    <row r="160" spans="1:10" x14ac:dyDescent="0.35">
      <c r="I160" t="s">
        <v>120</v>
      </c>
      <c r="J160" t="s">
        <v>2212</v>
      </c>
    </row>
    <row r="161" spans="1:10" x14ac:dyDescent="0.35">
      <c r="I161" t="s">
        <v>122</v>
      </c>
      <c r="J161" t="s">
        <v>2213</v>
      </c>
    </row>
    <row r="162" spans="1:10" x14ac:dyDescent="0.35">
      <c r="I162" t="s">
        <v>112</v>
      </c>
      <c r="J162" t="s">
        <v>2214</v>
      </c>
    </row>
    <row r="163" spans="1:10" x14ac:dyDescent="0.35">
      <c r="I163" t="s">
        <v>116</v>
      </c>
      <c r="J163" t="s">
        <v>2215</v>
      </c>
    </row>
    <row r="164" spans="1:10" x14ac:dyDescent="0.35">
      <c r="I164" t="s">
        <v>117</v>
      </c>
      <c r="J164" t="s">
        <v>2216</v>
      </c>
    </row>
    <row r="165" spans="1:10" x14ac:dyDescent="0.35">
      <c r="I165" t="s">
        <v>17</v>
      </c>
      <c r="J165" t="s">
        <v>2217</v>
      </c>
    </row>
    <row r="166" spans="1:10" x14ac:dyDescent="0.35">
      <c r="I166" s="38" t="s">
        <v>18</v>
      </c>
      <c r="J166" s="22" t="s">
        <v>2218</v>
      </c>
    </row>
    <row r="167" spans="1:10" x14ac:dyDescent="0.35">
      <c r="J167" t="s">
        <v>2219</v>
      </c>
    </row>
    <row r="168" spans="1:10" x14ac:dyDescent="0.35">
      <c r="J168" s="36" t="s">
        <v>2211</v>
      </c>
    </row>
    <row r="169" spans="1:10" x14ac:dyDescent="0.35">
      <c r="A169" s="33" t="s">
        <v>2220</v>
      </c>
      <c r="B169" s="25" t="s">
        <v>3</v>
      </c>
      <c r="C169" t="s">
        <v>43</v>
      </c>
      <c r="D169" t="s">
        <v>1783</v>
      </c>
      <c r="E169" s="34" t="s">
        <v>89</v>
      </c>
      <c r="F169" s="33" t="s">
        <v>2221</v>
      </c>
      <c r="G169" s="33" t="s">
        <v>2222</v>
      </c>
      <c r="H169" t="s">
        <v>1716</v>
      </c>
      <c r="I169" s="1" t="s">
        <v>2183</v>
      </c>
      <c r="J169" s="3" t="s">
        <v>2223</v>
      </c>
    </row>
    <row r="170" spans="1:10" x14ac:dyDescent="0.35">
      <c r="E170" s="17"/>
      <c r="I170" t="s">
        <v>784</v>
      </c>
      <c r="J170" t="s">
        <v>2224</v>
      </c>
    </row>
    <row r="171" spans="1:10" x14ac:dyDescent="0.35">
      <c r="I171" t="s">
        <v>785</v>
      </c>
      <c r="J171" t="s">
        <v>2225</v>
      </c>
    </row>
    <row r="172" spans="1:10" x14ac:dyDescent="0.35">
      <c r="I172" t="s">
        <v>120</v>
      </c>
      <c r="J172" t="s">
        <v>784</v>
      </c>
    </row>
    <row r="173" spans="1:10" x14ac:dyDescent="0.35">
      <c r="I173" t="s">
        <v>122</v>
      </c>
      <c r="J173" t="s">
        <v>2226</v>
      </c>
    </row>
    <row r="174" spans="1:10" x14ac:dyDescent="0.35">
      <c r="I174" t="s">
        <v>112</v>
      </c>
      <c r="J174" t="s">
        <v>2227</v>
      </c>
    </row>
    <row r="175" spans="1:10" x14ac:dyDescent="0.35">
      <c r="I175" t="s">
        <v>116</v>
      </c>
      <c r="J175" t="s">
        <v>2228</v>
      </c>
    </row>
    <row r="176" spans="1:10" x14ac:dyDescent="0.35">
      <c r="I176" t="s">
        <v>117</v>
      </c>
      <c r="J176" t="s">
        <v>2229</v>
      </c>
    </row>
    <row r="177" spans="1:10" x14ac:dyDescent="0.35">
      <c r="I177" t="s">
        <v>17</v>
      </c>
      <c r="J177" s="22" t="s">
        <v>2230</v>
      </c>
    </row>
    <row r="178" spans="1:10" x14ac:dyDescent="0.35">
      <c r="I178" s="38" t="s">
        <v>18</v>
      </c>
      <c r="J178" s="36" t="s">
        <v>2231</v>
      </c>
    </row>
    <row r="179" spans="1:10" x14ac:dyDescent="0.35">
      <c r="A179" s="33" t="s">
        <v>2232</v>
      </c>
      <c r="B179" s="25" t="s">
        <v>3</v>
      </c>
      <c r="C179" t="s">
        <v>43</v>
      </c>
      <c r="D179" t="s">
        <v>1833</v>
      </c>
      <c r="E179" s="34" t="s">
        <v>89</v>
      </c>
      <c r="F179" s="33" t="s">
        <v>2221</v>
      </c>
      <c r="G179" s="33" t="s">
        <v>2222</v>
      </c>
      <c r="H179" t="s">
        <v>1716</v>
      </c>
      <c r="I179" s="1" t="s">
        <v>2183</v>
      </c>
      <c r="J179" s="3" t="s">
        <v>2223</v>
      </c>
    </row>
    <row r="180" spans="1:10" x14ac:dyDescent="0.35">
      <c r="E180" s="17"/>
      <c r="I180" t="s">
        <v>784</v>
      </c>
      <c r="J180" t="s">
        <v>2224</v>
      </c>
    </row>
    <row r="181" spans="1:10" x14ac:dyDescent="0.35">
      <c r="I181" t="s">
        <v>785</v>
      </c>
      <c r="J181" t="s">
        <v>2225</v>
      </c>
    </row>
    <row r="182" spans="1:10" x14ac:dyDescent="0.35">
      <c r="I182" t="s">
        <v>120</v>
      </c>
      <c r="J182" t="s">
        <v>2225</v>
      </c>
    </row>
    <row r="183" spans="1:10" x14ac:dyDescent="0.35">
      <c r="I183" t="s">
        <v>122</v>
      </c>
      <c r="J183" t="s">
        <v>2233</v>
      </c>
    </row>
    <row r="184" spans="1:10" x14ac:dyDescent="0.35">
      <c r="I184" t="s">
        <v>112</v>
      </c>
      <c r="J184" t="s">
        <v>2234</v>
      </c>
    </row>
    <row r="185" spans="1:10" x14ac:dyDescent="0.35">
      <c r="I185" t="s">
        <v>116</v>
      </c>
      <c r="J185" t="s">
        <v>2235</v>
      </c>
    </row>
    <row r="186" spans="1:10" x14ac:dyDescent="0.35">
      <c r="I186" t="s">
        <v>117</v>
      </c>
      <c r="J186" t="s">
        <v>2236</v>
      </c>
    </row>
    <row r="187" spans="1:10" x14ac:dyDescent="0.35">
      <c r="I187" t="s">
        <v>17</v>
      </c>
      <c r="J187" s="22" t="s">
        <v>2237</v>
      </c>
    </row>
    <row r="188" spans="1:10" x14ac:dyDescent="0.35">
      <c r="I188" s="38" t="s">
        <v>18</v>
      </c>
      <c r="J188" t="s">
        <v>2238</v>
      </c>
    </row>
    <row r="189" spans="1:10" x14ac:dyDescent="0.35">
      <c r="J189" s="36" t="s">
        <v>2232</v>
      </c>
    </row>
    <row r="190" spans="1:10" x14ac:dyDescent="0.35">
      <c r="A190" s="33" t="s">
        <v>2239</v>
      </c>
      <c r="B190" s="25" t="s">
        <v>3</v>
      </c>
      <c r="C190" t="s">
        <v>43</v>
      </c>
      <c r="D190" t="s">
        <v>1833</v>
      </c>
      <c r="E190" s="34" t="s">
        <v>89</v>
      </c>
      <c r="F190" s="33" t="s">
        <v>2221</v>
      </c>
      <c r="G190" s="33" t="s">
        <v>2222</v>
      </c>
      <c r="H190" t="s">
        <v>1716</v>
      </c>
      <c r="I190" s="1" t="s">
        <v>2183</v>
      </c>
      <c r="J190" s="3" t="s">
        <v>2240</v>
      </c>
    </row>
    <row r="191" spans="1:10" x14ac:dyDescent="0.35">
      <c r="E191" s="17"/>
      <c r="I191" t="s">
        <v>784</v>
      </c>
      <c r="J191" t="s">
        <v>2240</v>
      </c>
    </row>
    <row r="192" spans="1:10" x14ac:dyDescent="0.35">
      <c r="I192" t="s">
        <v>785</v>
      </c>
      <c r="J192" t="s">
        <v>2241</v>
      </c>
    </row>
    <row r="193" spans="1:10" x14ac:dyDescent="0.35">
      <c r="I193" t="s">
        <v>120</v>
      </c>
      <c r="J193" t="s">
        <v>2242</v>
      </c>
    </row>
    <row r="194" spans="1:10" x14ac:dyDescent="0.35">
      <c r="I194" t="s">
        <v>122</v>
      </c>
      <c r="J194" t="s">
        <v>2243</v>
      </c>
    </row>
    <row r="195" spans="1:10" x14ac:dyDescent="0.35">
      <c r="I195" t="s">
        <v>112</v>
      </c>
      <c r="J195" t="s">
        <v>2244</v>
      </c>
    </row>
    <row r="196" spans="1:10" x14ac:dyDescent="0.35">
      <c r="I196" t="s">
        <v>116</v>
      </c>
      <c r="J196" t="s">
        <v>2245</v>
      </c>
    </row>
    <row r="197" spans="1:10" x14ac:dyDescent="0.35">
      <c r="I197" t="s">
        <v>117</v>
      </c>
      <c r="J197" t="s">
        <v>2246</v>
      </c>
    </row>
    <row r="198" spans="1:10" x14ac:dyDescent="0.35">
      <c r="I198" t="s">
        <v>17</v>
      </c>
      <c r="J198" s="8" t="s">
        <v>2247</v>
      </c>
    </row>
    <row r="199" spans="1:10" x14ac:dyDescent="0.35">
      <c r="I199" s="38" t="s">
        <v>18</v>
      </c>
      <c r="J199" s="8" t="s">
        <v>2248</v>
      </c>
    </row>
    <row r="200" spans="1:10" x14ac:dyDescent="0.35">
      <c r="J200" s="36" t="s">
        <v>2249</v>
      </c>
    </row>
    <row r="201" spans="1:10" x14ac:dyDescent="0.35">
      <c r="A201" s="33" t="s">
        <v>3966</v>
      </c>
      <c r="B201" s="25" t="s">
        <v>3</v>
      </c>
      <c r="C201" t="s">
        <v>43</v>
      </c>
      <c r="D201" t="s">
        <v>2538</v>
      </c>
      <c r="E201" s="34" t="s">
        <v>89</v>
      </c>
      <c r="F201" s="33" t="s">
        <v>2221</v>
      </c>
      <c r="G201" s="33" t="s">
        <v>2222</v>
      </c>
      <c r="H201" t="s">
        <v>1716</v>
      </c>
      <c r="I201" s="1" t="s">
        <v>2183</v>
      </c>
      <c r="J201" s="3" t="s">
        <v>2223</v>
      </c>
    </row>
    <row r="202" spans="1:10" x14ac:dyDescent="0.35">
      <c r="E202" s="17"/>
      <c r="I202" t="s">
        <v>784</v>
      </c>
      <c r="J202" t="s">
        <v>2224</v>
      </c>
    </row>
    <row r="203" spans="1:10" x14ac:dyDescent="0.35">
      <c r="I203" t="s">
        <v>785</v>
      </c>
      <c r="J203" t="s">
        <v>2225</v>
      </c>
    </row>
    <row r="204" spans="1:10" x14ac:dyDescent="0.35">
      <c r="I204" t="s">
        <v>120</v>
      </c>
      <c r="J204" t="s">
        <v>784</v>
      </c>
    </row>
    <row r="205" spans="1:10" x14ac:dyDescent="0.35">
      <c r="I205" t="s">
        <v>122</v>
      </c>
      <c r="J205" t="s">
        <v>2226</v>
      </c>
    </row>
    <row r="206" spans="1:10" x14ac:dyDescent="0.35">
      <c r="I206" t="s">
        <v>112</v>
      </c>
      <c r="J206" t="s">
        <v>2227</v>
      </c>
    </row>
    <row r="207" spans="1:10" x14ac:dyDescent="0.35">
      <c r="I207" t="s">
        <v>116</v>
      </c>
      <c r="J207" t="s">
        <v>2228</v>
      </c>
    </row>
    <row r="208" spans="1:10" x14ac:dyDescent="0.35">
      <c r="I208" t="s">
        <v>117</v>
      </c>
      <c r="J208" t="s">
        <v>3967</v>
      </c>
    </row>
    <row r="209" spans="1:10" x14ac:dyDescent="0.35">
      <c r="I209" t="s">
        <v>17</v>
      </c>
      <c r="J209" t="s">
        <v>2230</v>
      </c>
    </row>
    <row r="210" spans="1:10" x14ac:dyDescent="0.35">
      <c r="I210" s="38" t="s">
        <v>18</v>
      </c>
      <c r="J210" t="s">
        <v>3968</v>
      </c>
    </row>
    <row r="211" spans="1:10" x14ac:dyDescent="0.35">
      <c r="J211" s="36" t="s">
        <v>3969</v>
      </c>
    </row>
    <row r="212" spans="1:10" x14ac:dyDescent="0.35">
      <c r="A212" s="33" t="s">
        <v>2250</v>
      </c>
      <c r="B212" s="25" t="s">
        <v>3</v>
      </c>
      <c r="C212" t="s">
        <v>43</v>
      </c>
      <c r="D212" t="s">
        <v>1833</v>
      </c>
      <c r="E212" s="34" t="s">
        <v>89</v>
      </c>
      <c r="F212" s="33" t="s">
        <v>2221</v>
      </c>
      <c r="G212" s="33" t="s">
        <v>2222</v>
      </c>
      <c r="H212" t="s">
        <v>1716</v>
      </c>
      <c r="I212" s="1" t="s">
        <v>2183</v>
      </c>
      <c r="J212" s="3" t="s">
        <v>2223</v>
      </c>
    </row>
    <row r="213" spans="1:10" x14ac:dyDescent="0.35">
      <c r="E213" s="17"/>
      <c r="I213" t="s">
        <v>784</v>
      </c>
      <c r="J213" t="s">
        <v>2224</v>
      </c>
    </row>
    <row r="214" spans="1:10" x14ac:dyDescent="0.35">
      <c r="I214" t="s">
        <v>785</v>
      </c>
      <c r="J214" t="s">
        <v>2225</v>
      </c>
    </row>
    <row r="215" spans="1:10" x14ac:dyDescent="0.35">
      <c r="I215" t="s">
        <v>120</v>
      </c>
      <c r="J215" t="s">
        <v>2225</v>
      </c>
    </row>
    <row r="216" spans="1:10" x14ac:dyDescent="0.35">
      <c r="I216" t="s">
        <v>122</v>
      </c>
      <c r="J216" t="s">
        <v>2251</v>
      </c>
    </row>
    <row r="217" spans="1:10" x14ac:dyDescent="0.35">
      <c r="I217" t="s">
        <v>112</v>
      </c>
      <c r="J217" t="s">
        <v>2252</v>
      </c>
    </row>
    <row r="218" spans="1:10" x14ac:dyDescent="0.35">
      <c r="I218" t="s">
        <v>116</v>
      </c>
      <c r="J218" t="s">
        <v>2253</v>
      </c>
    </row>
    <row r="219" spans="1:10" x14ac:dyDescent="0.35">
      <c r="I219" t="s">
        <v>117</v>
      </c>
      <c r="J219" t="s">
        <v>2254</v>
      </c>
    </row>
    <row r="220" spans="1:10" x14ac:dyDescent="0.35">
      <c r="I220" t="s">
        <v>17</v>
      </c>
      <c r="J220" s="8" t="s">
        <v>2255</v>
      </c>
    </row>
    <row r="221" spans="1:10" x14ac:dyDescent="0.35">
      <c r="I221" s="38" t="s">
        <v>18</v>
      </c>
      <c r="J221" s="8" t="s">
        <v>2256</v>
      </c>
    </row>
    <row r="222" spans="1:10" x14ac:dyDescent="0.35">
      <c r="J222" s="36" t="s">
        <v>2257</v>
      </c>
    </row>
    <row r="223" spans="1:10" x14ac:dyDescent="0.35">
      <c r="A223" s="33" t="s">
        <v>2313</v>
      </c>
      <c r="B223" s="25" t="s">
        <v>3</v>
      </c>
      <c r="C223" t="s">
        <v>43</v>
      </c>
      <c r="D223" t="s">
        <v>1065</v>
      </c>
      <c r="E223" s="34" t="s">
        <v>44</v>
      </c>
      <c r="F223" s="33" t="s">
        <v>2183</v>
      </c>
      <c r="G223" s="33" t="s">
        <v>2184</v>
      </c>
      <c r="H223" t="s">
        <v>91</v>
      </c>
      <c r="I223" s="1" t="s">
        <v>784</v>
      </c>
      <c r="J223" s="3" t="s">
        <v>2303</v>
      </c>
    </row>
    <row r="224" spans="1:10" x14ac:dyDescent="0.35">
      <c r="E224" s="17"/>
      <c r="I224" t="s">
        <v>785</v>
      </c>
      <c r="J224" t="s">
        <v>2171</v>
      </c>
    </row>
    <row r="225" spans="1:10" x14ac:dyDescent="0.35">
      <c r="I225" t="s">
        <v>120</v>
      </c>
      <c r="J225" t="s">
        <v>2171</v>
      </c>
    </row>
    <row r="226" spans="1:10" x14ac:dyDescent="0.35">
      <c r="I226" t="s">
        <v>122</v>
      </c>
      <c r="J226" t="s">
        <v>2314</v>
      </c>
    </row>
    <row r="227" spans="1:10" x14ac:dyDescent="0.35">
      <c r="I227" t="s">
        <v>112</v>
      </c>
      <c r="J227" t="s">
        <v>2315</v>
      </c>
    </row>
    <row r="228" spans="1:10" x14ac:dyDescent="0.35">
      <c r="I228" t="s">
        <v>116</v>
      </c>
      <c r="J228" t="s">
        <v>2316</v>
      </c>
    </row>
    <row r="229" spans="1:10" x14ac:dyDescent="0.35">
      <c r="I229" t="s">
        <v>117</v>
      </c>
      <c r="J229" t="s">
        <v>2317</v>
      </c>
    </row>
    <row r="230" spans="1:10" x14ac:dyDescent="0.35">
      <c r="I230" t="s">
        <v>17</v>
      </c>
      <c r="J230" t="s">
        <v>2318</v>
      </c>
    </row>
    <row r="231" spans="1:10" x14ac:dyDescent="0.35">
      <c r="I231" s="38" t="s">
        <v>18</v>
      </c>
      <c r="J231" s="22" t="s">
        <v>2319</v>
      </c>
    </row>
    <row r="232" spans="1:10" x14ac:dyDescent="0.35">
      <c r="J232" s="36" t="s">
        <v>2320</v>
      </c>
    </row>
    <row r="233" spans="1:10" x14ac:dyDescent="0.35">
      <c r="A233" s="33" t="s">
        <v>2268</v>
      </c>
      <c r="B233" s="25" t="s">
        <v>3</v>
      </c>
      <c r="C233" t="s">
        <v>43</v>
      </c>
      <c r="D233" t="s">
        <v>1833</v>
      </c>
      <c r="E233" s="34" t="s">
        <v>44</v>
      </c>
      <c r="F233" s="33" t="s">
        <v>2221</v>
      </c>
      <c r="G233" s="33" t="s">
        <v>2222</v>
      </c>
      <c r="H233" t="s">
        <v>1716</v>
      </c>
      <c r="I233" s="1" t="s">
        <v>2183</v>
      </c>
      <c r="J233" s="3" t="s">
        <v>2223</v>
      </c>
    </row>
    <row r="234" spans="1:10" x14ac:dyDescent="0.35">
      <c r="I234" t="s">
        <v>784</v>
      </c>
      <c r="J234" t="s">
        <v>784</v>
      </c>
    </row>
    <row r="235" spans="1:10" x14ac:dyDescent="0.35">
      <c r="I235" t="s">
        <v>785</v>
      </c>
      <c r="J235" t="s">
        <v>2269</v>
      </c>
    </row>
    <row r="236" spans="1:10" x14ac:dyDescent="0.35">
      <c r="I236" t="s">
        <v>120</v>
      </c>
      <c r="J236" t="s">
        <v>2270</v>
      </c>
    </row>
    <row r="237" spans="1:10" x14ac:dyDescent="0.35">
      <c r="I237" t="s">
        <v>122</v>
      </c>
      <c r="J237" t="s">
        <v>2271</v>
      </c>
    </row>
    <row r="238" spans="1:10" x14ac:dyDescent="0.35">
      <c r="I238" t="s">
        <v>112</v>
      </c>
      <c r="J238" t="s">
        <v>2272</v>
      </c>
    </row>
    <row r="239" spans="1:10" x14ac:dyDescent="0.35">
      <c r="I239" t="s">
        <v>116</v>
      </c>
      <c r="J239" t="s">
        <v>2273</v>
      </c>
    </row>
    <row r="240" spans="1:10" x14ac:dyDescent="0.35">
      <c r="I240" t="s">
        <v>117</v>
      </c>
      <c r="J240" t="s">
        <v>2274</v>
      </c>
    </row>
    <row r="241" spans="1:10" x14ac:dyDescent="0.35">
      <c r="I241" t="s">
        <v>17</v>
      </c>
      <c r="J241" s="8" t="s">
        <v>2275</v>
      </c>
    </row>
    <row r="242" spans="1:10" x14ac:dyDescent="0.35">
      <c r="I242" s="38" t="s">
        <v>18</v>
      </c>
      <c r="J242" s="36" t="s">
        <v>2276</v>
      </c>
    </row>
    <row r="243" spans="1:10" x14ac:dyDescent="0.35">
      <c r="A243" s="33" t="s">
        <v>2302</v>
      </c>
      <c r="B243" s="25" t="s">
        <v>3</v>
      </c>
      <c r="C243" t="s">
        <v>43</v>
      </c>
      <c r="D243" t="s">
        <v>1833</v>
      </c>
      <c r="E243" s="34" t="s">
        <v>44</v>
      </c>
      <c r="F243" s="33" t="s">
        <v>2221</v>
      </c>
      <c r="G243" s="33" t="s">
        <v>2222</v>
      </c>
      <c r="H243" t="s">
        <v>1716</v>
      </c>
      <c r="I243" s="1" t="s">
        <v>2183</v>
      </c>
      <c r="J243" s="3" t="s">
        <v>2223</v>
      </c>
    </row>
    <row r="244" spans="1:10" x14ac:dyDescent="0.35">
      <c r="E244" s="17"/>
      <c r="I244" t="s">
        <v>784</v>
      </c>
      <c r="J244" t="s">
        <v>2303</v>
      </c>
    </row>
    <row r="245" spans="1:10" x14ac:dyDescent="0.35">
      <c r="I245" t="s">
        <v>785</v>
      </c>
      <c r="J245" t="s">
        <v>2304</v>
      </c>
    </row>
    <row r="246" spans="1:10" x14ac:dyDescent="0.35">
      <c r="I246" t="s">
        <v>120</v>
      </c>
      <c r="J246" t="s">
        <v>2304</v>
      </c>
    </row>
    <row r="247" spans="1:10" x14ac:dyDescent="0.35">
      <c r="I247" t="s">
        <v>122</v>
      </c>
      <c r="J247" t="s">
        <v>2305</v>
      </c>
    </row>
    <row r="248" spans="1:10" x14ac:dyDescent="0.35">
      <c r="I248" t="s">
        <v>112</v>
      </c>
      <c r="J248" t="s">
        <v>2306</v>
      </c>
    </row>
    <row r="249" spans="1:10" x14ac:dyDescent="0.35">
      <c r="I249" t="s">
        <v>116</v>
      </c>
      <c r="J249" t="s">
        <v>2307</v>
      </c>
    </row>
    <row r="250" spans="1:10" x14ac:dyDescent="0.35">
      <c r="I250" t="s">
        <v>117</v>
      </c>
      <c r="J250" t="s">
        <v>2308</v>
      </c>
    </row>
    <row r="251" spans="1:10" x14ac:dyDescent="0.35">
      <c r="I251" t="s">
        <v>17</v>
      </c>
      <c r="J251" s="8" t="s">
        <v>2309</v>
      </c>
    </row>
    <row r="252" spans="1:10" x14ac:dyDescent="0.35">
      <c r="I252" s="38" t="s">
        <v>18</v>
      </c>
      <c r="J252" s="36" t="s">
        <v>2310</v>
      </c>
    </row>
  </sheetData>
  <autoFilter ref="E1:E252" xr:uid="{A6251E1C-9C44-4F6B-A0C2-0A26AB339446}"/>
  <hyperlinks>
    <hyperlink ref="A1" location="Summary!A1" tooltip="Return to Totals" display="Back to Totals" xr:uid="{E82E7A3E-87B8-47CB-994A-6B9C2C35CC11}"/>
    <hyperlink ref="I12" r:id="rId1" xr:uid="{AA3BEE07-7485-4BE3-B0E6-51622E5DB325}"/>
    <hyperlink ref="I23" r:id="rId2" display="Simon Leigh Robertson" xr:uid="{D3A018E5-9D87-415C-AE83-62EE8039E3AD}"/>
    <hyperlink ref="I42" r:id="rId3" xr:uid="{E586F3F6-EF36-42F1-BE74-169A6A820FD5}"/>
    <hyperlink ref="I51" r:id="rId4" xr:uid="{3035832B-6623-4ED0-A2D8-5D4800C0F23D}"/>
    <hyperlink ref="I72" r:id="rId5" xr:uid="{7DC7A238-93E0-46D4-A2D9-BE987F8CCF9E}"/>
    <hyperlink ref="I135" r:id="rId6" xr:uid="{8B906AAF-943A-4592-80E2-BCEC1934F20C}"/>
    <hyperlink ref="I146" r:id="rId7" display="Simon Leigh Robertson" xr:uid="{AED63340-BCBA-408C-A6C6-459E86678D85}"/>
    <hyperlink ref="I156" r:id="rId8" xr:uid="{583FA590-93E5-41A1-838A-9822586B79FB}"/>
    <hyperlink ref="I166" r:id="rId9" xr:uid="{E53A2CBB-AE78-4967-B3F8-D7881E2AA9F3}"/>
    <hyperlink ref="I178" r:id="rId10" xr:uid="{974DACD9-CF07-4B9D-97CD-A26D8B1F067C}"/>
    <hyperlink ref="I188" r:id="rId11" xr:uid="{E35BD15C-D60C-4574-8372-1F6E4106C9FD}"/>
    <hyperlink ref="I199" r:id="rId12" xr:uid="{17EBAC4F-D05E-4DAE-93AF-B9507D01AEF0}"/>
    <hyperlink ref="I221" r:id="rId13" xr:uid="{FAFB2BC9-594B-4D5C-9C14-8ACA3C92A4B9}"/>
    <hyperlink ref="I231" r:id="rId14" xr:uid="{4DE86A88-45CE-4A59-86CA-940D0E94116E}"/>
    <hyperlink ref="I242" r:id="rId15" xr:uid="{71CBFEAA-0A95-4B52-AFE8-8D2CD1942695}"/>
    <hyperlink ref="I252" r:id="rId16" xr:uid="{F24121F3-8E04-4A71-A8D7-848B8032710A}"/>
    <hyperlink ref="I81" r:id="rId17" xr:uid="{3E4285F8-FE29-4B9B-AD34-50A478123DDE}"/>
    <hyperlink ref="I93" r:id="rId18" xr:uid="{CB3CEC3E-A50A-469D-A870-2DD64007A4BC}"/>
    <hyperlink ref="I124" r:id="rId19" xr:uid="{CC6C21D1-9CFE-4FD2-B299-180812DDA939}"/>
    <hyperlink ref="F3" r:id="rId20" xr:uid="{FAEFBD1B-2CC1-44E9-BDA2-74C3085E9FBF}"/>
    <hyperlink ref="F14" r:id="rId21" xr:uid="{6425C070-1600-430D-8721-0A8861C773BB}"/>
    <hyperlink ref="F63" r:id="rId22" xr:uid="{7898BDB6-61F9-4EAE-B848-1516367B8751}"/>
    <hyperlink ref="F126" r:id="rId23" xr:uid="{7FDE2C2E-E323-47FD-9F41-BE6384CF5B06}"/>
    <hyperlink ref="F147" r:id="rId24" xr:uid="{1DBE8520-5D88-47A2-AC09-383FF0648185}"/>
    <hyperlink ref="F169" r:id="rId25" xr:uid="{603482FA-3ED4-4DD6-A2A2-68DD8C7C4CD5}"/>
    <hyperlink ref="F179" r:id="rId26" xr:uid="{F5F12C50-1647-4B6C-A894-2C9B7E63E787}"/>
    <hyperlink ref="F190" r:id="rId27" xr:uid="{93FC34B8-F230-4C25-A6F2-C8BF706F2319}"/>
    <hyperlink ref="F212" r:id="rId28" xr:uid="{3F5D30B7-9E40-412E-8011-A4833A348FCA}"/>
    <hyperlink ref="F233" r:id="rId29" xr:uid="{246802B0-A1CC-4501-A83D-AD260323368C}"/>
    <hyperlink ref="F243" r:id="rId30" xr:uid="{A4D39201-E5FA-4409-A317-80548C52EAF9}"/>
    <hyperlink ref="G243" r:id="rId31" xr:uid="{A01A1AA3-DB95-4BA8-8CA4-B859943EFDE7}"/>
    <hyperlink ref="G233" r:id="rId32" xr:uid="{4477AB9F-327D-45FF-9F6A-291D1B7AE71E}"/>
    <hyperlink ref="G212" r:id="rId33" xr:uid="{2EA9E931-94F7-42AD-BFFD-849E0EB6889F}"/>
    <hyperlink ref="G190" r:id="rId34" xr:uid="{B0167B61-72D6-4A8C-9ECC-3C9C6D9D6799}"/>
    <hyperlink ref="G179" r:id="rId35" xr:uid="{EDA5E16E-F649-4021-9177-5C175750B4AE}"/>
    <hyperlink ref="G169" r:id="rId36" xr:uid="{FEE6DA6E-D3F9-462D-9750-E9ABF35338F3}"/>
    <hyperlink ref="G147" r:id="rId37" xr:uid="{D61D96AB-804C-4AE8-B7E2-FAC4BB31ADEC}"/>
    <hyperlink ref="G126" r:id="rId38" xr:uid="{6495E2AF-5DBD-4D40-98DC-58A7EE207FD4}"/>
    <hyperlink ref="G63" r:id="rId39" xr:uid="{4546D869-0ABE-443B-B7C0-D8C64464EEF5}"/>
    <hyperlink ref="G14" r:id="rId40" xr:uid="{97553B7C-DFDC-489A-912E-14078B5CD258}"/>
    <hyperlink ref="G3" r:id="rId41" xr:uid="{462663C6-475C-484E-8838-1C40F3EA2A73}"/>
    <hyperlink ref="F34" r:id="rId42" xr:uid="{0EAAA609-E06F-4AB7-BE31-7824BAAB38B0}"/>
    <hyperlink ref="F43" r:id="rId43" xr:uid="{27D94540-34E8-4B5E-A6AB-F5CBBFBCCF44}"/>
    <hyperlink ref="F73" r:id="rId44" xr:uid="{320949D6-69CF-4A60-BFE4-424C51661513}"/>
    <hyperlink ref="F85" r:id="rId45" xr:uid="{646404E7-45D4-408E-83AE-0B2DFCE4ECE8}"/>
    <hyperlink ref="F116" r:id="rId46" xr:uid="{9FCF6185-7A70-4B28-AB8F-EE63106429BF}"/>
    <hyperlink ref="F158" r:id="rId47" xr:uid="{2E84B844-4D52-491E-8446-711FB7672C49}"/>
    <hyperlink ref="F223" r:id="rId48" xr:uid="{0F009ACF-B751-4CD0-B756-EB95FE62FBBC}"/>
    <hyperlink ref="G223" r:id="rId49" xr:uid="{6823FE86-EB46-4A5A-A151-225B663EFD02}"/>
    <hyperlink ref="G158" r:id="rId50" xr:uid="{8D2A8F0E-FFC5-47B9-921D-46A83565E6F3}"/>
    <hyperlink ref="G116" r:id="rId51" xr:uid="{BD907B9B-E071-41B1-B0F0-0174C2E58D72}"/>
    <hyperlink ref="G85" r:id="rId52" xr:uid="{369E272B-E790-46D2-812D-8FD19404582C}"/>
    <hyperlink ref="G73" r:id="rId53" xr:uid="{F9C8568D-0503-4AA0-B9B0-242E8F7CDFEE}"/>
    <hyperlink ref="G43" r:id="rId54" xr:uid="{2DBBE070-DE8B-4894-8E09-D766F9EDB28E}"/>
    <hyperlink ref="G34" r:id="rId55" xr:uid="{A77025C2-EF63-4A2F-B01F-62C695E31A1C}"/>
    <hyperlink ref="F136" r:id="rId56" xr:uid="{ABFA3BAC-E262-4956-885E-5E956D89F058}"/>
    <hyperlink ref="G136" r:id="rId57" xr:uid="{9B49640C-3E49-4D98-9B56-B2ACBD25A422}"/>
    <hyperlink ref="J13" r:id="rId58" xr:uid="{B61D0506-1864-4765-8E33-CE036138DAAE}"/>
    <hyperlink ref="J24" r:id="rId59" xr:uid="{12E64E97-B02B-43CF-836B-6732BA336122}"/>
    <hyperlink ref="J42" r:id="rId60" xr:uid="{48B886B3-7364-457E-B716-6BADE7D1A9D0}"/>
    <hyperlink ref="J71" r:id="rId61" xr:uid="{0E6621DF-B767-4F50-A93A-CF8098A54B2B}"/>
    <hyperlink ref="J84" r:id="rId62" xr:uid="{460E7BCC-4052-4949-9311-229B2B2ED178}"/>
    <hyperlink ref="A73" r:id="rId63" xr:uid="{B7CFE7C8-2CFB-42A5-947A-1ABA6293B079}"/>
    <hyperlink ref="J94" r:id="rId64" xr:uid="{FEE257E9-A0AD-4BF4-B785-B5D17EE2133F}"/>
    <hyperlink ref="J125" r:id="rId65" xr:uid="{10FA4573-FF4B-4ECD-AAAC-9A69C12F95C5}"/>
    <hyperlink ref="J135" r:id="rId66" xr:uid="{877F3544-2615-4E8B-8530-8D617519F7B0}"/>
    <hyperlink ref="A126" r:id="rId67" xr:uid="{6F2F7FDD-57BC-417D-B60A-2883E5815F1D}"/>
    <hyperlink ref="J146" r:id="rId68" xr:uid="{5A113B6C-1E2A-40C7-A6B5-9D53D3120073}"/>
    <hyperlink ref="J157" r:id="rId69" xr:uid="{525DF8CA-C778-4DDB-AC5C-07C2CA4D1A09}"/>
    <hyperlink ref="A147" r:id="rId70" xr:uid="{54420554-924C-4E66-A074-1C5A676A06F6}"/>
    <hyperlink ref="J168" r:id="rId71" xr:uid="{09E07526-A43A-4194-9C9C-E28360CF3943}"/>
    <hyperlink ref="J178" r:id="rId72" xr:uid="{FBBC7ADF-6493-45CD-96CC-5B1B66BD0047}"/>
    <hyperlink ref="J189" r:id="rId73" xr:uid="{5050F741-1339-4F0D-9F08-7AC98F745C16}"/>
    <hyperlink ref="J200" r:id="rId74" xr:uid="{99C6BCE1-D437-41CD-804C-FBF853323D69}"/>
    <hyperlink ref="J222" r:id="rId75" xr:uid="{E97F4967-A912-4D59-BDAB-5B97CE4D3AA2}"/>
    <hyperlink ref="J232" r:id="rId76" xr:uid="{72D51A03-8433-4298-BF51-0FC88FB32A62}"/>
    <hyperlink ref="J242" r:id="rId77" xr:uid="{B8E56FD4-B457-4801-A239-E8B1C60AD61B}"/>
    <hyperlink ref="J252" r:id="rId78" xr:uid="{AEEC790A-F7FA-46FC-9269-528B623A6181}"/>
    <hyperlink ref="A3" r:id="rId79" xr:uid="{47E81985-2B6C-4422-B9A7-8A3CDA0BF58F}"/>
    <hyperlink ref="A14" r:id="rId80" xr:uid="{F679A139-06A0-4F81-9E2D-92AE0A16D9E5}"/>
    <hyperlink ref="A34" r:id="rId81" xr:uid="{10C78C1F-AD41-4705-B058-7733655AFC03}"/>
    <hyperlink ref="A43" r:id="rId82" xr:uid="{618A01B1-A59D-45B2-B181-5CCA6618BE47}"/>
    <hyperlink ref="A233" r:id="rId83" xr:uid="{A29BFE6B-F005-4E80-9AC4-9B814EE98649}"/>
    <hyperlink ref="A243" r:id="rId84" xr:uid="{0C0F84EE-E015-4910-B912-AF91AA0DE778}"/>
    <hyperlink ref="A223" r:id="rId85" xr:uid="{4C13839D-D4E7-41AE-BDF2-4DBDFC8E1063}"/>
    <hyperlink ref="A212" r:id="rId86" xr:uid="{E048228B-0B11-4A73-ABB0-AEE34EA940D0}"/>
    <hyperlink ref="A190" r:id="rId87" xr:uid="{21364561-DF51-41A5-BD6D-199DAEF4069F}"/>
    <hyperlink ref="A179" r:id="rId88" xr:uid="{7F92B7F7-A968-4C3D-9D1C-F41C0929687C}"/>
    <hyperlink ref="A169" r:id="rId89" xr:uid="{5441131E-D6BC-4556-A989-E857F02818F7}"/>
    <hyperlink ref="A158" r:id="rId90" xr:uid="{2D30DA31-F6F1-4304-B80F-A038CC272C31}"/>
    <hyperlink ref="A136" r:id="rId91" xr:uid="{E2F9F17C-424B-4405-9106-61B56D84C82A}"/>
    <hyperlink ref="A85" r:id="rId92" xr:uid="{EF45746D-BA94-485C-8E5A-7050D02B3377}"/>
    <hyperlink ref="A116" r:id="rId93" xr:uid="{2B7CDCB1-7FF1-4BA7-AA1C-93A08384E6C6}"/>
    <hyperlink ref="A63" r:id="rId94" xr:uid="{6B4D05B0-D6C1-40BE-9EBB-5684EA1BAA05}"/>
    <hyperlink ref="E243" r:id="rId95" xr:uid="{37D8B1C5-0C4A-4B4A-B95B-D2DA1CE51F5B}"/>
    <hyperlink ref="E233" r:id="rId96" xr:uid="{7748F2B9-A141-459C-BCEC-B49F95E59209}"/>
    <hyperlink ref="E223" r:id="rId97" xr:uid="{67398FD7-1995-4AE6-B26A-41D3C7BBA7DC}"/>
    <hyperlink ref="E212" r:id="rId98" xr:uid="{69DD3D2D-347A-4DE4-9F85-E4A4C6573524}"/>
    <hyperlink ref="E190" r:id="rId99" xr:uid="{FF227397-9280-490E-82CA-8B267BA38AAC}"/>
    <hyperlink ref="E179" r:id="rId100" xr:uid="{CE45CC5F-61BC-4073-8F3B-20C3C33C264C}"/>
    <hyperlink ref="E169" r:id="rId101" xr:uid="{C45F09C6-E0B6-48A0-8D3F-00CC1ADB85E8}"/>
    <hyperlink ref="E158" r:id="rId102" xr:uid="{15981522-C616-4B92-AC1A-47CACBDA5509}"/>
    <hyperlink ref="E147" r:id="rId103" xr:uid="{7595DF69-7EB5-4501-ABF5-62054479D3E6}"/>
    <hyperlink ref="E136" r:id="rId104" xr:uid="{2D5682FC-D6CF-4F32-90A7-D40DEC0DC360}"/>
    <hyperlink ref="E126" r:id="rId105" xr:uid="{8847D0BE-31D2-42B0-A2AC-E4ADBBB6717A}"/>
    <hyperlink ref="E116" r:id="rId106" xr:uid="{A83C54DB-8FDC-4FEE-8BFB-F512FC1DFB04}"/>
    <hyperlink ref="E85" r:id="rId107" xr:uid="{A0AD58D1-5CC7-4838-BC4D-81EFCE0F7D12}"/>
    <hyperlink ref="E73" r:id="rId108" xr:uid="{65A98C43-4828-4502-91A8-DB08AEFD6F31}"/>
    <hyperlink ref="E63" r:id="rId109" xr:uid="{8DEFDD04-98B6-476E-983B-1FAC3F552B9A}"/>
    <hyperlink ref="E44" r:id="rId110" xr:uid="{D66959FE-50FF-4346-AC3C-EFAD9B78D7DB}"/>
    <hyperlink ref="E43" r:id="rId111" xr:uid="{DC268385-5312-4463-B709-2B74C140E0C3}"/>
    <hyperlink ref="E34" r:id="rId112" xr:uid="{268A66C0-3BCF-4EC3-AB30-76DE592A5DAF}"/>
    <hyperlink ref="E14" r:id="rId113" xr:uid="{A1975B14-4F6B-4AE4-BF13-4420F03D1D69}"/>
    <hyperlink ref="E4" r:id="rId114" xr:uid="{75BD5973-EB28-469C-A849-DD176DCE7CDF}"/>
    <hyperlink ref="E3" r:id="rId115" xr:uid="{E6D8BAE0-5DBC-427E-9345-410E1F1A43B9}"/>
    <hyperlink ref="I60" r:id="rId116" xr:uid="{00558B51-5733-437D-A94A-1EEBEE7AD24B}"/>
    <hyperlink ref="F52" r:id="rId117" xr:uid="{B4A78B54-1412-403C-BCCE-9A73FEA5B78B}"/>
    <hyperlink ref="G52" r:id="rId118" xr:uid="{7C0CC56A-6B5E-429D-83F1-4CD85B5D10F6}"/>
    <hyperlink ref="A52" r:id="rId119" xr:uid="{968E05CF-6305-482D-862E-9F2244A4EDCD}"/>
    <hyperlink ref="E52" r:id="rId120" xr:uid="{FEE0C466-59C6-4DB8-85D4-F65EB9179DAC}"/>
    <hyperlink ref="J62" r:id="rId121" xr:uid="{79CF603F-5C47-40B9-8299-E633B62C65E2}"/>
    <hyperlink ref="I103" r:id="rId122" xr:uid="{7D39BD57-8A89-4D98-B0DF-399BFC7A59FD}"/>
    <hyperlink ref="F95" r:id="rId123" xr:uid="{15089838-131C-4EF5-B0D9-D02BC1961805}"/>
    <hyperlink ref="G95" r:id="rId124" xr:uid="{092830CC-F74A-4F4F-B76F-F272CAF7400A}"/>
    <hyperlink ref="A95" r:id="rId125" xr:uid="{00F85E9A-560A-498B-A84D-A0C33CDCD2F3}"/>
    <hyperlink ref="E95" r:id="rId126" xr:uid="{5347DCAA-C83A-460A-926D-75C977D5BC1D}"/>
    <hyperlink ref="J105" r:id="rId127" xr:uid="{ACD15952-B24D-4FD9-A783-02EBBE09248B}"/>
    <hyperlink ref="I114" r:id="rId128" xr:uid="{F9BC19C5-57E4-4A2C-B897-D3C9826076A7}"/>
    <hyperlink ref="F106" r:id="rId129" xr:uid="{5BDEEBB0-6CCA-4CA9-8CE5-E499BB30C763}"/>
    <hyperlink ref="G106" r:id="rId130" xr:uid="{EB9AE302-931B-4CE5-B50E-F372D00C95A8}"/>
    <hyperlink ref="A106" r:id="rId131" xr:uid="{4008B824-1A14-4EC4-A519-F6801AD95CDF}"/>
    <hyperlink ref="E106" r:id="rId132" xr:uid="{6A9E8181-DB95-4825-A3F7-CC24A8D1F5E1}"/>
    <hyperlink ref="J115" r:id="rId133" xr:uid="{B96BE9AA-465D-4BDB-BF8E-12C097C2323A}"/>
    <hyperlink ref="I33" r:id="rId134" xr:uid="{D44843FE-AA70-421E-BB5B-38760794B22A}"/>
    <hyperlink ref="F25" r:id="rId135" xr:uid="{F0D9FFC6-1BED-423F-9E64-2629AF5288C2}"/>
    <hyperlink ref="G25" r:id="rId136" xr:uid="{6DDF5742-AA15-49EB-9748-C60D047387E7}"/>
    <hyperlink ref="J33" r:id="rId137" xr:uid="{1BAE3471-0C55-48DD-99B6-C905E8C08C70}"/>
    <hyperlink ref="A25" r:id="rId138" xr:uid="{3CE124F6-D0D0-4BFB-B9B8-02F425D8F264}"/>
    <hyperlink ref="E25" r:id="rId139" xr:uid="{BACB12D3-A86F-49E3-BC6A-28F90B11C658}"/>
    <hyperlink ref="I210" r:id="rId140" xr:uid="{40335904-5AD4-41C7-9154-F782E66E0460}"/>
    <hyperlink ref="F201" r:id="rId141" xr:uid="{342CDB31-B7D0-4444-8457-2CBCE7721B88}"/>
    <hyperlink ref="G201" r:id="rId142" xr:uid="{B3D76D98-1B43-4F0F-8027-9ECADFA86B1B}"/>
    <hyperlink ref="A201" r:id="rId143" xr:uid="{F00EA14D-AFA5-49C8-AF4B-BE0BEDE95740}"/>
    <hyperlink ref="E201" r:id="rId144" xr:uid="{AD8EBE1D-22D6-40A8-A215-9A7F9B074BD3}"/>
    <hyperlink ref="J211" r:id="rId145" xr:uid="{4F6D6D10-DAD1-4BCB-A536-BE3A99749474}"/>
  </hyperlinks>
  <pageMargins left="0.7" right="0.7" top="0.75" bottom="0.75" header="0.3" footer="0.3"/>
  <pageSetup paperSize="9" orientation="portrait" horizontalDpi="0" verticalDpi="0" r:id="rId146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671-436E-421C-BEDB-2F516BC3E790}">
  <sheetPr>
    <tabColor rgb="FF00B050"/>
  </sheetPr>
  <dimension ref="A1:J34"/>
  <sheetViews>
    <sheetView workbookViewId="0"/>
  </sheetViews>
  <sheetFormatPr defaultRowHeight="14.5" x14ac:dyDescent="0.35"/>
  <cols>
    <col min="1" max="1" width="14.36328125" customWidth="1"/>
    <col min="3" max="3" width="21.81640625" customWidth="1"/>
    <col min="4" max="4" width="18.7265625" customWidth="1"/>
    <col min="5" max="5" width="12.90625" customWidth="1"/>
    <col min="6" max="6" width="21.6328125" customWidth="1"/>
    <col min="7" max="7" width="23.08984375" customWidth="1"/>
    <col min="8" max="8" width="22.08984375" customWidth="1"/>
    <col min="9" max="9" width="21" customWidth="1"/>
    <col min="10" max="10" width="21.81640625" customWidth="1"/>
  </cols>
  <sheetData>
    <row r="1" spans="1:10" x14ac:dyDescent="0.35">
      <c r="A1" s="34" t="s">
        <v>3196</v>
      </c>
      <c r="B1" s="16">
        <f>COUNTIF(I2:I1074,C1)+COUNTIF(I2:I1074,D1)</f>
        <v>4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3251</v>
      </c>
      <c r="B3" t="s">
        <v>3</v>
      </c>
      <c r="C3" t="s">
        <v>43</v>
      </c>
      <c r="D3" t="s">
        <v>55</v>
      </c>
      <c r="E3" s="34" t="s">
        <v>65</v>
      </c>
      <c r="F3" s="33" t="s">
        <v>2891</v>
      </c>
      <c r="G3" s="33" t="s">
        <v>3252</v>
      </c>
      <c r="H3" t="s">
        <v>54</v>
      </c>
      <c r="I3" s="1" t="s">
        <v>382</v>
      </c>
      <c r="J3" s="3" t="s">
        <v>3253</v>
      </c>
    </row>
    <row r="4" spans="1:10" x14ac:dyDescent="0.35">
      <c r="E4" s="40" t="s">
        <v>65</v>
      </c>
      <c r="G4" s="33"/>
      <c r="I4" t="s">
        <v>383</v>
      </c>
      <c r="J4" t="s">
        <v>3254</v>
      </c>
    </row>
    <row r="5" spans="1:10" x14ac:dyDescent="0.35">
      <c r="I5" t="s">
        <v>345</v>
      </c>
      <c r="J5" t="s">
        <v>3255</v>
      </c>
    </row>
    <row r="6" spans="1:10" x14ac:dyDescent="0.35">
      <c r="I6" t="s">
        <v>346</v>
      </c>
      <c r="J6" t="s">
        <v>3256</v>
      </c>
    </row>
    <row r="7" spans="1:10" x14ac:dyDescent="0.35">
      <c r="I7" t="s">
        <v>1555</v>
      </c>
      <c r="J7" t="s">
        <v>3257</v>
      </c>
    </row>
    <row r="8" spans="1:10" x14ac:dyDescent="0.35">
      <c r="I8" t="s">
        <v>104</v>
      </c>
      <c r="J8" t="s">
        <v>3258</v>
      </c>
    </row>
    <row r="9" spans="1:10" x14ac:dyDescent="0.35">
      <c r="I9" s="38" t="s">
        <v>18</v>
      </c>
      <c r="J9" s="36" t="s">
        <v>3259</v>
      </c>
    </row>
    <row r="10" spans="1:10" x14ac:dyDescent="0.35">
      <c r="A10" s="33" t="s">
        <v>2899</v>
      </c>
      <c r="B10" t="s">
        <v>3</v>
      </c>
      <c r="C10" t="s">
        <v>43</v>
      </c>
      <c r="D10" t="s">
        <v>429</v>
      </c>
      <c r="E10" s="34" t="s">
        <v>89</v>
      </c>
      <c r="F10" s="33" t="s">
        <v>2889</v>
      </c>
      <c r="G10" s="33" t="s">
        <v>2890</v>
      </c>
      <c r="H10" t="s">
        <v>413</v>
      </c>
      <c r="I10" s="1" t="s">
        <v>2891</v>
      </c>
      <c r="J10" s="3" t="s">
        <v>2892</v>
      </c>
    </row>
    <row r="11" spans="1:10" x14ac:dyDescent="0.35">
      <c r="E11" s="17"/>
      <c r="G11" s="33"/>
      <c r="I11" t="s">
        <v>382</v>
      </c>
      <c r="J11" t="s">
        <v>2893</v>
      </c>
    </row>
    <row r="12" spans="1:10" x14ac:dyDescent="0.35">
      <c r="I12" t="s">
        <v>383</v>
      </c>
      <c r="J12" t="s">
        <v>2894</v>
      </c>
    </row>
    <row r="13" spans="1:10" x14ac:dyDescent="0.35">
      <c r="I13" t="s">
        <v>345</v>
      </c>
      <c r="J13" t="s">
        <v>2895</v>
      </c>
    </row>
    <row r="14" spans="1:10" x14ac:dyDescent="0.35">
      <c r="I14" t="s">
        <v>346</v>
      </c>
      <c r="J14" t="s">
        <v>2896</v>
      </c>
    </row>
    <row r="15" spans="1:10" x14ac:dyDescent="0.35">
      <c r="I15" t="s">
        <v>1555</v>
      </c>
      <c r="J15" t="s">
        <v>2897</v>
      </c>
    </row>
    <row r="16" spans="1:10" x14ac:dyDescent="0.35">
      <c r="I16" t="s">
        <v>104</v>
      </c>
      <c r="J16" t="s">
        <v>2898</v>
      </c>
    </row>
    <row r="17" spans="1:10" x14ac:dyDescent="0.35">
      <c r="I17" s="38" t="s">
        <v>18</v>
      </c>
      <c r="J17" s="36" t="s">
        <v>2899</v>
      </c>
    </row>
    <row r="18" spans="1:10" x14ac:dyDescent="0.35">
      <c r="A18" s="33" t="s">
        <v>2907</v>
      </c>
      <c r="B18" t="s">
        <v>3</v>
      </c>
      <c r="C18" t="s">
        <v>43</v>
      </c>
      <c r="D18" t="s">
        <v>429</v>
      </c>
      <c r="E18" s="34" t="s">
        <v>89</v>
      </c>
      <c r="F18" s="33" t="s">
        <v>2889</v>
      </c>
      <c r="G18" s="33" t="s">
        <v>2890</v>
      </c>
      <c r="H18" t="s">
        <v>413</v>
      </c>
      <c r="I18" s="1" t="s">
        <v>2891</v>
      </c>
      <c r="J18" s="3" t="s">
        <v>2900</v>
      </c>
    </row>
    <row r="19" spans="1:10" x14ac:dyDescent="0.35">
      <c r="E19" s="17"/>
      <c r="G19" s="33"/>
      <c r="I19" t="s">
        <v>382</v>
      </c>
      <c r="J19" t="s">
        <v>2901</v>
      </c>
    </row>
    <row r="20" spans="1:10" x14ac:dyDescent="0.35">
      <c r="I20" t="s">
        <v>383</v>
      </c>
      <c r="J20" t="s">
        <v>2902</v>
      </c>
    </row>
    <row r="21" spans="1:10" x14ac:dyDescent="0.35">
      <c r="I21" t="s">
        <v>345</v>
      </c>
      <c r="J21" t="s">
        <v>2903</v>
      </c>
    </row>
    <row r="22" spans="1:10" x14ac:dyDescent="0.35">
      <c r="I22" t="s">
        <v>346</v>
      </c>
      <c r="J22" t="s">
        <v>2904</v>
      </c>
    </row>
    <row r="23" spans="1:10" x14ac:dyDescent="0.35">
      <c r="I23" t="s">
        <v>1555</v>
      </c>
      <c r="J23" t="s">
        <v>2905</v>
      </c>
    </row>
    <row r="24" spans="1:10" x14ac:dyDescent="0.35">
      <c r="I24" t="s">
        <v>104</v>
      </c>
      <c r="J24" s="36" t="s">
        <v>2906</v>
      </c>
    </row>
    <row r="25" spans="1:10" x14ac:dyDescent="0.35">
      <c r="I25" s="38" t="s">
        <v>18</v>
      </c>
      <c r="J25" s="37"/>
    </row>
    <row r="26" spans="1:10" x14ac:dyDescent="0.35">
      <c r="A26" s="33" t="s">
        <v>3979</v>
      </c>
      <c r="B26" t="s">
        <v>3</v>
      </c>
      <c r="C26" t="s">
        <v>43</v>
      </c>
      <c r="D26" t="s">
        <v>429</v>
      </c>
      <c r="E26" s="34" t="s">
        <v>44</v>
      </c>
      <c r="F26" s="33" t="s">
        <v>2889</v>
      </c>
      <c r="G26" s="33" t="s">
        <v>2890</v>
      </c>
      <c r="H26" t="s">
        <v>413</v>
      </c>
      <c r="I26" s="1" t="s">
        <v>2891</v>
      </c>
      <c r="J26" s="3" t="s">
        <v>2892</v>
      </c>
    </row>
    <row r="27" spans="1:10" x14ac:dyDescent="0.35">
      <c r="E27" s="17"/>
      <c r="G27" s="33"/>
      <c r="I27" t="s">
        <v>382</v>
      </c>
      <c r="J27" t="s">
        <v>2893</v>
      </c>
    </row>
    <row r="28" spans="1:10" x14ac:dyDescent="0.35">
      <c r="I28" t="s">
        <v>383</v>
      </c>
      <c r="J28" t="s">
        <v>2894</v>
      </c>
    </row>
    <row r="29" spans="1:10" x14ac:dyDescent="0.35">
      <c r="I29" t="s">
        <v>345</v>
      </c>
      <c r="J29" t="s">
        <v>2895</v>
      </c>
    </row>
    <row r="30" spans="1:10" x14ac:dyDescent="0.35">
      <c r="I30" t="s">
        <v>346</v>
      </c>
      <c r="J30" t="s">
        <v>2896</v>
      </c>
    </row>
    <row r="31" spans="1:10" x14ac:dyDescent="0.35">
      <c r="I31" t="s">
        <v>1555</v>
      </c>
      <c r="J31" t="s">
        <v>2897</v>
      </c>
    </row>
    <row r="32" spans="1:10" x14ac:dyDescent="0.35">
      <c r="I32" t="s">
        <v>104</v>
      </c>
      <c r="J32" t="s">
        <v>2898</v>
      </c>
    </row>
    <row r="33" spans="9:10" x14ac:dyDescent="0.35">
      <c r="I33" s="38" t="s">
        <v>18</v>
      </c>
      <c r="J33" t="s">
        <v>2899</v>
      </c>
    </row>
    <row r="34" spans="9:10" x14ac:dyDescent="0.35">
      <c r="J34" s="36" t="s">
        <v>3979</v>
      </c>
    </row>
  </sheetData>
  <hyperlinks>
    <hyperlink ref="A1" location="Summary!A1" tooltip="Return to Totals" display="Back to Totals" xr:uid="{A472C42B-5928-4EB6-AEBB-2B2F3000B9FE}"/>
    <hyperlink ref="A10" r:id="rId1" display="PalmerMunro" xr:uid="{8E7154EB-F27A-4DBF-B2C4-2CB5895DBB3E}"/>
    <hyperlink ref="F10" r:id="rId2" xr:uid="{8E9DCDF3-23A5-4FF9-8963-EAC0D16E1D62}"/>
    <hyperlink ref="G10" r:id="rId3" xr:uid="{EFA0F800-77C5-4D20-A897-E995BA53273C}"/>
    <hyperlink ref="J17" r:id="rId4" xr:uid="{3B4D418A-8849-4A9B-A9F1-185F338DE3D4}"/>
    <hyperlink ref="A18" r:id="rId5" display="Tim Olsen" xr:uid="{EED8EA9F-C59D-4C83-9008-04589A93CF4C}"/>
    <hyperlink ref="F18" r:id="rId6" xr:uid="{6D28754A-AC78-49F4-AE85-4B532FFD85D2}"/>
    <hyperlink ref="G18" r:id="rId7" xr:uid="{88EC3B78-B207-457F-9761-DCB856486C58}"/>
    <hyperlink ref="J24" r:id="rId8" xr:uid="{03348932-7F0C-484C-BF60-87DA4781F692}"/>
    <hyperlink ref="E18" r:id="rId9" xr:uid="{0408AE16-8910-43BE-AD31-46879D874F3E}"/>
    <hyperlink ref="E10" r:id="rId10" xr:uid="{59FABABA-E899-4761-9DF9-9B369E5508C0}"/>
    <hyperlink ref="A3" r:id="rId11" xr:uid="{2EE5C968-0102-4182-B789-D2700A1C5060}"/>
    <hyperlink ref="F3" r:id="rId12" display="Francis Mayes" xr:uid="{06C3E6EA-2545-4364-920B-CD19918CD691}"/>
    <hyperlink ref="G3" r:id="rId13" display="Mary Dibal" xr:uid="{141B4F5B-3397-434C-912A-6D8218499491}"/>
    <hyperlink ref="E3" r:id="rId14" xr:uid="{AB80ECA1-BE69-40F2-B1F0-5D8935662243}"/>
    <hyperlink ref="J9" r:id="rId15" xr:uid="{932ABB24-CEE5-4D48-975A-F6C14DC0B89F}"/>
    <hyperlink ref="E4" r:id="rId16" xr:uid="{1982392B-33D5-43FC-9FC9-3E0233324D09}"/>
    <hyperlink ref="A26" r:id="rId17" xr:uid="{81584900-FC80-4A1D-95D3-106E1E56F0F7}"/>
    <hyperlink ref="F26" r:id="rId18" xr:uid="{25C38C5B-0DA5-43C9-8FCB-F6DF4641EB62}"/>
    <hyperlink ref="G26" r:id="rId19" xr:uid="{91B7665E-5E89-4EBE-A808-F964A6442F2F}"/>
    <hyperlink ref="E26" r:id="rId20" xr:uid="{F23ED65A-270C-4FAD-895A-E0478B7C5E90}"/>
    <hyperlink ref="J34" r:id="rId21" xr:uid="{9546112D-0800-441E-B931-199383175849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7">
    <tabColor theme="7" tint="-0.499984740745262"/>
  </sheetPr>
  <dimension ref="A1:J108"/>
  <sheetViews>
    <sheetView topLeftCell="C79" workbookViewId="0">
      <selection activeCell="A90" sqref="A90"/>
    </sheetView>
  </sheetViews>
  <sheetFormatPr defaultRowHeight="14.5" x14ac:dyDescent="0.35"/>
  <cols>
    <col min="1" max="2" width="20.1796875" customWidth="1"/>
    <col min="3" max="3" width="23.54296875" customWidth="1"/>
    <col min="4" max="4" width="24.453125" customWidth="1"/>
    <col min="5" max="5" width="14.54296875" customWidth="1"/>
    <col min="6" max="6" width="24.1796875" customWidth="1"/>
    <col min="7" max="7" width="11.26953125" customWidth="1"/>
    <col min="8" max="8" width="23.26953125" customWidth="1"/>
    <col min="9" max="9" width="23.81640625" customWidth="1"/>
    <col min="10" max="10" width="21.08984375" customWidth="1"/>
  </cols>
  <sheetData>
    <row r="1" spans="1:10" x14ac:dyDescent="0.35">
      <c r="A1" s="34" t="s">
        <v>3196</v>
      </c>
      <c r="B1" s="16">
        <f>COUNTIF(I2:I1101,C1)+COUNTIF(I2:I1101,D1)</f>
        <v>16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3210</v>
      </c>
      <c r="B3" t="s">
        <v>3</v>
      </c>
      <c r="C3" t="s">
        <v>43</v>
      </c>
      <c r="D3" t="s">
        <v>597</v>
      </c>
      <c r="E3" s="54" t="s">
        <v>3211</v>
      </c>
      <c r="F3" s="33" t="s">
        <v>2859</v>
      </c>
      <c r="G3" s="33" t="s">
        <v>382</v>
      </c>
      <c r="H3" t="s">
        <v>130</v>
      </c>
      <c r="I3" s="1" t="s">
        <v>383</v>
      </c>
      <c r="J3" s="3" t="s">
        <v>1291</v>
      </c>
    </row>
    <row r="4" spans="1:10" x14ac:dyDescent="0.35">
      <c r="E4" s="34" t="s">
        <v>327</v>
      </c>
      <c r="I4" t="s">
        <v>345</v>
      </c>
      <c r="J4" t="s">
        <v>2552</v>
      </c>
    </row>
    <row r="5" spans="1:10" x14ac:dyDescent="0.35">
      <c r="I5" t="s">
        <v>346</v>
      </c>
      <c r="J5" t="s">
        <v>3207</v>
      </c>
    </row>
    <row r="6" spans="1:10" x14ac:dyDescent="0.35">
      <c r="I6" t="s">
        <v>1555</v>
      </c>
      <c r="J6" t="s">
        <v>3208</v>
      </c>
    </row>
    <row r="7" spans="1:10" x14ac:dyDescent="0.35">
      <c r="I7" t="s">
        <v>104</v>
      </c>
      <c r="J7" s="36" t="s">
        <v>3209</v>
      </c>
    </row>
    <row r="8" spans="1:10" x14ac:dyDescent="0.35">
      <c r="I8" s="38" t="s">
        <v>18</v>
      </c>
    </row>
    <row r="9" spans="1:10" x14ac:dyDescent="0.35">
      <c r="A9" t="s">
        <v>381</v>
      </c>
      <c r="B9" t="s">
        <v>3</v>
      </c>
      <c r="C9" t="s">
        <v>43</v>
      </c>
      <c r="D9" t="s">
        <v>597</v>
      </c>
      <c r="E9" s="54" t="s">
        <v>1232</v>
      </c>
      <c r="F9" s="33" t="s">
        <v>2859</v>
      </c>
      <c r="G9" s="33" t="s">
        <v>382</v>
      </c>
      <c r="H9" t="s">
        <v>130</v>
      </c>
      <c r="I9" s="1" t="s">
        <v>383</v>
      </c>
      <c r="J9" s="3" t="s">
        <v>384</v>
      </c>
    </row>
    <row r="10" spans="1:10" x14ac:dyDescent="0.35">
      <c r="E10" s="34" t="s">
        <v>189</v>
      </c>
      <c r="I10" t="s">
        <v>345</v>
      </c>
      <c r="J10" t="s">
        <v>385</v>
      </c>
    </row>
    <row r="11" spans="1:10" x14ac:dyDescent="0.35">
      <c r="I11" t="s">
        <v>346</v>
      </c>
      <c r="J11" t="s">
        <v>386</v>
      </c>
    </row>
    <row r="12" spans="1:10" x14ac:dyDescent="0.35">
      <c r="I12" t="s">
        <v>1555</v>
      </c>
      <c r="J12" s="36" t="s">
        <v>387</v>
      </c>
    </row>
    <row r="13" spans="1:10" x14ac:dyDescent="0.35">
      <c r="I13" t="s">
        <v>104</v>
      </c>
    </row>
    <row r="14" spans="1:10" x14ac:dyDescent="0.35">
      <c r="I14" s="38" t="s">
        <v>18</v>
      </c>
    </row>
    <row r="15" spans="1:10" x14ac:dyDescent="0.35">
      <c r="A15" s="33" t="s">
        <v>711</v>
      </c>
      <c r="B15" s="2" t="s">
        <v>517</v>
      </c>
      <c r="C15" t="s">
        <v>41</v>
      </c>
      <c r="D15" t="s">
        <v>143</v>
      </c>
      <c r="E15" s="34" t="s">
        <v>363</v>
      </c>
      <c r="F15" s="33" t="s">
        <v>2859</v>
      </c>
      <c r="G15" s="33" t="s">
        <v>382</v>
      </c>
      <c r="H15" t="s">
        <v>130</v>
      </c>
      <c r="I15" s="1" t="s">
        <v>383</v>
      </c>
      <c r="J15" s="3" t="s">
        <v>399</v>
      </c>
    </row>
    <row r="16" spans="1:10" x14ac:dyDescent="0.35">
      <c r="A16" s="33" t="s">
        <v>711</v>
      </c>
      <c r="B16" s="1" t="s">
        <v>315</v>
      </c>
      <c r="I16" t="s">
        <v>345</v>
      </c>
      <c r="J16" t="s">
        <v>717</v>
      </c>
    </row>
    <row r="17" spans="1:10" x14ac:dyDescent="0.35">
      <c r="I17" t="s">
        <v>346</v>
      </c>
      <c r="J17" t="s">
        <v>716</v>
      </c>
    </row>
    <row r="18" spans="1:10" x14ac:dyDescent="0.35">
      <c r="I18" t="s">
        <v>1555</v>
      </c>
      <c r="J18" t="s">
        <v>715</v>
      </c>
    </row>
    <row r="19" spans="1:10" x14ac:dyDescent="0.35">
      <c r="I19" t="s">
        <v>104</v>
      </c>
      <c r="J19" t="s">
        <v>714</v>
      </c>
    </row>
    <row r="20" spans="1:10" x14ac:dyDescent="0.35">
      <c r="I20" s="38" t="s">
        <v>18</v>
      </c>
      <c r="J20" s="36" t="s">
        <v>713</v>
      </c>
    </row>
    <row r="21" spans="1:10" x14ac:dyDescent="0.35">
      <c r="A21" t="s">
        <v>2113</v>
      </c>
      <c r="B21" t="s">
        <v>3</v>
      </c>
      <c r="C21" t="s">
        <v>43</v>
      </c>
      <c r="D21" t="s">
        <v>712</v>
      </c>
      <c r="E21" s="40" t="s">
        <v>363</v>
      </c>
      <c r="F21" s="33" t="s">
        <v>2859</v>
      </c>
      <c r="G21" s="33" t="s">
        <v>382</v>
      </c>
      <c r="H21" t="s">
        <v>130</v>
      </c>
      <c r="I21" s="1" t="s">
        <v>383</v>
      </c>
      <c r="J21" s="3" t="s">
        <v>399</v>
      </c>
    </row>
    <row r="22" spans="1:10" x14ac:dyDescent="0.35">
      <c r="E22" s="15"/>
      <c r="I22" t="s">
        <v>345</v>
      </c>
      <c r="J22" t="s">
        <v>400</v>
      </c>
    </row>
    <row r="23" spans="1:10" x14ac:dyDescent="0.35">
      <c r="I23" t="s">
        <v>346</v>
      </c>
      <c r="J23" t="s">
        <v>401</v>
      </c>
    </row>
    <row r="24" spans="1:10" x14ac:dyDescent="0.35">
      <c r="I24" t="s">
        <v>1555</v>
      </c>
      <c r="J24" t="s">
        <v>402</v>
      </c>
    </row>
    <row r="25" spans="1:10" x14ac:dyDescent="0.35">
      <c r="I25" t="s">
        <v>104</v>
      </c>
      <c r="J25" t="s">
        <v>1442</v>
      </c>
    </row>
    <row r="26" spans="1:10" x14ac:dyDescent="0.35">
      <c r="I26" s="38" t="s">
        <v>18</v>
      </c>
      <c r="J26" t="s">
        <v>2114</v>
      </c>
    </row>
    <row r="27" spans="1:10" x14ac:dyDescent="0.35">
      <c r="J27" s="36" t="s">
        <v>2115</v>
      </c>
    </row>
    <row r="28" spans="1:10" x14ac:dyDescent="0.35">
      <c r="A28" s="33" t="s">
        <v>3693</v>
      </c>
      <c r="B28" t="s">
        <v>3</v>
      </c>
      <c r="C28" t="s">
        <v>43</v>
      </c>
      <c r="D28" t="s">
        <v>699</v>
      </c>
      <c r="E28" s="34" t="s">
        <v>363</v>
      </c>
      <c r="F28" s="33" t="s">
        <v>728</v>
      </c>
      <c r="G28" s="33" t="s">
        <v>2609</v>
      </c>
      <c r="H28" t="s">
        <v>91</v>
      </c>
      <c r="I28" s="1" t="s">
        <v>729</v>
      </c>
      <c r="J28" s="3" t="s">
        <v>727</v>
      </c>
    </row>
    <row r="29" spans="1:10" x14ac:dyDescent="0.35">
      <c r="E29" s="17"/>
      <c r="I29" t="s">
        <v>729</v>
      </c>
      <c r="J29" t="s">
        <v>3694</v>
      </c>
    </row>
    <row r="30" spans="1:10" x14ac:dyDescent="0.35">
      <c r="I30" t="s">
        <v>718</v>
      </c>
      <c r="J30" t="s">
        <v>3695</v>
      </c>
    </row>
    <row r="31" spans="1:10" x14ac:dyDescent="0.35">
      <c r="I31" t="s">
        <v>383</v>
      </c>
      <c r="J31" t="s">
        <v>3696</v>
      </c>
    </row>
    <row r="32" spans="1:10" x14ac:dyDescent="0.35">
      <c r="I32" t="s">
        <v>345</v>
      </c>
      <c r="J32" t="s">
        <v>3697</v>
      </c>
    </row>
    <row r="33" spans="1:10" x14ac:dyDescent="0.35">
      <c r="I33" t="s">
        <v>346</v>
      </c>
      <c r="J33" t="s">
        <v>3698</v>
      </c>
    </row>
    <row r="34" spans="1:10" x14ac:dyDescent="0.35">
      <c r="I34" t="s">
        <v>2125</v>
      </c>
      <c r="J34" s="36" t="s">
        <v>3699</v>
      </c>
    </row>
    <row r="35" spans="1:10" x14ac:dyDescent="0.35">
      <c r="I35" t="s">
        <v>104</v>
      </c>
    </row>
    <row r="36" spans="1:10" x14ac:dyDescent="0.35">
      <c r="I36" s="38" t="s">
        <v>18</v>
      </c>
      <c r="J36" s="37"/>
    </row>
    <row r="37" spans="1:10" x14ac:dyDescent="0.35">
      <c r="A37" s="33" t="s">
        <v>2652</v>
      </c>
      <c r="B37" t="s">
        <v>3</v>
      </c>
      <c r="C37" t="s">
        <v>43</v>
      </c>
      <c r="D37" t="s">
        <v>184</v>
      </c>
      <c r="E37" s="40" t="s">
        <v>327</v>
      </c>
      <c r="F37" s="33" t="s">
        <v>2859</v>
      </c>
      <c r="G37" s="33" t="s">
        <v>382</v>
      </c>
      <c r="H37" t="s">
        <v>130</v>
      </c>
      <c r="I37" s="1" t="s">
        <v>383</v>
      </c>
      <c r="J37" s="3" t="s">
        <v>399</v>
      </c>
    </row>
    <row r="38" spans="1:10" x14ac:dyDescent="0.35">
      <c r="E38" s="15"/>
      <c r="I38" t="s">
        <v>345</v>
      </c>
      <c r="J38" t="s">
        <v>2653</v>
      </c>
    </row>
    <row r="39" spans="1:10" x14ac:dyDescent="0.35">
      <c r="I39" t="s">
        <v>346</v>
      </c>
      <c r="J39" t="s">
        <v>2654</v>
      </c>
    </row>
    <row r="40" spans="1:10" x14ac:dyDescent="0.35">
      <c r="I40" t="s">
        <v>1555</v>
      </c>
      <c r="J40" t="s">
        <v>2655</v>
      </c>
    </row>
    <row r="41" spans="1:10" x14ac:dyDescent="0.35">
      <c r="I41" t="s">
        <v>104</v>
      </c>
      <c r="J41" t="s">
        <v>2656</v>
      </c>
    </row>
    <row r="42" spans="1:10" x14ac:dyDescent="0.35">
      <c r="I42" s="38" t="s">
        <v>18</v>
      </c>
      <c r="J42" s="36" t="s">
        <v>2652</v>
      </c>
    </row>
    <row r="43" spans="1:10" x14ac:dyDescent="0.35">
      <c r="A43" s="33" t="s">
        <v>2406</v>
      </c>
      <c r="B43" t="s">
        <v>3</v>
      </c>
      <c r="C43" t="s">
        <v>43</v>
      </c>
      <c r="D43" t="s">
        <v>143</v>
      </c>
      <c r="E43" s="40" t="s">
        <v>340</v>
      </c>
      <c r="F43" s="33" t="s">
        <v>2859</v>
      </c>
      <c r="G43" s="33" t="s">
        <v>382</v>
      </c>
      <c r="H43" t="s">
        <v>130</v>
      </c>
      <c r="I43" s="1" t="s">
        <v>383</v>
      </c>
      <c r="J43" s="3" t="s">
        <v>399</v>
      </c>
    </row>
    <row r="44" spans="1:10" x14ac:dyDescent="0.35">
      <c r="E44" s="15"/>
      <c r="I44" t="s">
        <v>345</v>
      </c>
      <c r="J44" t="s">
        <v>717</v>
      </c>
    </row>
    <row r="45" spans="1:10" x14ac:dyDescent="0.35">
      <c r="I45" t="s">
        <v>346</v>
      </c>
      <c r="J45" t="s">
        <v>1856</v>
      </c>
    </row>
    <row r="46" spans="1:10" x14ac:dyDescent="0.35">
      <c r="I46" t="s">
        <v>1555</v>
      </c>
      <c r="J46" t="s">
        <v>2407</v>
      </c>
    </row>
    <row r="47" spans="1:10" x14ac:dyDescent="0.35">
      <c r="I47" t="s">
        <v>104</v>
      </c>
      <c r="J47" t="s">
        <v>2408</v>
      </c>
    </row>
    <row r="48" spans="1:10" x14ac:dyDescent="0.35">
      <c r="I48" s="38" t="s">
        <v>18</v>
      </c>
      <c r="J48" s="36" t="s">
        <v>2406</v>
      </c>
    </row>
    <row r="49" spans="1:10" x14ac:dyDescent="0.35">
      <c r="A49" s="33" t="s">
        <v>2555</v>
      </c>
      <c r="B49" s="1" t="s">
        <v>315</v>
      </c>
      <c r="C49" t="s">
        <v>43</v>
      </c>
      <c r="D49" t="s">
        <v>143</v>
      </c>
      <c r="E49" s="34" t="s">
        <v>340</v>
      </c>
      <c r="F49" s="33" t="s">
        <v>2859</v>
      </c>
      <c r="G49" s="33" t="s">
        <v>382</v>
      </c>
      <c r="H49" t="s">
        <v>130</v>
      </c>
      <c r="I49" s="1" t="s">
        <v>383</v>
      </c>
      <c r="J49" s="3" t="s">
        <v>1291</v>
      </c>
    </row>
    <row r="50" spans="1:10" x14ac:dyDescent="0.35">
      <c r="E50" s="17"/>
      <c r="I50" t="s">
        <v>345</v>
      </c>
      <c r="J50" t="s">
        <v>2552</v>
      </c>
    </row>
    <row r="51" spans="1:10" x14ac:dyDescent="0.35">
      <c r="I51" t="s">
        <v>346</v>
      </c>
      <c r="J51" t="s">
        <v>2556</v>
      </c>
    </row>
    <row r="52" spans="1:10" x14ac:dyDescent="0.35">
      <c r="I52" t="s">
        <v>1555</v>
      </c>
      <c r="J52" t="s">
        <v>2557</v>
      </c>
    </row>
    <row r="53" spans="1:10" x14ac:dyDescent="0.35">
      <c r="I53" t="s">
        <v>104</v>
      </c>
      <c r="J53" t="s">
        <v>2558</v>
      </c>
    </row>
    <row r="54" spans="1:10" x14ac:dyDescent="0.35">
      <c r="I54" s="38" t="s">
        <v>1249</v>
      </c>
      <c r="J54" s="36" t="s">
        <v>2555</v>
      </c>
    </row>
    <row r="55" spans="1:10" x14ac:dyDescent="0.35">
      <c r="A55" s="33" t="s">
        <v>398</v>
      </c>
      <c r="B55" t="s">
        <v>3</v>
      </c>
      <c r="C55" t="s">
        <v>43</v>
      </c>
      <c r="D55" t="s">
        <v>712</v>
      </c>
      <c r="E55" s="54" t="s">
        <v>340</v>
      </c>
      <c r="F55" s="33" t="s">
        <v>2859</v>
      </c>
      <c r="G55" s="33" t="s">
        <v>382</v>
      </c>
      <c r="H55" t="s">
        <v>130</v>
      </c>
      <c r="I55" s="1" t="s">
        <v>383</v>
      </c>
      <c r="J55" s="3" t="s">
        <v>399</v>
      </c>
    </row>
    <row r="56" spans="1:10" x14ac:dyDescent="0.35">
      <c r="E56" s="34" t="s">
        <v>89</v>
      </c>
      <c r="I56" t="s">
        <v>345</v>
      </c>
      <c r="J56" t="s">
        <v>400</v>
      </c>
    </row>
    <row r="57" spans="1:10" x14ac:dyDescent="0.35">
      <c r="I57" t="s">
        <v>346</v>
      </c>
      <c r="J57" t="s">
        <v>401</v>
      </c>
    </row>
    <row r="58" spans="1:10" x14ac:dyDescent="0.35">
      <c r="I58" t="s">
        <v>1555</v>
      </c>
      <c r="J58" t="s">
        <v>402</v>
      </c>
    </row>
    <row r="59" spans="1:10" x14ac:dyDescent="0.35">
      <c r="I59" t="s">
        <v>104</v>
      </c>
      <c r="J59" t="s">
        <v>403</v>
      </c>
    </row>
    <row r="60" spans="1:10" x14ac:dyDescent="0.35">
      <c r="I60" s="38" t="s">
        <v>18</v>
      </c>
      <c r="J60" t="s">
        <v>404</v>
      </c>
    </row>
    <row r="61" spans="1:10" x14ac:dyDescent="0.35">
      <c r="J61" s="36" t="s">
        <v>398</v>
      </c>
    </row>
    <row r="62" spans="1:10" x14ac:dyDescent="0.35">
      <c r="A62" t="s">
        <v>722</v>
      </c>
      <c r="B62" t="s">
        <v>3</v>
      </c>
      <c r="C62" t="s">
        <v>43</v>
      </c>
      <c r="D62" t="s">
        <v>429</v>
      </c>
      <c r="E62" s="34" t="s">
        <v>179</v>
      </c>
      <c r="F62" s="33" t="s">
        <v>728</v>
      </c>
      <c r="G62" s="33" t="s">
        <v>2609</v>
      </c>
      <c r="H62" t="s">
        <v>413</v>
      </c>
      <c r="I62" s="1" t="s">
        <v>729</v>
      </c>
      <c r="J62" s="3" t="s">
        <v>728</v>
      </c>
    </row>
    <row r="63" spans="1:10" x14ac:dyDescent="0.35">
      <c r="A63" t="s">
        <v>2610</v>
      </c>
      <c r="B63" s="1" t="s">
        <v>315</v>
      </c>
      <c r="E63" s="17"/>
      <c r="I63" t="s">
        <v>729</v>
      </c>
      <c r="J63" t="s">
        <v>728</v>
      </c>
    </row>
    <row r="64" spans="1:10" x14ac:dyDescent="0.35">
      <c r="I64" t="s">
        <v>718</v>
      </c>
      <c r="J64" t="s">
        <v>727</v>
      </c>
    </row>
    <row r="65" spans="1:10" x14ac:dyDescent="0.35">
      <c r="I65" t="s">
        <v>383</v>
      </c>
      <c r="J65" t="s">
        <v>726</v>
      </c>
    </row>
    <row r="66" spans="1:10" x14ac:dyDescent="0.35">
      <c r="I66" t="s">
        <v>345</v>
      </c>
      <c r="J66" t="s">
        <v>725</v>
      </c>
    </row>
    <row r="67" spans="1:10" x14ac:dyDescent="0.35">
      <c r="I67" t="s">
        <v>346</v>
      </c>
      <c r="J67" t="s">
        <v>724</v>
      </c>
    </row>
    <row r="68" spans="1:10" x14ac:dyDescent="0.35">
      <c r="I68" t="s">
        <v>1555</v>
      </c>
      <c r="J68" t="s">
        <v>723</v>
      </c>
    </row>
    <row r="69" spans="1:10" x14ac:dyDescent="0.35">
      <c r="I69" t="s">
        <v>104</v>
      </c>
      <c r="J69" s="36" t="s">
        <v>722</v>
      </c>
    </row>
    <row r="70" spans="1:10" x14ac:dyDescent="0.35">
      <c r="I70" s="38" t="s">
        <v>18</v>
      </c>
    </row>
    <row r="71" spans="1:10" x14ac:dyDescent="0.35">
      <c r="A71" s="33" t="s">
        <v>1441</v>
      </c>
      <c r="B71" t="s">
        <v>3</v>
      </c>
      <c r="C71" t="s">
        <v>43</v>
      </c>
      <c r="D71" t="s">
        <v>712</v>
      </c>
      <c r="E71" s="40" t="s">
        <v>179</v>
      </c>
      <c r="F71" s="33" t="s">
        <v>2859</v>
      </c>
      <c r="G71" s="33" t="s">
        <v>382</v>
      </c>
      <c r="H71" t="s">
        <v>130</v>
      </c>
      <c r="I71" s="1" t="s">
        <v>383</v>
      </c>
      <c r="J71" s="3" t="s">
        <v>399</v>
      </c>
    </row>
    <row r="72" spans="1:10" x14ac:dyDescent="0.35">
      <c r="E72" s="15"/>
      <c r="I72" t="s">
        <v>345</v>
      </c>
      <c r="J72" t="s">
        <v>400</v>
      </c>
    </row>
    <row r="73" spans="1:10" x14ac:dyDescent="0.35">
      <c r="I73" t="s">
        <v>346</v>
      </c>
      <c r="J73" t="s">
        <v>401</v>
      </c>
    </row>
    <row r="74" spans="1:10" x14ac:dyDescent="0.35">
      <c r="I74" t="s">
        <v>1555</v>
      </c>
      <c r="J74" t="s">
        <v>402</v>
      </c>
    </row>
    <row r="75" spans="1:10" x14ac:dyDescent="0.35">
      <c r="I75" t="s">
        <v>104</v>
      </c>
      <c r="J75" t="s">
        <v>1442</v>
      </c>
    </row>
    <row r="76" spans="1:10" x14ac:dyDescent="0.35">
      <c r="I76" s="38" t="s">
        <v>1249</v>
      </c>
      <c r="J76" t="s">
        <v>1443</v>
      </c>
    </row>
    <row r="77" spans="1:10" x14ac:dyDescent="0.35">
      <c r="J77" s="36" t="s">
        <v>1444</v>
      </c>
    </row>
    <row r="78" spans="1:10" x14ac:dyDescent="0.35">
      <c r="A78" s="33" t="s">
        <v>2623</v>
      </c>
      <c r="B78" s="1" t="s">
        <v>315</v>
      </c>
      <c r="C78" t="s">
        <v>43</v>
      </c>
      <c r="D78" t="s">
        <v>159</v>
      </c>
      <c r="E78" s="34" t="s">
        <v>2624</v>
      </c>
      <c r="F78" s="33" t="s">
        <v>2859</v>
      </c>
      <c r="G78" s="33" t="s">
        <v>382</v>
      </c>
      <c r="H78" t="s">
        <v>130</v>
      </c>
      <c r="I78" s="1" t="s">
        <v>383</v>
      </c>
      <c r="J78" s="3" t="s">
        <v>1291</v>
      </c>
    </row>
    <row r="79" spans="1:10" x14ac:dyDescent="0.35">
      <c r="E79" s="40" t="s">
        <v>2625</v>
      </c>
      <c r="I79" t="s">
        <v>345</v>
      </c>
      <c r="J79" t="s">
        <v>2552</v>
      </c>
    </row>
    <row r="80" spans="1:10" x14ac:dyDescent="0.35">
      <c r="I80" t="s">
        <v>346</v>
      </c>
      <c r="J80" t="s">
        <v>2553</v>
      </c>
    </row>
    <row r="81" spans="1:10" x14ac:dyDescent="0.35">
      <c r="I81" t="s">
        <v>1555</v>
      </c>
      <c r="J81" t="s">
        <v>2554</v>
      </c>
    </row>
    <row r="82" spans="1:10" x14ac:dyDescent="0.35">
      <c r="I82" t="s">
        <v>104</v>
      </c>
      <c r="J82" s="36" t="s">
        <v>2551</v>
      </c>
    </row>
    <row r="83" spans="1:10" x14ac:dyDescent="0.35">
      <c r="I83" s="38" t="s">
        <v>1249</v>
      </c>
    </row>
    <row r="84" spans="1:10" x14ac:dyDescent="0.35">
      <c r="A84" s="33" t="s">
        <v>3487</v>
      </c>
      <c r="B84" t="s">
        <v>3</v>
      </c>
      <c r="C84" t="s">
        <v>43</v>
      </c>
      <c r="D84" t="s">
        <v>184</v>
      </c>
      <c r="E84" s="40" t="s">
        <v>201</v>
      </c>
      <c r="F84" s="33" t="s">
        <v>2859</v>
      </c>
      <c r="G84" s="33" t="s">
        <v>382</v>
      </c>
      <c r="H84" t="s">
        <v>130</v>
      </c>
      <c r="I84" s="1" t="s">
        <v>383</v>
      </c>
      <c r="J84" s="3" t="s">
        <v>399</v>
      </c>
    </row>
    <row r="85" spans="1:10" x14ac:dyDescent="0.35">
      <c r="E85" s="15"/>
      <c r="I85" t="s">
        <v>345</v>
      </c>
      <c r="J85" t="s">
        <v>400</v>
      </c>
    </row>
    <row r="86" spans="1:10" x14ac:dyDescent="0.35">
      <c r="I86" t="s">
        <v>346</v>
      </c>
      <c r="J86" t="s">
        <v>3483</v>
      </c>
    </row>
    <row r="87" spans="1:10" x14ac:dyDescent="0.35">
      <c r="I87" t="s">
        <v>1555</v>
      </c>
      <c r="J87" t="s">
        <v>3484</v>
      </c>
    </row>
    <row r="88" spans="1:10" x14ac:dyDescent="0.35">
      <c r="I88" t="s">
        <v>104</v>
      </c>
      <c r="J88" t="s">
        <v>3485</v>
      </c>
    </row>
    <row r="89" spans="1:10" x14ac:dyDescent="0.35">
      <c r="I89" s="38" t="s">
        <v>1249</v>
      </c>
      <c r="J89" s="36" t="s">
        <v>3486</v>
      </c>
    </row>
    <row r="90" spans="1:10" x14ac:dyDescent="0.35">
      <c r="A90" s="33" t="s">
        <v>3794</v>
      </c>
      <c r="B90" t="s">
        <v>3</v>
      </c>
      <c r="C90" t="s">
        <v>43</v>
      </c>
      <c r="D90" t="s">
        <v>184</v>
      </c>
      <c r="E90" s="40" t="s">
        <v>201</v>
      </c>
      <c r="F90" s="33" t="s">
        <v>2859</v>
      </c>
      <c r="G90" s="33" t="s">
        <v>382</v>
      </c>
      <c r="H90" t="s">
        <v>130</v>
      </c>
      <c r="I90" s="1" t="s">
        <v>383</v>
      </c>
      <c r="J90" s="3" t="s">
        <v>399</v>
      </c>
    </row>
    <row r="91" spans="1:10" x14ac:dyDescent="0.35">
      <c r="E91" s="15"/>
      <c r="I91" t="s">
        <v>345</v>
      </c>
      <c r="J91" t="s">
        <v>717</v>
      </c>
    </row>
    <row r="92" spans="1:10" x14ac:dyDescent="0.35">
      <c r="I92" t="s">
        <v>346</v>
      </c>
      <c r="J92" t="s">
        <v>1855</v>
      </c>
    </row>
    <row r="93" spans="1:10" x14ac:dyDescent="0.35">
      <c r="I93" t="s">
        <v>1555</v>
      </c>
      <c r="J93" t="s">
        <v>1856</v>
      </c>
    </row>
    <row r="94" spans="1:10" x14ac:dyDescent="0.35">
      <c r="I94" t="s">
        <v>104</v>
      </c>
      <c r="J94" t="s">
        <v>1857</v>
      </c>
    </row>
    <row r="95" spans="1:10" x14ac:dyDescent="0.35">
      <c r="I95" s="38" t="s">
        <v>1249</v>
      </c>
      <c r="J95" s="36" t="s">
        <v>3795</v>
      </c>
    </row>
    <row r="96" spans="1:10" x14ac:dyDescent="0.35">
      <c r="A96" t="s">
        <v>1853</v>
      </c>
      <c r="B96" t="s">
        <v>3</v>
      </c>
      <c r="C96" t="s">
        <v>43</v>
      </c>
      <c r="D96" t="s">
        <v>159</v>
      </c>
      <c r="E96" s="54" t="s">
        <v>216</v>
      </c>
      <c r="F96" s="33" t="s">
        <v>2859</v>
      </c>
      <c r="G96" s="33" t="s">
        <v>382</v>
      </c>
      <c r="H96" t="s">
        <v>130</v>
      </c>
      <c r="I96" s="1" t="s">
        <v>383</v>
      </c>
      <c r="J96" s="3" t="s">
        <v>1291</v>
      </c>
    </row>
    <row r="97" spans="1:10" x14ac:dyDescent="0.35">
      <c r="E97" s="15"/>
      <c r="I97" t="s">
        <v>345</v>
      </c>
      <c r="J97" t="s">
        <v>1292</v>
      </c>
    </row>
    <row r="98" spans="1:10" x14ac:dyDescent="0.35">
      <c r="I98" t="s">
        <v>346</v>
      </c>
      <c r="J98" t="s">
        <v>1293</v>
      </c>
    </row>
    <row r="99" spans="1:10" x14ac:dyDescent="0.35">
      <c r="I99" t="s">
        <v>1555</v>
      </c>
      <c r="J99" t="s">
        <v>1294</v>
      </c>
    </row>
    <row r="100" spans="1:10" x14ac:dyDescent="0.35">
      <c r="I100" t="s">
        <v>104</v>
      </c>
      <c r="J100" s="36" t="s">
        <v>1295</v>
      </c>
    </row>
    <row r="101" spans="1:10" x14ac:dyDescent="0.35">
      <c r="I101" s="38" t="s">
        <v>1249</v>
      </c>
    </row>
    <row r="102" spans="1:10" x14ac:dyDescent="0.35">
      <c r="A102" s="33" t="s">
        <v>1854</v>
      </c>
      <c r="B102" t="s">
        <v>3</v>
      </c>
      <c r="C102" t="s">
        <v>43</v>
      </c>
      <c r="D102" t="s">
        <v>64</v>
      </c>
      <c r="E102" s="54" t="s">
        <v>216</v>
      </c>
      <c r="F102" s="33" t="s">
        <v>2859</v>
      </c>
      <c r="G102" s="33" t="s">
        <v>382</v>
      </c>
      <c r="H102" t="s">
        <v>130</v>
      </c>
      <c r="I102" s="1" t="s">
        <v>383</v>
      </c>
      <c r="J102" s="3" t="s">
        <v>399</v>
      </c>
    </row>
    <row r="103" spans="1:10" x14ac:dyDescent="0.35">
      <c r="E103" s="15"/>
      <c r="I103" t="s">
        <v>345</v>
      </c>
      <c r="J103" t="s">
        <v>717</v>
      </c>
    </row>
    <row r="104" spans="1:10" x14ac:dyDescent="0.35">
      <c r="I104" t="s">
        <v>346</v>
      </c>
      <c r="J104" t="s">
        <v>1855</v>
      </c>
    </row>
    <row r="105" spans="1:10" x14ac:dyDescent="0.35">
      <c r="I105" t="s">
        <v>1555</v>
      </c>
      <c r="J105" t="s">
        <v>1856</v>
      </c>
    </row>
    <row r="106" spans="1:10" x14ac:dyDescent="0.35">
      <c r="I106" t="s">
        <v>104</v>
      </c>
      <c r="J106" t="s">
        <v>1857</v>
      </c>
    </row>
    <row r="107" spans="1:10" x14ac:dyDescent="0.35">
      <c r="I107" s="38" t="s">
        <v>1249</v>
      </c>
      <c r="J107" t="s">
        <v>1858</v>
      </c>
    </row>
    <row r="108" spans="1:10" x14ac:dyDescent="0.35">
      <c r="J108" s="36" t="s">
        <v>1854</v>
      </c>
    </row>
  </sheetData>
  <autoFilter ref="E1:E108" xr:uid="{00000000-0001-0000-1000-000000000000}"/>
  <hyperlinks>
    <hyperlink ref="A1" location="Summary!A1" tooltip="Return to Totals" display="Back to Totals" xr:uid="{90180A58-E71F-479E-9E62-77FBE8C28411}"/>
    <hyperlink ref="I14" r:id="rId1" xr:uid="{60FACD17-9B66-41C3-A843-C27983FE5B05}"/>
    <hyperlink ref="I20" r:id="rId2" xr:uid="{7CC8247C-0A80-4642-9BB3-E3488738046A}"/>
    <hyperlink ref="I26" r:id="rId3" xr:uid="{3574E0B3-6E79-4AD5-B2D2-A400AE6AEFAA}"/>
    <hyperlink ref="I42" r:id="rId4" xr:uid="{B0189589-7CBD-42AB-A417-BD265FE819BD}"/>
    <hyperlink ref="I48" r:id="rId5" xr:uid="{7157A0BC-3B19-4B74-B50C-818362BE4D5D}"/>
    <hyperlink ref="I60" r:id="rId6" xr:uid="{39537237-A8F5-45F4-AF26-CC505FF2EA6F}"/>
    <hyperlink ref="I70" r:id="rId7" xr:uid="{BE6C94B1-DF9C-437F-85D3-68160033982A}"/>
    <hyperlink ref="I54" r:id="rId8" xr:uid="{E6DC1E50-E331-4541-9BC5-08EB90B010C8}"/>
    <hyperlink ref="I76" r:id="rId9" xr:uid="{661CB01F-8899-48F8-B01A-15252845D751}"/>
    <hyperlink ref="I83" r:id="rId10" xr:uid="{C2B8B918-1FDB-44C1-817B-3249BD348465}"/>
    <hyperlink ref="I101" r:id="rId11" xr:uid="{4A51B44F-7E4D-4547-B456-0EE9B3531DB9}"/>
    <hyperlink ref="I107" r:id="rId12" xr:uid="{C9500FBC-57F2-4EF5-A99B-054EF1F07758}"/>
    <hyperlink ref="F15" r:id="rId13" display="Joseph Dison Meecey" xr:uid="{E48A6DA4-D2D2-411A-8E89-FEB4827176D9}"/>
    <hyperlink ref="F9" r:id="rId14" display="Joseph Dison Meecey" xr:uid="{1B38CEF1-6997-4887-BA16-6C3AABCBA8A9}"/>
    <hyperlink ref="F21" r:id="rId15" display="Joseph Dison Meecey" xr:uid="{F36072D6-5F5D-4A4B-9076-E0ADD49C6BAA}"/>
    <hyperlink ref="F37" r:id="rId16" display="Joseph Dison Meecey" xr:uid="{2D1F0FD3-66FF-49D9-A8DB-A6AD922388A8}"/>
    <hyperlink ref="F43" r:id="rId17" display="Joseph Dison Meecey" xr:uid="{830E336E-9E47-4851-B4B7-D6F861B993F3}"/>
    <hyperlink ref="F49" r:id="rId18" display="Joseph Dison Meecey" xr:uid="{F27485E9-14EB-467F-84C7-45DC8260952D}"/>
    <hyperlink ref="F55" r:id="rId19" display="Joseph Dison Meecey" xr:uid="{CC86A22D-BDD5-44C1-A09C-85668CEEC3E3}"/>
    <hyperlink ref="F71" r:id="rId20" display="Joseph Dison Meecey" xr:uid="{05F1C901-1CB4-40CF-B48E-9878037673CD}"/>
    <hyperlink ref="F78" r:id="rId21" display="Joseph Dison Meecey" xr:uid="{2025C495-3088-4E45-B38D-9592F009E942}"/>
    <hyperlink ref="F96" r:id="rId22" display="Joseph Dison Meecey" xr:uid="{5E626A2B-E74A-4928-BE61-9028E9E32E20}"/>
    <hyperlink ref="F102" r:id="rId23" display="Joseph Dison Meecey" xr:uid="{036B91DD-85CB-4759-AAC0-03AF44C2EFB1}"/>
    <hyperlink ref="G102" r:id="rId24" xr:uid="{74B69911-8060-45AF-A43A-E39E977BF9E8}"/>
    <hyperlink ref="G96" r:id="rId25" xr:uid="{5DD9224D-ED9E-48D0-BF3B-D451664E034F}"/>
    <hyperlink ref="G78" r:id="rId26" xr:uid="{4E6043CF-BC3A-4D71-9E39-414C91EE2E02}"/>
    <hyperlink ref="G71" r:id="rId27" xr:uid="{2BE9C35C-3D4E-424C-BA53-7DC7316E3765}"/>
    <hyperlink ref="G55" r:id="rId28" xr:uid="{51E50BCD-396F-484C-8D69-FD63E55E63D4}"/>
    <hyperlink ref="G49" r:id="rId29" xr:uid="{D03C8181-2D77-4C8C-88BB-A93CB51C6DC1}"/>
    <hyperlink ref="G43" r:id="rId30" xr:uid="{20D30F8D-B682-46BA-A2CC-95BBDDB1F2D0}"/>
    <hyperlink ref="G37" r:id="rId31" xr:uid="{8FE9D05E-ED91-4306-B04A-D8EE49C466E4}"/>
    <hyperlink ref="G21" r:id="rId32" xr:uid="{4088389F-7389-482E-B002-D9EA4B8A593F}"/>
    <hyperlink ref="G15" r:id="rId33" xr:uid="{AC803DAD-F496-4902-9CDC-8F9A570A00FD}"/>
    <hyperlink ref="G9" r:id="rId34" xr:uid="{31E3E469-0A39-4B91-85A3-5A58AA78D6AC}"/>
    <hyperlink ref="F62" r:id="rId35" xr:uid="{FC1B9DA3-3370-4BA9-995D-67D9023F5363}"/>
    <hyperlink ref="G62" r:id="rId36" xr:uid="{C9994FDF-E5D0-4FC6-A657-E34EC87E3D36}"/>
    <hyperlink ref="J12" r:id="rId37" xr:uid="{46220191-8921-483D-AF7A-3ED33B33538B}"/>
    <hyperlink ref="J20" r:id="rId38" xr:uid="{3D1BB1B2-0E41-4733-9750-BF6C8EB4484C}"/>
    <hyperlink ref="A16" r:id="rId39" xr:uid="{C689721A-9B24-4AD2-A0CC-247F33377EC8}"/>
    <hyperlink ref="A15" r:id="rId40" xr:uid="{2A056B6A-3282-4689-B46D-3E3BA5A89B33}"/>
    <hyperlink ref="J27" r:id="rId41" xr:uid="{8A8F191E-6C7A-443A-A5FD-23FBCCBA15A4}"/>
    <hyperlink ref="J42" r:id="rId42" xr:uid="{DD0135AA-7EFD-4D96-BEF8-3BE290F9EF78}"/>
    <hyperlink ref="J48" r:id="rId43" xr:uid="{46116C9E-A968-421F-A2BE-1963B9EDF918}"/>
    <hyperlink ref="J54" r:id="rId44" xr:uid="{C1BDF728-8E6A-4DD4-BEC1-91839EDB192A}"/>
    <hyperlink ref="J61" r:id="rId45" xr:uid="{B1A20A16-B39A-4A4F-8DDD-31FAABFA1C07}"/>
    <hyperlink ref="J69" r:id="rId46" xr:uid="{9A58AB40-5D36-48B5-B9A5-9358F5CC429A}"/>
    <hyperlink ref="J77" r:id="rId47" xr:uid="{ED91F1B3-322F-4B9A-94C0-751C8DC6E9AD}"/>
    <hyperlink ref="J82" r:id="rId48" xr:uid="{5E32A6B0-BCCD-458D-A0DD-608D6E602068}"/>
    <hyperlink ref="J100" r:id="rId49" xr:uid="{3C51227F-02D6-447D-BE1A-43033893E950}"/>
    <hyperlink ref="J108" r:id="rId50" xr:uid="{22C722CB-C644-4818-AFE2-B0316CC28203}"/>
    <hyperlink ref="A102" r:id="rId51" xr:uid="{5E42D6EB-72D9-460F-96DF-F197BECFF908}"/>
    <hyperlink ref="A55" r:id="rId52" xr:uid="{82D1A5C4-A762-4306-9D95-13FAD8ADB832}"/>
    <hyperlink ref="A49" r:id="rId53" xr:uid="{76294898-AFDD-4668-A76C-56FBB95FF2A2}"/>
    <hyperlink ref="A71" r:id="rId54" xr:uid="{FE461998-A0DC-43A0-B459-FC70DFF6A360}"/>
    <hyperlink ref="A78" r:id="rId55" xr:uid="{802C9F61-3352-45D2-9199-D8CD9E039005}"/>
    <hyperlink ref="A37" r:id="rId56" xr:uid="{CB9B83C5-D26B-40BC-AA82-1FBBCB0CA6F2}"/>
    <hyperlink ref="A43" r:id="rId57" xr:uid="{87BC968B-A203-4F73-97A1-0269E0CCA3CD}"/>
    <hyperlink ref="E56" r:id="rId58" xr:uid="{F14E3843-72D5-42E5-B192-6F863A50D39F}"/>
    <hyperlink ref="E102" r:id="rId59" xr:uid="{D1924FF4-E9EA-4914-84E4-0EB43F79700F}"/>
    <hyperlink ref="E96" r:id="rId60" xr:uid="{140918D9-D299-437D-8E11-43D4722F2B99}"/>
    <hyperlink ref="E79" r:id="rId61" xr:uid="{78E25361-8051-4F34-974F-5064732F218F}"/>
    <hyperlink ref="E78" r:id="rId62" xr:uid="{04EEDF29-6401-44B6-BCE5-2F88294CDA92}"/>
    <hyperlink ref="E71" r:id="rId63" xr:uid="{1A9C3893-C3C3-461F-BC12-C5C9712F6CB7}"/>
    <hyperlink ref="E62" r:id="rId64" xr:uid="{C6B0536D-BDE9-4EED-86C1-56ACBB7A6CBC}"/>
    <hyperlink ref="E55" r:id="rId65" xr:uid="{BAC836E3-2FBE-4F42-B085-C44EC2DE7059}"/>
    <hyperlink ref="E49" r:id="rId66" xr:uid="{9E4BF320-162B-4E0A-96AF-9348AAE64D88}"/>
    <hyperlink ref="E43" r:id="rId67" xr:uid="{E6C83418-41EE-4C21-BD11-B035DCBD27E7}"/>
    <hyperlink ref="E37" r:id="rId68" xr:uid="{CD386D75-0E48-4225-8DB3-23208E4841C0}"/>
    <hyperlink ref="E21" r:id="rId69" xr:uid="{6FCDEE92-9501-4B67-B9A4-27E2F048B412}"/>
    <hyperlink ref="E15" r:id="rId70" xr:uid="{C4C3890A-4CAC-412E-ACCC-E1BBC275C44A}"/>
    <hyperlink ref="E10" r:id="rId71" xr:uid="{CD52F2D3-6C4C-486A-895E-D24C82A30455}"/>
    <hyperlink ref="E9" r:id="rId72" xr:uid="{C8881925-5D15-42FF-B677-CDE0AA7A47E4}"/>
    <hyperlink ref="I8" r:id="rId73" xr:uid="{F1208A80-0D28-4A3D-B600-A01DEC20C031}"/>
    <hyperlink ref="F3" r:id="rId74" display="Joseph Dison Meecey" xr:uid="{25C6D9B3-156F-40F6-88CE-38FF1DB3F0A6}"/>
    <hyperlink ref="G3" r:id="rId75" xr:uid="{C02B20A7-135E-461C-8890-7024583380CC}"/>
    <hyperlink ref="E4" r:id="rId76" xr:uid="{7C8D3BD3-699B-4F1C-B150-3ED4285EA51D}"/>
    <hyperlink ref="E3" r:id="rId77" display="43cM" xr:uid="{8ECB3046-E850-42E4-9221-634013B8FBB3}"/>
    <hyperlink ref="J7" r:id="rId78" xr:uid="{D0C007E1-F5BF-493A-990B-FC32372D5C04}"/>
    <hyperlink ref="A3" r:id="rId79" display="jatinform" xr:uid="{0DFAAC81-EB58-4C7A-AE45-AAA73F58E3D3}"/>
    <hyperlink ref="I89" r:id="rId80" xr:uid="{3EB68723-FD32-4A2A-8C49-B607A142D009}"/>
    <hyperlink ref="F84" r:id="rId81" display="Joseph Dison Meecey" xr:uid="{48F7675A-60E4-4719-AD2F-E60D2228E159}"/>
    <hyperlink ref="G84" r:id="rId82" xr:uid="{223EA30C-BF7C-4680-B675-F1330047CD9B}"/>
    <hyperlink ref="A84" r:id="rId83" xr:uid="{A8FA829E-07AE-4A1C-8B97-1F824986D35D}"/>
    <hyperlink ref="E84" r:id="rId84" xr:uid="{63728F96-0687-4A81-A0C8-D78FA1EDF50A}"/>
    <hyperlink ref="J89" r:id="rId85" xr:uid="{49740335-EDB4-477D-8A8D-9A12006DE88D}"/>
    <hyperlink ref="J34" r:id="rId86" xr:uid="{C5991D37-4129-4C4C-A151-CDE4E424F724}"/>
    <hyperlink ref="E28" r:id="rId87" xr:uid="{4DAB5BF6-3EE8-49DD-B92D-C47834D13701}"/>
    <hyperlink ref="F28" r:id="rId88" xr:uid="{16FE5FAF-8037-4D89-B974-7A378E45512B}"/>
    <hyperlink ref="G28" r:id="rId89" xr:uid="{4CD90AA0-47D4-4731-BC5E-072B7E802FA5}"/>
    <hyperlink ref="A28" r:id="rId90" xr:uid="{A176F057-3EC5-4270-AAD3-DDA076D32A92}"/>
    <hyperlink ref="I36" r:id="rId91" xr:uid="{A6B08512-1375-4822-A8B1-CF872E002E46}"/>
    <hyperlink ref="I95" r:id="rId92" xr:uid="{35704E20-CAED-4756-A1ED-1B198E3EC37E}"/>
    <hyperlink ref="F90" r:id="rId93" display="Joseph Dison Meecey" xr:uid="{0AA29723-C376-4EB2-8ECF-0197F7D354FB}"/>
    <hyperlink ref="G90" r:id="rId94" xr:uid="{F6F49CD6-81EA-4FB5-832B-34A37BD73217}"/>
    <hyperlink ref="A90" r:id="rId95" xr:uid="{C0EE7B6C-E0C0-4982-AEBB-0BC2A0C9ED84}"/>
    <hyperlink ref="E90" r:id="rId96" xr:uid="{11CE1280-5576-43CA-99F5-1E8C9AD45F33}"/>
    <hyperlink ref="J95" r:id="rId97" xr:uid="{75E0115A-4A57-476D-8956-6C2C22648AC6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8">
    <tabColor theme="9" tint="-0.249977111117893"/>
  </sheetPr>
  <dimension ref="A1:J21"/>
  <sheetViews>
    <sheetView topLeftCell="A10" workbookViewId="0">
      <selection activeCell="A13" sqref="A13"/>
    </sheetView>
  </sheetViews>
  <sheetFormatPr defaultRowHeight="14.5" x14ac:dyDescent="0.35"/>
  <cols>
    <col min="1" max="1" width="17.7265625" customWidth="1"/>
    <col min="2" max="2" width="14.81640625" customWidth="1"/>
    <col min="3" max="3" width="21.26953125" customWidth="1"/>
    <col min="4" max="4" width="23.81640625" customWidth="1"/>
    <col min="5" max="5" width="12.81640625" customWidth="1"/>
    <col min="6" max="6" width="24.453125" customWidth="1"/>
    <col min="7" max="7" width="25.54296875" customWidth="1"/>
    <col min="8" max="8" width="23.08984375" customWidth="1"/>
    <col min="9" max="9" width="21.54296875" customWidth="1"/>
    <col min="10" max="10" width="19.7265625" customWidth="1"/>
  </cols>
  <sheetData>
    <row r="1" spans="1:10" x14ac:dyDescent="0.35">
      <c r="A1" s="34" t="s">
        <v>3196</v>
      </c>
      <c r="B1" s="16">
        <f>COUNTIF(I2:I1067,C1)+COUNTIF(I2:I1067,D1)</f>
        <v>2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1782</v>
      </c>
      <c r="B3" t="s">
        <v>3</v>
      </c>
      <c r="C3" t="s">
        <v>43</v>
      </c>
      <c r="D3" t="s">
        <v>1739</v>
      </c>
      <c r="E3" s="54" t="s">
        <v>72</v>
      </c>
      <c r="F3" s="33" t="s">
        <v>1787</v>
      </c>
      <c r="G3" s="33" t="s">
        <v>1784</v>
      </c>
      <c r="H3" t="s">
        <v>1716</v>
      </c>
      <c r="I3" s="1" t="s">
        <v>1785</v>
      </c>
      <c r="J3" s="3" t="s">
        <v>1788</v>
      </c>
    </row>
    <row r="4" spans="1:10" x14ac:dyDescent="0.35">
      <c r="E4" s="34" t="s">
        <v>44</v>
      </c>
      <c r="I4" t="s">
        <v>1786</v>
      </c>
      <c r="J4" t="s">
        <v>1789</v>
      </c>
    </row>
    <row r="5" spans="1:10" x14ac:dyDescent="0.35">
      <c r="I5" t="s">
        <v>720</v>
      </c>
      <c r="J5" t="s">
        <v>1790</v>
      </c>
    </row>
    <row r="6" spans="1:10" x14ac:dyDescent="0.35">
      <c r="I6" t="s">
        <v>595</v>
      </c>
      <c r="J6" t="s">
        <v>1791</v>
      </c>
    </row>
    <row r="7" spans="1:10" x14ac:dyDescent="0.35">
      <c r="I7" t="s">
        <v>366</v>
      </c>
      <c r="J7" t="s">
        <v>1792</v>
      </c>
    </row>
    <row r="8" spans="1:10" x14ac:dyDescent="0.35">
      <c r="I8" t="s">
        <v>345</v>
      </c>
      <c r="J8" t="s">
        <v>1793</v>
      </c>
    </row>
    <row r="9" spans="1:10" x14ac:dyDescent="0.35">
      <c r="I9" t="s">
        <v>346</v>
      </c>
      <c r="J9" t="s">
        <v>1793</v>
      </c>
    </row>
    <row r="10" spans="1:10" x14ac:dyDescent="0.35">
      <c r="I10" t="s">
        <v>1555</v>
      </c>
      <c r="J10" t="s">
        <v>1794</v>
      </c>
    </row>
    <row r="11" spans="1:10" x14ac:dyDescent="0.35">
      <c r="I11" t="s">
        <v>104</v>
      </c>
      <c r="J11" t="s">
        <v>1795</v>
      </c>
    </row>
    <row r="12" spans="1:10" x14ac:dyDescent="0.35">
      <c r="I12" s="38" t="s">
        <v>18</v>
      </c>
      <c r="J12" s="36" t="s">
        <v>1796</v>
      </c>
    </row>
    <row r="13" spans="1:10" x14ac:dyDescent="0.35">
      <c r="A13" s="33" t="s">
        <v>1803</v>
      </c>
      <c r="B13" t="s">
        <v>3</v>
      </c>
      <c r="C13" t="s">
        <v>43</v>
      </c>
      <c r="D13" t="s">
        <v>951</v>
      </c>
      <c r="E13" s="34" t="s">
        <v>89</v>
      </c>
      <c r="F13" s="33" t="s">
        <v>1785</v>
      </c>
      <c r="G13" s="33" t="s">
        <v>1809</v>
      </c>
      <c r="H13" t="s">
        <v>91</v>
      </c>
      <c r="I13" s="1" t="s">
        <v>1786</v>
      </c>
      <c r="J13" s="3" t="s">
        <v>1787</v>
      </c>
    </row>
    <row r="14" spans="1:10" x14ac:dyDescent="0.35">
      <c r="E14" s="17"/>
      <c r="I14" t="s">
        <v>720</v>
      </c>
      <c r="J14" t="s">
        <v>1787</v>
      </c>
    </row>
    <row r="15" spans="1:10" x14ac:dyDescent="0.35">
      <c r="I15" t="s">
        <v>595</v>
      </c>
      <c r="J15" t="s">
        <v>1804</v>
      </c>
    </row>
    <row r="16" spans="1:10" x14ac:dyDescent="0.35">
      <c r="I16" t="s">
        <v>366</v>
      </c>
      <c r="J16" t="s">
        <v>1805</v>
      </c>
    </row>
    <row r="17" spans="9:10" x14ac:dyDescent="0.35">
      <c r="I17" t="s">
        <v>345</v>
      </c>
      <c r="J17" t="s">
        <v>1805</v>
      </c>
    </row>
    <row r="18" spans="9:10" x14ac:dyDescent="0.35">
      <c r="I18" t="s">
        <v>346</v>
      </c>
      <c r="J18" t="s">
        <v>1806</v>
      </c>
    </row>
    <row r="19" spans="9:10" x14ac:dyDescent="0.35">
      <c r="I19" t="s">
        <v>1555</v>
      </c>
      <c r="J19" t="s">
        <v>1807</v>
      </c>
    </row>
    <row r="20" spans="9:10" x14ac:dyDescent="0.35">
      <c r="I20" t="s">
        <v>104</v>
      </c>
      <c r="J20" s="36" t="s">
        <v>1808</v>
      </c>
    </row>
    <row r="21" spans="9:10" x14ac:dyDescent="0.35">
      <c r="I21" s="38" t="s">
        <v>18</v>
      </c>
    </row>
  </sheetData>
  <hyperlinks>
    <hyperlink ref="A1" location="Summary!A1" tooltip="Return to Totals" display="Back to Totals" xr:uid="{7CF0F2C2-CEF1-4AFE-83D5-44547C474991}"/>
    <hyperlink ref="I12" r:id="rId1" xr:uid="{F4F705CB-0D10-4053-9956-4F4648B19DC0}"/>
    <hyperlink ref="I21" r:id="rId2" xr:uid="{D893E58D-1B59-4E9E-9B8C-DFEA71C22BA9}"/>
    <hyperlink ref="F3" r:id="rId3" xr:uid="{4EFA93CC-E2DB-4875-9B1B-8B6DE3AD13FF}"/>
    <hyperlink ref="G3" r:id="rId4" xr:uid="{EFBFF60F-5A56-4DC6-B03A-25852E5C8A46}"/>
    <hyperlink ref="F13" r:id="rId5" xr:uid="{23239608-CABC-4784-BC72-55F330F4E722}"/>
    <hyperlink ref="G13" r:id="rId6" xr:uid="{27A5DAE4-BE32-4DC4-97D4-2FED5798D9CF}"/>
    <hyperlink ref="J12" r:id="rId7" xr:uid="{9525AE89-2D25-41C7-9959-37225B6203D5}"/>
    <hyperlink ref="J20" r:id="rId8" xr:uid="{6B99C210-1035-43BE-8C80-8F2DDA4A0E47}"/>
    <hyperlink ref="A3" r:id="rId9" xr:uid="{0EFF7BBB-7D8D-41FA-9A7D-74BEFE71CA16}"/>
    <hyperlink ref="A13" r:id="rId10" xr:uid="{A7E4F144-6C80-4DA1-A49C-41DC42F1601B}"/>
    <hyperlink ref="E4" r:id="rId11" xr:uid="{999E9691-5269-4267-9399-C4D384312CE0}"/>
    <hyperlink ref="E13" r:id="rId12" xr:uid="{A8C7BD49-8C21-427C-A928-5BC2C0FD1BF8}"/>
    <hyperlink ref="E3" r:id="rId13" xr:uid="{5BB1AD12-63F6-4413-8F59-88314EE2D954}"/>
  </hyperlinks>
  <pageMargins left="0.7" right="0.7" top="0.75" bottom="0.75" header="0.3" footer="0.3"/>
  <pageSetup paperSize="9" orientation="portrait" horizontalDpi="0" verticalDpi="0" r:id="rId14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9">
    <tabColor theme="6" tint="-0.499984740745262"/>
  </sheetPr>
  <dimension ref="A1:J59"/>
  <sheetViews>
    <sheetView workbookViewId="0"/>
  </sheetViews>
  <sheetFormatPr defaultRowHeight="14.5" x14ac:dyDescent="0.35"/>
  <cols>
    <col min="1" max="1" width="28.08984375" customWidth="1"/>
    <col min="2" max="2" width="14.81640625" customWidth="1"/>
    <col min="3" max="3" width="21.81640625" customWidth="1"/>
    <col min="4" max="4" width="22.6328125" customWidth="1"/>
    <col min="5" max="5" width="12.54296875" customWidth="1"/>
    <col min="6" max="6" width="24.453125" customWidth="1"/>
    <col min="7" max="7" width="28.26953125" customWidth="1"/>
    <col min="8" max="8" width="24.1796875" customWidth="1"/>
    <col min="9" max="9" width="25" customWidth="1"/>
    <col min="10" max="10" width="26.26953125" customWidth="1"/>
  </cols>
  <sheetData>
    <row r="1" spans="1:10" x14ac:dyDescent="0.35">
      <c r="A1" s="34" t="s">
        <v>3196</v>
      </c>
      <c r="B1" s="16">
        <f>COUNTIF(I2:I1074,C1)+COUNTIF(I2:I1074,D1)</f>
        <v>6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1973</v>
      </c>
      <c r="B3" t="s">
        <v>3</v>
      </c>
      <c r="C3" t="s">
        <v>43</v>
      </c>
      <c r="D3" t="s">
        <v>55</v>
      </c>
      <c r="E3" s="34" t="s">
        <v>189</v>
      </c>
      <c r="F3" s="33" t="s">
        <v>70</v>
      </c>
      <c r="G3" s="33" t="s">
        <v>71</v>
      </c>
      <c r="H3" t="s">
        <v>54</v>
      </c>
      <c r="I3" s="1" t="s">
        <v>1418</v>
      </c>
      <c r="J3" s="3" t="s">
        <v>1975</v>
      </c>
    </row>
    <row r="4" spans="1:10" x14ac:dyDescent="0.35">
      <c r="E4" s="40" t="s">
        <v>216</v>
      </c>
      <c r="G4" s="33" t="s">
        <v>2945</v>
      </c>
      <c r="I4" t="s">
        <v>1974</v>
      </c>
      <c r="J4" t="s">
        <v>1977</v>
      </c>
    </row>
    <row r="5" spans="1:10" x14ac:dyDescent="0.35">
      <c r="I5" t="s">
        <v>324</v>
      </c>
      <c r="J5" t="s">
        <v>1976</v>
      </c>
    </row>
    <row r="6" spans="1:10" x14ac:dyDescent="0.35">
      <c r="I6" t="s">
        <v>325</v>
      </c>
      <c r="J6" t="s">
        <v>1978</v>
      </c>
    </row>
    <row r="7" spans="1:10" x14ac:dyDescent="0.35">
      <c r="I7" t="s">
        <v>16</v>
      </c>
      <c r="J7" t="s">
        <v>1979</v>
      </c>
    </row>
    <row r="8" spans="1:10" x14ac:dyDescent="0.35">
      <c r="I8" t="s">
        <v>17</v>
      </c>
      <c r="J8" t="s">
        <v>1980</v>
      </c>
    </row>
    <row r="9" spans="1:10" x14ac:dyDescent="0.35">
      <c r="I9" s="38" t="s">
        <v>18</v>
      </c>
      <c r="J9" s="43" t="s">
        <v>1981</v>
      </c>
    </row>
    <row r="10" spans="1:10" x14ac:dyDescent="0.35">
      <c r="A10" s="33" t="s">
        <v>613</v>
      </c>
      <c r="B10" s="1" t="s">
        <v>315</v>
      </c>
      <c r="C10" t="s">
        <v>607</v>
      </c>
      <c r="D10" t="s">
        <v>615</v>
      </c>
      <c r="E10" s="34" t="s">
        <v>614</v>
      </c>
      <c r="F10" s="33" t="s">
        <v>90</v>
      </c>
      <c r="G10" s="33" t="s">
        <v>622</v>
      </c>
      <c r="H10" t="s">
        <v>91</v>
      </c>
      <c r="I10" s="1" t="s">
        <v>76</v>
      </c>
      <c r="J10" s="3" t="s">
        <v>88</v>
      </c>
    </row>
    <row r="11" spans="1:10" x14ac:dyDescent="0.35">
      <c r="E11" s="17"/>
      <c r="I11" t="s">
        <v>70</v>
      </c>
      <c r="J11" t="s">
        <v>621</v>
      </c>
    </row>
    <row r="12" spans="1:10" x14ac:dyDescent="0.35">
      <c r="I12" t="s">
        <v>1418</v>
      </c>
      <c r="J12" t="s">
        <v>620</v>
      </c>
    </row>
    <row r="13" spans="1:10" x14ac:dyDescent="0.35">
      <c r="I13" t="s">
        <v>1974</v>
      </c>
      <c r="J13" t="s">
        <v>333</v>
      </c>
    </row>
    <row r="14" spans="1:10" x14ac:dyDescent="0.35">
      <c r="I14" t="s">
        <v>323</v>
      </c>
      <c r="J14" t="s">
        <v>619</v>
      </c>
    </row>
    <row r="15" spans="1:10" x14ac:dyDescent="0.35">
      <c r="I15" t="s">
        <v>12</v>
      </c>
      <c r="J15" t="s">
        <v>618</v>
      </c>
    </row>
    <row r="16" spans="1:10" x14ac:dyDescent="0.35">
      <c r="I16" t="s">
        <v>16</v>
      </c>
      <c r="J16" t="s">
        <v>617</v>
      </c>
    </row>
    <row r="17" spans="1:10" x14ac:dyDescent="0.35">
      <c r="I17" t="s">
        <v>17</v>
      </c>
      <c r="J17" t="s">
        <v>616</v>
      </c>
    </row>
    <row r="18" spans="1:10" ht="14.15" customHeight="1" x14ac:dyDescent="0.35">
      <c r="I18" s="38" t="s">
        <v>18</v>
      </c>
      <c r="J18" s="36" t="s">
        <v>613</v>
      </c>
    </row>
    <row r="19" spans="1:10" x14ac:dyDescent="0.35">
      <c r="A19" s="33" t="s">
        <v>2626</v>
      </c>
      <c r="B19" t="s">
        <v>3</v>
      </c>
      <c r="C19" t="s">
        <v>43</v>
      </c>
      <c r="D19" t="s">
        <v>55</v>
      </c>
      <c r="E19" s="34" t="s">
        <v>72</v>
      </c>
      <c r="F19" s="33" t="s">
        <v>70</v>
      </c>
      <c r="G19" s="33" t="s">
        <v>71</v>
      </c>
      <c r="H19" t="s">
        <v>54</v>
      </c>
      <c r="I19" s="1" t="s">
        <v>1418</v>
      </c>
      <c r="J19" s="3" t="s">
        <v>77</v>
      </c>
    </row>
    <row r="20" spans="1:10" x14ac:dyDescent="0.35">
      <c r="E20" s="17"/>
      <c r="I20" t="s">
        <v>1974</v>
      </c>
      <c r="J20" t="s">
        <v>78</v>
      </c>
    </row>
    <row r="21" spans="1:10" x14ac:dyDescent="0.35">
      <c r="I21" t="s">
        <v>9</v>
      </c>
      <c r="J21" s="5" t="s">
        <v>77</v>
      </c>
    </row>
    <row r="22" spans="1:10" x14ac:dyDescent="0.35">
      <c r="I22" t="s">
        <v>12</v>
      </c>
      <c r="J22" t="s">
        <v>79</v>
      </c>
    </row>
    <row r="23" spans="1:10" x14ac:dyDescent="0.35">
      <c r="I23" t="s">
        <v>16</v>
      </c>
      <c r="J23" t="s">
        <v>80</v>
      </c>
    </row>
    <row r="24" spans="1:10" x14ac:dyDescent="0.35">
      <c r="I24" t="s">
        <v>17</v>
      </c>
      <c r="J24" t="s">
        <v>81</v>
      </c>
    </row>
    <row r="25" spans="1:10" x14ac:dyDescent="0.35">
      <c r="I25" s="38" t="s">
        <v>18</v>
      </c>
      <c r="J25" s="36" t="s">
        <v>75</v>
      </c>
    </row>
    <row r="26" spans="1:10" x14ac:dyDescent="0.35">
      <c r="A26" s="33" t="s">
        <v>3300</v>
      </c>
      <c r="B26" t="s">
        <v>3</v>
      </c>
      <c r="C26" t="s">
        <v>43</v>
      </c>
      <c r="D26" t="s">
        <v>55</v>
      </c>
      <c r="E26" s="104" t="s">
        <v>72</v>
      </c>
      <c r="F26" s="33" t="s">
        <v>70</v>
      </c>
      <c r="G26" s="33" t="s">
        <v>3301</v>
      </c>
      <c r="H26" t="s">
        <v>54</v>
      </c>
      <c r="I26" s="1" t="s">
        <v>1418</v>
      </c>
      <c r="J26" s="3" t="s">
        <v>3302</v>
      </c>
    </row>
    <row r="27" spans="1:10" x14ac:dyDescent="0.35">
      <c r="I27" t="s">
        <v>1974</v>
      </c>
      <c r="J27" t="s">
        <v>1977</v>
      </c>
    </row>
    <row r="28" spans="1:10" x14ac:dyDescent="0.35">
      <c r="I28" t="s">
        <v>9</v>
      </c>
      <c r="J28" s="5" t="s">
        <v>1976</v>
      </c>
    </row>
    <row r="29" spans="1:10" x14ac:dyDescent="0.35">
      <c r="I29" t="s">
        <v>12</v>
      </c>
      <c r="J29" t="s">
        <v>3303</v>
      </c>
    </row>
    <row r="30" spans="1:10" x14ac:dyDescent="0.35">
      <c r="I30" t="s">
        <v>16</v>
      </c>
      <c r="J30" t="s">
        <v>3304</v>
      </c>
    </row>
    <row r="31" spans="1:10" x14ac:dyDescent="0.35">
      <c r="I31" t="s">
        <v>17</v>
      </c>
      <c r="J31" t="s">
        <v>3305</v>
      </c>
    </row>
    <row r="32" spans="1:10" x14ac:dyDescent="0.35">
      <c r="I32" s="38" t="s">
        <v>3307</v>
      </c>
      <c r="J32" s="36" t="s">
        <v>3306</v>
      </c>
    </row>
    <row r="33" spans="1:10" x14ac:dyDescent="0.35">
      <c r="A33" s="33" t="s">
        <v>657</v>
      </c>
      <c r="B33" t="s">
        <v>3</v>
      </c>
      <c r="C33" t="s">
        <v>43</v>
      </c>
      <c r="D33" t="s">
        <v>656</v>
      </c>
      <c r="E33" s="34" t="s">
        <v>65</v>
      </c>
      <c r="F33" s="33" t="s">
        <v>90</v>
      </c>
      <c r="G33" s="33" t="s">
        <v>622</v>
      </c>
      <c r="H33" t="s">
        <v>91</v>
      </c>
      <c r="I33" s="1" t="s">
        <v>76</v>
      </c>
      <c r="J33" s="3" t="s">
        <v>655</v>
      </c>
    </row>
    <row r="34" spans="1:10" x14ac:dyDescent="0.35">
      <c r="E34" s="17"/>
      <c r="I34" t="s">
        <v>70</v>
      </c>
      <c r="J34" t="s">
        <v>654</v>
      </c>
    </row>
    <row r="35" spans="1:10" x14ac:dyDescent="0.35">
      <c r="I35" t="s">
        <v>1418</v>
      </c>
      <c r="J35" t="s">
        <v>653</v>
      </c>
    </row>
    <row r="36" spans="1:10" x14ac:dyDescent="0.35">
      <c r="I36" t="s">
        <v>1974</v>
      </c>
      <c r="J36" t="s">
        <v>652</v>
      </c>
    </row>
    <row r="37" spans="1:10" x14ac:dyDescent="0.35">
      <c r="I37" t="s">
        <v>324</v>
      </c>
      <c r="J37" t="s">
        <v>650</v>
      </c>
    </row>
    <row r="38" spans="1:10" x14ac:dyDescent="0.35">
      <c r="I38" t="s">
        <v>325</v>
      </c>
      <c r="J38" t="s">
        <v>651</v>
      </c>
    </row>
    <row r="39" spans="1:10" x14ac:dyDescent="0.35">
      <c r="I39" t="s">
        <v>16</v>
      </c>
      <c r="J39" t="s">
        <v>649</v>
      </c>
    </row>
    <row r="40" spans="1:10" x14ac:dyDescent="0.35">
      <c r="I40" t="s">
        <v>17</v>
      </c>
      <c r="J40" t="s">
        <v>648</v>
      </c>
    </row>
    <row r="41" spans="1:10" x14ac:dyDescent="0.35">
      <c r="I41" s="38" t="s">
        <v>18</v>
      </c>
      <c r="J41" t="s">
        <v>647</v>
      </c>
    </row>
    <row r="42" spans="1:10" x14ac:dyDescent="0.35">
      <c r="J42" t="s">
        <v>646</v>
      </c>
    </row>
    <row r="43" spans="1:10" x14ac:dyDescent="0.35">
      <c r="J43" s="36" t="s">
        <v>645</v>
      </c>
    </row>
    <row r="44" spans="1:10" x14ac:dyDescent="0.35">
      <c r="A44" t="s">
        <v>93</v>
      </c>
      <c r="B44" t="s">
        <v>3</v>
      </c>
      <c r="C44" t="s">
        <v>43</v>
      </c>
      <c r="D44" t="s">
        <v>94</v>
      </c>
      <c r="E44" s="34" t="s">
        <v>89</v>
      </c>
      <c r="F44" s="33" t="s">
        <v>90</v>
      </c>
      <c r="G44" s="33" t="s">
        <v>622</v>
      </c>
      <c r="H44" t="s">
        <v>91</v>
      </c>
      <c r="I44" s="1" t="s">
        <v>76</v>
      </c>
      <c r="J44" s="3" t="s">
        <v>88</v>
      </c>
    </row>
    <row r="45" spans="1:10" x14ac:dyDescent="0.35">
      <c r="E45" s="17"/>
      <c r="I45" t="s">
        <v>70</v>
      </c>
      <c r="J45" t="s">
        <v>87</v>
      </c>
    </row>
    <row r="46" spans="1:10" x14ac:dyDescent="0.35">
      <c r="I46" t="s">
        <v>1418</v>
      </c>
      <c r="J46" t="s">
        <v>86</v>
      </c>
    </row>
    <row r="47" spans="1:10" x14ac:dyDescent="0.35">
      <c r="I47" t="s">
        <v>1974</v>
      </c>
      <c r="J47" t="s">
        <v>85</v>
      </c>
    </row>
    <row r="48" spans="1:10" x14ac:dyDescent="0.35">
      <c r="I48" t="s">
        <v>9</v>
      </c>
      <c r="J48" t="s">
        <v>84</v>
      </c>
    </row>
    <row r="49" spans="1:10" x14ac:dyDescent="0.35">
      <c r="I49" t="s">
        <v>12</v>
      </c>
      <c r="J49" t="s">
        <v>83</v>
      </c>
    </row>
    <row r="50" spans="1:10" x14ac:dyDescent="0.35">
      <c r="I50" t="s">
        <v>16</v>
      </c>
      <c r="J50" t="s">
        <v>82</v>
      </c>
    </row>
    <row r="51" spans="1:10" x14ac:dyDescent="0.35">
      <c r="I51" t="s">
        <v>17</v>
      </c>
      <c r="J51" s="36" t="s">
        <v>92</v>
      </c>
    </row>
    <row r="52" spans="1:10" x14ac:dyDescent="0.35">
      <c r="I52" s="38" t="s">
        <v>18</v>
      </c>
    </row>
    <row r="53" spans="1:10" x14ac:dyDescent="0.35">
      <c r="A53" t="s">
        <v>78</v>
      </c>
      <c r="B53" t="s">
        <v>3</v>
      </c>
      <c r="C53" t="s">
        <v>43</v>
      </c>
      <c r="D53" t="s">
        <v>55</v>
      </c>
      <c r="E53" s="34" t="s">
        <v>89</v>
      </c>
      <c r="F53" s="33" t="s">
        <v>70</v>
      </c>
      <c r="G53" s="33" t="s">
        <v>71</v>
      </c>
      <c r="H53" t="s">
        <v>54</v>
      </c>
      <c r="I53" s="1" t="s">
        <v>1418</v>
      </c>
      <c r="J53" s="3" t="s">
        <v>333</v>
      </c>
    </row>
    <row r="54" spans="1:10" x14ac:dyDescent="0.35">
      <c r="E54" s="17"/>
      <c r="I54" t="s">
        <v>1974</v>
      </c>
      <c r="J54" t="s">
        <v>334</v>
      </c>
    </row>
    <row r="55" spans="1:10" x14ac:dyDescent="0.35">
      <c r="I55" t="s">
        <v>9</v>
      </c>
      <c r="J55" t="s">
        <v>335</v>
      </c>
    </row>
    <row r="56" spans="1:10" x14ac:dyDescent="0.35">
      <c r="I56" t="s">
        <v>12</v>
      </c>
      <c r="J56" t="s">
        <v>336</v>
      </c>
    </row>
    <row r="57" spans="1:10" x14ac:dyDescent="0.35">
      <c r="I57" t="s">
        <v>16</v>
      </c>
      <c r="J57" t="s">
        <v>337</v>
      </c>
    </row>
    <row r="58" spans="1:10" x14ac:dyDescent="0.35">
      <c r="I58" t="s">
        <v>17</v>
      </c>
      <c r="J58" t="s">
        <v>338</v>
      </c>
    </row>
    <row r="59" spans="1:10" x14ac:dyDescent="0.35">
      <c r="I59" s="38" t="s">
        <v>18</v>
      </c>
      <c r="J59" s="36" t="s">
        <v>339</v>
      </c>
    </row>
  </sheetData>
  <hyperlinks>
    <hyperlink ref="A1" location="Summary!A1" tooltip="Return to Totals" display="Back to Totals" xr:uid="{A8A25846-8DFF-4F63-A7CC-E32E97FCEF94}"/>
    <hyperlink ref="I9" r:id="rId1" xr:uid="{FA9A5AF8-EA85-4C5B-A7D4-CD942D36B756}"/>
    <hyperlink ref="I18" r:id="rId2" xr:uid="{7BF27408-C30E-4040-91F2-0ACAABFDAD65}"/>
    <hyperlink ref="I25" r:id="rId3" xr:uid="{DE04DC9A-2A9C-4FB7-B376-694FC6485F4B}"/>
    <hyperlink ref="I41" r:id="rId4" xr:uid="{91F74B57-AEC2-4A8C-A824-F8BD0E2AD7AA}"/>
    <hyperlink ref="I52" r:id="rId5" xr:uid="{559626EE-CAA1-4D80-8A2D-F33307A9043E}"/>
    <hyperlink ref="I59" r:id="rId6" xr:uid="{8620ABAE-BABB-464D-A20E-A6096C0F04B8}"/>
    <hyperlink ref="F3" r:id="rId7" xr:uid="{A010E050-97B0-4284-BD80-EC98D6E2E131}"/>
    <hyperlink ref="F19" r:id="rId8" xr:uid="{071D0C4E-1F13-477E-A069-4978DE2D533F}"/>
    <hyperlink ref="F53" r:id="rId9" xr:uid="{AE514C26-898D-4DCE-A753-904E06C77735}"/>
    <hyperlink ref="G3" r:id="rId10" xr:uid="{9F3F216F-36F4-47A5-B98E-FBE0416F54C4}"/>
    <hyperlink ref="G19" r:id="rId11" xr:uid="{9CEB6126-2121-4B99-96DA-C107191409C3}"/>
    <hyperlink ref="G4" r:id="rId12" xr:uid="{61A986D1-B515-4DC7-9FEF-14A8C821801C}"/>
    <hyperlink ref="F10" r:id="rId13" xr:uid="{C65FADAD-E50B-4889-A1AB-C59283EAFA87}"/>
    <hyperlink ref="F33" r:id="rId14" xr:uid="{137766B7-1D56-4FE6-927E-332493B05ADC}"/>
    <hyperlink ref="F44" r:id="rId15" xr:uid="{0CCA95EE-9B85-49D7-9B3F-4CA76C203CC2}"/>
    <hyperlink ref="G53" r:id="rId16" xr:uid="{B9452C5E-FCBE-45C6-B2BB-84F7C91D16F2}"/>
    <hyperlink ref="G10" r:id="rId17" xr:uid="{E0CBFD7B-0554-4AE3-B3F5-06DD77AC7578}"/>
    <hyperlink ref="G33" r:id="rId18" xr:uid="{356EE21B-10F2-40F0-87DA-54CE65CD0870}"/>
    <hyperlink ref="G44" r:id="rId19" xr:uid="{59BB4DD1-8C81-44CF-A6DF-1996D88783B7}"/>
    <hyperlink ref="J9" r:id="rId20" xr:uid="{20725726-78BB-4C6F-8614-519D6E3EE478}"/>
    <hyperlink ref="J18" r:id="rId21" xr:uid="{7A135E97-B21D-4026-9AE2-ED846B9E06BF}"/>
    <hyperlink ref="J25" r:id="rId22" xr:uid="{4FA415F5-420A-42B2-8A94-BF136716C4F4}"/>
    <hyperlink ref="J43" r:id="rId23" xr:uid="{3C3609DB-9BB4-4192-A994-FC517CE23709}"/>
    <hyperlink ref="J51" r:id="rId24" xr:uid="{B8CE9007-547C-4AFF-8A1D-6232E4424B9E}"/>
    <hyperlink ref="J59" r:id="rId25" xr:uid="{7024B5D0-8505-44A1-90F0-5A34D786D4B1}"/>
    <hyperlink ref="A3" r:id="rId26" xr:uid="{44BC87D4-3373-41AB-92EA-FF5EC40BF1ED}"/>
    <hyperlink ref="A19" r:id="rId27" xr:uid="{D5F22C06-4FB0-47E0-85F1-B45529CE3375}"/>
    <hyperlink ref="A33" r:id="rId28" xr:uid="{661A5C5B-4DA7-46E7-860D-B3A23011F54B}"/>
    <hyperlink ref="A10" r:id="rId29" xr:uid="{B6C84172-B435-4DF4-A8FC-9B2CC81E9F34}"/>
    <hyperlink ref="E19" r:id="rId30" xr:uid="{A6948F90-8B46-439F-BA13-83DAE40E7B1A}"/>
    <hyperlink ref="E53" r:id="rId31" xr:uid="{D877F907-FC21-4E9B-AC96-0F042BBC7C84}"/>
    <hyperlink ref="E44" r:id="rId32" xr:uid="{57472BB0-64C8-4E63-922A-7B3D62E23E14}"/>
    <hyperlink ref="E33" r:id="rId33" xr:uid="{72D007C9-FC18-4E3E-95D7-890963E513C5}"/>
    <hyperlink ref="E10" r:id="rId34" xr:uid="{5A287EF0-3C41-4660-A6C8-7709871AC516}"/>
    <hyperlink ref="E4" r:id="rId35" xr:uid="{951ED6A3-C011-4C7F-B8A2-0CE54797A712}"/>
    <hyperlink ref="E3" r:id="rId36" xr:uid="{06664046-2B12-4157-BD85-97FB6B3BA891}"/>
    <hyperlink ref="I32" r:id="rId37" xr:uid="{3C037CE6-1DEA-46B4-A0C5-21878CE6FEC6}"/>
    <hyperlink ref="F26" r:id="rId38" xr:uid="{292BA035-32C3-440B-8DEB-E6D8DEE3A805}"/>
    <hyperlink ref="G26" r:id="rId39" xr:uid="{31DA9B00-6369-4E93-863C-A2AA0A3FAAF7}"/>
    <hyperlink ref="J32" r:id="rId40" xr:uid="{1E6C81F9-3B33-4661-ABC2-AC0969367EC0}"/>
    <hyperlink ref="A26" r:id="rId41" xr:uid="{62B6DA84-15FC-4A9B-B08E-5586AFDBC5F5}"/>
    <hyperlink ref="E26" r:id="rId42" xr:uid="{C19618ED-0501-4F37-90FA-C5020902396F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30">
    <tabColor theme="5" tint="-0.499984740745262"/>
  </sheetPr>
  <dimension ref="A1:J66"/>
  <sheetViews>
    <sheetView workbookViewId="0"/>
  </sheetViews>
  <sheetFormatPr defaultRowHeight="14.5" x14ac:dyDescent="0.35"/>
  <cols>
    <col min="1" max="1" width="16.54296875" customWidth="1"/>
    <col min="2" max="2" width="18.81640625" customWidth="1"/>
    <col min="3" max="3" width="21.81640625" customWidth="1"/>
    <col min="4" max="4" width="26.7265625" customWidth="1"/>
    <col min="5" max="5" width="13.7265625" customWidth="1"/>
    <col min="6" max="6" width="30" customWidth="1"/>
    <col min="7" max="7" width="23.81640625" customWidth="1"/>
    <col min="8" max="8" width="22.7265625" customWidth="1"/>
    <col min="9" max="9" width="22.1796875" customWidth="1"/>
    <col min="10" max="10" width="22.08984375" customWidth="1"/>
  </cols>
  <sheetData>
    <row r="1" spans="1:10" x14ac:dyDescent="0.35">
      <c r="A1" s="34" t="s">
        <v>3196</v>
      </c>
      <c r="B1" s="16">
        <f>COUNTIF(I2:I1083,C1)+COUNTIF(I2:I1083,D1)</f>
        <v>7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675</v>
      </c>
      <c r="B3" t="s">
        <v>3</v>
      </c>
      <c r="C3" t="s">
        <v>43</v>
      </c>
      <c r="D3" t="s">
        <v>429</v>
      </c>
      <c r="E3" s="34" t="s">
        <v>608</v>
      </c>
      <c r="F3" s="33" t="s">
        <v>681</v>
      </c>
      <c r="G3" s="33" t="s">
        <v>682</v>
      </c>
      <c r="H3" t="s">
        <v>413</v>
      </c>
      <c r="I3" s="1" t="s">
        <v>683</v>
      </c>
      <c r="J3" s="3" t="s">
        <v>680</v>
      </c>
    </row>
    <row r="4" spans="1:10" x14ac:dyDescent="0.35">
      <c r="E4" s="17"/>
      <c r="I4" t="s">
        <v>684</v>
      </c>
      <c r="J4" t="s">
        <v>681</v>
      </c>
    </row>
    <row r="5" spans="1:10" x14ac:dyDescent="0.35">
      <c r="I5" t="s">
        <v>530</v>
      </c>
      <c r="J5" t="s">
        <v>680</v>
      </c>
    </row>
    <row r="6" spans="1:10" x14ac:dyDescent="0.35">
      <c r="I6" t="s">
        <v>532</v>
      </c>
      <c r="J6" t="s">
        <v>679</v>
      </c>
    </row>
    <row r="7" spans="1:10" x14ac:dyDescent="0.35">
      <c r="I7" t="s">
        <v>98</v>
      </c>
      <c r="J7" t="s">
        <v>678</v>
      </c>
    </row>
    <row r="8" spans="1:10" x14ac:dyDescent="0.35">
      <c r="I8" t="s">
        <v>100</v>
      </c>
      <c r="J8" t="s">
        <v>677</v>
      </c>
    </row>
    <row r="9" spans="1:10" x14ac:dyDescent="0.35">
      <c r="I9" t="s">
        <v>104</v>
      </c>
      <c r="J9" s="36" t="s">
        <v>676</v>
      </c>
    </row>
    <row r="10" spans="1:10" x14ac:dyDescent="0.35">
      <c r="I10" s="38" t="s">
        <v>18</v>
      </c>
    </row>
    <row r="11" spans="1:10" x14ac:dyDescent="0.35">
      <c r="A11" t="s">
        <v>685</v>
      </c>
      <c r="B11" t="s">
        <v>3</v>
      </c>
      <c r="C11" t="s">
        <v>43</v>
      </c>
      <c r="D11" t="s">
        <v>429</v>
      </c>
      <c r="E11" s="34" t="s">
        <v>608</v>
      </c>
      <c r="F11" s="33" t="s">
        <v>681</v>
      </c>
      <c r="G11" s="33" t="s">
        <v>682</v>
      </c>
      <c r="H11" t="s">
        <v>413</v>
      </c>
      <c r="I11" s="1" t="s">
        <v>683</v>
      </c>
      <c r="J11" s="3" t="s">
        <v>680</v>
      </c>
    </row>
    <row r="12" spans="1:10" x14ac:dyDescent="0.35">
      <c r="E12" s="17"/>
      <c r="I12" t="s">
        <v>684</v>
      </c>
      <c r="J12" t="s">
        <v>681</v>
      </c>
    </row>
    <row r="13" spans="1:10" x14ac:dyDescent="0.35">
      <c r="I13" t="s">
        <v>530</v>
      </c>
      <c r="J13" t="s">
        <v>680</v>
      </c>
    </row>
    <row r="14" spans="1:10" x14ac:dyDescent="0.35">
      <c r="I14" t="s">
        <v>532</v>
      </c>
      <c r="J14" t="s">
        <v>679</v>
      </c>
    </row>
    <row r="15" spans="1:10" x14ac:dyDescent="0.35">
      <c r="I15" t="s">
        <v>98</v>
      </c>
      <c r="J15" t="s">
        <v>678</v>
      </c>
    </row>
    <row r="16" spans="1:10" x14ac:dyDescent="0.35">
      <c r="I16" t="s">
        <v>100</v>
      </c>
      <c r="J16" t="s">
        <v>686</v>
      </c>
    </row>
    <row r="17" spans="1:10" x14ac:dyDescent="0.35">
      <c r="I17" t="s">
        <v>104</v>
      </c>
      <c r="J17" s="36" t="s">
        <v>685</v>
      </c>
    </row>
    <row r="18" spans="1:10" x14ac:dyDescent="0.35">
      <c r="A18" s="33" t="s">
        <v>688</v>
      </c>
      <c r="B18" t="s">
        <v>3</v>
      </c>
      <c r="C18" t="s">
        <v>43</v>
      </c>
      <c r="D18" t="s">
        <v>429</v>
      </c>
      <c r="E18" s="34" t="s">
        <v>189</v>
      </c>
      <c r="F18" s="33" t="s">
        <v>681</v>
      </c>
      <c r="G18" s="33" t="s">
        <v>682</v>
      </c>
      <c r="H18" t="s">
        <v>413</v>
      </c>
      <c r="I18" s="1" t="s">
        <v>683</v>
      </c>
      <c r="J18" s="3" t="s">
        <v>680</v>
      </c>
    </row>
    <row r="19" spans="1:10" x14ac:dyDescent="0.35">
      <c r="E19" s="17"/>
      <c r="I19" t="s">
        <v>684</v>
      </c>
      <c r="J19" t="s">
        <v>681</v>
      </c>
    </row>
    <row r="20" spans="1:10" x14ac:dyDescent="0.35">
      <c r="I20" t="s">
        <v>530</v>
      </c>
      <c r="J20" t="s">
        <v>680</v>
      </c>
    </row>
    <row r="21" spans="1:10" x14ac:dyDescent="0.35">
      <c r="I21" t="s">
        <v>532</v>
      </c>
      <c r="J21" t="s">
        <v>679</v>
      </c>
    </row>
    <row r="22" spans="1:10" x14ac:dyDescent="0.35">
      <c r="I22" t="s">
        <v>98</v>
      </c>
      <c r="J22" t="s">
        <v>678</v>
      </c>
    </row>
    <row r="23" spans="1:10" x14ac:dyDescent="0.35">
      <c r="I23" t="s">
        <v>100</v>
      </c>
      <c r="J23" t="s">
        <v>689</v>
      </c>
    </row>
    <row r="24" spans="1:10" x14ac:dyDescent="0.35">
      <c r="I24" t="s">
        <v>104</v>
      </c>
      <c r="J24" s="36" t="s">
        <v>687</v>
      </c>
    </row>
    <row r="25" spans="1:10" x14ac:dyDescent="0.35">
      <c r="I25" s="38" t="s">
        <v>18</v>
      </c>
    </row>
    <row r="26" spans="1:10" x14ac:dyDescent="0.35">
      <c r="A26" s="33" t="s">
        <v>2908</v>
      </c>
      <c r="B26" s="1" t="s">
        <v>315</v>
      </c>
      <c r="C26" t="s">
        <v>43</v>
      </c>
      <c r="D26" t="s">
        <v>710</v>
      </c>
      <c r="E26" s="34" t="s">
        <v>216</v>
      </c>
      <c r="F26" s="33" t="s">
        <v>681</v>
      </c>
      <c r="G26" s="33" t="s">
        <v>682</v>
      </c>
      <c r="H26" t="s">
        <v>413</v>
      </c>
      <c r="I26" s="1" t="s">
        <v>683</v>
      </c>
      <c r="J26" s="3" t="s">
        <v>697</v>
      </c>
    </row>
    <row r="27" spans="1:10" x14ac:dyDescent="0.35">
      <c r="E27" s="17"/>
      <c r="I27" t="s">
        <v>684</v>
      </c>
      <c r="J27" t="s">
        <v>680</v>
      </c>
    </row>
    <row r="28" spans="1:10" x14ac:dyDescent="0.35">
      <c r="I28" t="s">
        <v>530</v>
      </c>
      <c r="J28" t="s">
        <v>696</v>
      </c>
    </row>
    <row r="29" spans="1:10" x14ac:dyDescent="0.35">
      <c r="I29" t="s">
        <v>532</v>
      </c>
      <c r="J29" t="s">
        <v>695</v>
      </c>
    </row>
    <row r="30" spans="1:10" x14ac:dyDescent="0.35">
      <c r="I30" t="s">
        <v>98</v>
      </c>
      <c r="J30" t="s">
        <v>694</v>
      </c>
    </row>
    <row r="31" spans="1:10" x14ac:dyDescent="0.35">
      <c r="I31" t="s">
        <v>100</v>
      </c>
      <c r="J31" t="s">
        <v>693</v>
      </c>
    </row>
    <row r="32" spans="1:10" ht="15.75" customHeight="1" x14ac:dyDescent="0.35">
      <c r="I32" t="s">
        <v>104</v>
      </c>
      <c r="J32" t="s">
        <v>2909</v>
      </c>
    </row>
    <row r="33" spans="1:10" x14ac:dyDescent="0.35">
      <c r="I33" s="38" t="s">
        <v>18</v>
      </c>
      <c r="J33" s="36" t="s">
        <v>2908</v>
      </c>
    </row>
    <row r="34" spans="1:10" x14ac:dyDescent="0.35">
      <c r="A34" s="33" t="s">
        <v>690</v>
      </c>
      <c r="B34" t="s">
        <v>3</v>
      </c>
      <c r="C34" t="s">
        <v>43</v>
      </c>
      <c r="D34" t="s">
        <v>710</v>
      </c>
      <c r="E34" s="34" t="s">
        <v>216</v>
      </c>
      <c r="F34" s="33" t="s">
        <v>681</v>
      </c>
      <c r="G34" s="33" t="s">
        <v>682</v>
      </c>
      <c r="H34" t="s">
        <v>413</v>
      </c>
      <c r="I34" s="1" t="s">
        <v>683</v>
      </c>
      <c r="J34" s="3" t="s">
        <v>697</v>
      </c>
    </row>
    <row r="35" spans="1:10" x14ac:dyDescent="0.35">
      <c r="E35" s="17"/>
      <c r="I35" t="s">
        <v>684</v>
      </c>
      <c r="J35" t="s">
        <v>680</v>
      </c>
    </row>
    <row r="36" spans="1:10" x14ac:dyDescent="0.35">
      <c r="I36" t="s">
        <v>530</v>
      </c>
      <c r="J36" t="s">
        <v>696</v>
      </c>
    </row>
    <row r="37" spans="1:10" x14ac:dyDescent="0.35">
      <c r="I37" t="s">
        <v>532</v>
      </c>
      <c r="J37" t="s">
        <v>695</v>
      </c>
    </row>
    <row r="38" spans="1:10" x14ac:dyDescent="0.35">
      <c r="I38" t="s">
        <v>98</v>
      </c>
      <c r="J38" t="s">
        <v>694</v>
      </c>
    </row>
    <row r="39" spans="1:10" x14ac:dyDescent="0.35">
      <c r="I39" t="s">
        <v>100</v>
      </c>
      <c r="J39" t="s">
        <v>693</v>
      </c>
    </row>
    <row r="40" spans="1:10" ht="15.75" customHeight="1" x14ac:dyDescent="0.35">
      <c r="I40" t="s">
        <v>104</v>
      </c>
      <c r="J40" t="s">
        <v>692</v>
      </c>
    </row>
    <row r="41" spans="1:10" x14ac:dyDescent="0.35">
      <c r="I41" s="38" t="s">
        <v>18</v>
      </c>
      <c r="J41" s="36" t="s">
        <v>691</v>
      </c>
    </row>
    <row r="42" spans="1:10" x14ac:dyDescent="0.35">
      <c r="A42" s="33" t="s">
        <v>705</v>
      </c>
      <c r="B42" s="1" t="s">
        <v>315</v>
      </c>
      <c r="C42" t="s">
        <v>43</v>
      </c>
      <c r="D42" t="s">
        <v>706</v>
      </c>
      <c r="E42" s="34" t="s">
        <v>72</v>
      </c>
      <c r="F42" s="33" t="s">
        <v>681</v>
      </c>
      <c r="G42" s="33" t="s">
        <v>682</v>
      </c>
      <c r="H42" t="s">
        <v>413</v>
      </c>
      <c r="I42" s="1" t="s">
        <v>683</v>
      </c>
      <c r="J42" s="3" t="s">
        <v>697</v>
      </c>
    </row>
    <row r="43" spans="1:10" x14ac:dyDescent="0.35">
      <c r="A43" s="33" t="s">
        <v>705</v>
      </c>
      <c r="B43" t="s">
        <v>3</v>
      </c>
      <c r="E43" s="17"/>
      <c r="I43" t="s">
        <v>684</v>
      </c>
      <c r="J43" t="s">
        <v>680</v>
      </c>
    </row>
    <row r="44" spans="1:10" x14ac:dyDescent="0.35">
      <c r="I44" t="s">
        <v>530</v>
      </c>
      <c r="J44" t="s">
        <v>696</v>
      </c>
    </row>
    <row r="45" spans="1:10" x14ac:dyDescent="0.35">
      <c r="I45" t="s">
        <v>532</v>
      </c>
      <c r="J45" t="s">
        <v>695</v>
      </c>
    </row>
    <row r="46" spans="1:10" x14ac:dyDescent="0.35">
      <c r="I46" t="s">
        <v>98</v>
      </c>
      <c r="J46" t="s">
        <v>694</v>
      </c>
    </row>
    <row r="47" spans="1:10" x14ac:dyDescent="0.35">
      <c r="I47" t="s">
        <v>100</v>
      </c>
      <c r="J47" t="s">
        <v>709</v>
      </c>
    </row>
    <row r="48" spans="1:10" ht="15.75" customHeight="1" x14ac:dyDescent="0.35">
      <c r="I48" t="s">
        <v>104</v>
      </c>
      <c r="J48" t="s">
        <v>708</v>
      </c>
    </row>
    <row r="49" spans="1:10" x14ac:dyDescent="0.35">
      <c r="I49" s="38" t="s">
        <v>18</v>
      </c>
      <c r="J49" s="36" t="s">
        <v>707</v>
      </c>
    </row>
    <row r="50" spans="1:10" x14ac:dyDescent="0.35">
      <c r="A50" s="33" t="s">
        <v>3919</v>
      </c>
      <c r="B50" t="s">
        <v>3</v>
      </c>
      <c r="C50" t="s">
        <v>43</v>
      </c>
      <c r="D50" t="s">
        <v>951</v>
      </c>
      <c r="E50" s="34" t="s">
        <v>65</v>
      </c>
      <c r="F50" s="33" t="s">
        <v>681</v>
      </c>
      <c r="G50" s="33" t="s">
        <v>682</v>
      </c>
      <c r="H50" t="s">
        <v>413</v>
      </c>
      <c r="I50" s="1" t="s">
        <v>683</v>
      </c>
      <c r="J50" s="3" t="s">
        <v>697</v>
      </c>
    </row>
    <row r="51" spans="1:10" x14ac:dyDescent="0.35">
      <c r="E51" s="17"/>
      <c r="I51" t="s">
        <v>684</v>
      </c>
      <c r="J51" t="s">
        <v>680</v>
      </c>
    </row>
    <row r="52" spans="1:10" x14ac:dyDescent="0.35">
      <c r="I52" t="s">
        <v>530</v>
      </c>
      <c r="J52" t="s">
        <v>696</v>
      </c>
    </row>
    <row r="53" spans="1:10" x14ac:dyDescent="0.35">
      <c r="I53" t="s">
        <v>532</v>
      </c>
      <c r="J53" t="s">
        <v>695</v>
      </c>
    </row>
    <row r="54" spans="1:10" x14ac:dyDescent="0.35">
      <c r="I54" t="s">
        <v>98</v>
      </c>
      <c r="J54" t="s">
        <v>694</v>
      </c>
    </row>
    <row r="55" spans="1:10" x14ac:dyDescent="0.35">
      <c r="I55" t="s">
        <v>100</v>
      </c>
      <c r="J55" t="s">
        <v>709</v>
      </c>
    </row>
    <row r="56" spans="1:10" ht="15.75" customHeight="1" x14ac:dyDescent="0.35">
      <c r="I56" t="s">
        <v>104</v>
      </c>
      <c r="J56" t="s">
        <v>708</v>
      </c>
    </row>
    <row r="57" spans="1:10" x14ac:dyDescent="0.35">
      <c r="I57" s="38" t="s">
        <v>18</v>
      </c>
      <c r="J57" t="s">
        <v>707</v>
      </c>
    </row>
    <row r="58" spans="1:10" x14ac:dyDescent="0.35">
      <c r="I58" s="37"/>
      <c r="J58" s="36" t="s">
        <v>3919</v>
      </c>
    </row>
    <row r="59" spans="1:10" x14ac:dyDescent="0.35">
      <c r="A59" s="33" t="s">
        <v>832</v>
      </c>
      <c r="B59" t="s">
        <v>3</v>
      </c>
      <c r="C59" t="s">
        <v>43</v>
      </c>
      <c r="D59" t="s">
        <v>710</v>
      </c>
      <c r="E59" s="34" t="s">
        <v>89</v>
      </c>
      <c r="F59" s="33" t="s">
        <v>681</v>
      </c>
      <c r="G59" s="33" t="s">
        <v>682</v>
      </c>
      <c r="H59" t="s">
        <v>413</v>
      </c>
      <c r="I59" s="1" t="s">
        <v>683</v>
      </c>
      <c r="J59" s="3" t="s">
        <v>839</v>
      </c>
    </row>
    <row r="60" spans="1:10" x14ac:dyDescent="0.35">
      <c r="E60" s="17"/>
      <c r="I60" t="s">
        <v>684</v>
      </c>
      <c r="J60" t="s">
        <v>681</v>
      </c>
    </row>
    <row r="61" spans="1:10" x14ac:dyDescent="0.35">
      <c r="I61" t="s">
        <v>530</v>
      </c>
      <c r="J61" t="s">
        <v>838</v>
      </c>
    </row>
    <row r="62" spans="1:10" x14ac:dyDescent="0.35">
      <c r="I62" t="s">
        <v>532</v>
      </c>
      <c r="J62" t="s">
        <v>837</v>
      </c>
    </row>
    <row r="63" spans="1:10" x14ac:dyDescent="0.35">
      <c r="I63" t="s">
        <v>98</v>
      </c>
      <c r="J63" t="s">
        <v>836</v>
      </c>
    </row>
    <row r="64" spans="1:10" x14ac:dyDescent="0.35">
      <c r="I64" t="s">
        <v>100</v>
      </c>
      <c r="J64" t="s">
        <v>834</v>
      </c>
    </row>
    <row r="65" spans="9:10" x14ac:dyDescent="0.35">
      <c r="I65" t="s">
        <v>104</v>
      </c>
      <c r="J65" t="s">
        <v>835</v>
      </c>
    </row>
    <row r="66" spans="9:10" x14ac:dyDescent="0.35">
      <c r="I66" s="38" t="s">
        <v>18</v>
      </c>
      <c r="J66" s="36" t="s">
        <v>833</v>
      </c>
    </row>
  </sheetData>
  <hyperlinks>
    <hyperlink ref="A1" location="Summary!A1" tooltip="Return to Totals" display="Back to Totals" xr:uid="{8CC62DC7-F567-477E-800B-EDF8DDA2CE9F}"/>
    <hyperlink ref="I10" r:id="rId1" xr:uid="{D9D6CC6A-56BF-4C69-B99F-394A44CCA251}"/>
    <hyperlink ref="I25" r:id="rId2" xr:uid="{5AC4391A-44B4-41CC-9051-73345B8A7FB3}"/>
    <hyperlink ref="I41" r:id="rId3" xr:uid="{465C4031-CEA6-471A-81E1-D2B4F3FE874B}"/>
    <hyperlink ref="I49" r:id="rId4" xr:uid="{7C9D7405-ED00-4609-9E08-C6371089FC68}"/>
    <hyperlink ref="I66" r:id="rId5" xr:uid="{95256242-0CF2-4CFD-B4CF-95D9980E2444}"/>
    <hyperlink ref="I33" r:id="rId6" xr:uid="{5D0AED47-1BDC-4EDC-ACEE-DA5CFC4D4007}"/>
    <hyperlink ref="J33" r:id="rId7" xr:uid="{0687D2B4-4259-43F4-AAF3-BBE2D713CE74}"/>
    <hyperlink ref="A26" r:id="rId8" xr:uid="{7BD70C4B-01C1-4E74-A28D-2F2D0EBA4A49}"/>
    <hyperlink ref="F26" r:id="rId9" xr:uid="{172D8463-2882-4FF9-9D50-2F0D97B44D68}"/>
    <hyperlink ref="F3" r:id="rId10" xr:uid="{D7EB05DE-1B4A-4E7D-991D-FE7D034D2D1B}"/>
    <hyperlink ref="F11" r:id="rId11" xr:uid="{9035DCE4-2148-4EBC-9D86-DAB6452291DA}"/>
    <hyperlink ref="F18" r:id="rId12" xr:uid="{F1BF1C15-4130-4FC3-987C-D2DE787FFE0E}"/>
    <hyperlink ref="F34" r:id="rId13" xr:uid="{C5B632E9-FA39-4338-BDD7-463B6D5CA63F}"/>
    <hyperlink ref="F42" r:id="rId14" xr:uid="{9CBA2A7D-398B-46B6-85DA-8FFB959D3DE0}"/>
    <hyperlink ref="F59" r:id="rId15" xr:uid="{A9192E0A-14E7-4A6C-BCD6-F1DF6DBCFDC5}"/>
    <hyperlink ref="G26" r:id="rId16" xr:uid="{92673AD8-CF41-4BCA-B5B6-2739B5BC3950}"/>
    <hyperlink ref="G3" r:id="rId17" xr:uid="{5DDDBCAD-8161-4DD8-86F1-AF923227CB02}"/>
    <hyperlink ref="G11" r:id="rId18" xr:uid="{75EF5358-CA1C-4147-AAEE-BB727EB8BBA3}"/>
    <hyperlink ref="G18" r:id="rId19" xr:uid="{ED4BFAA6-E7F8-455D-8DB4-A74F6F428FC4}"/>
    <hyperlink ref="G34" r:id="rId20" xr:uid="{100A1A9A-4BBC-4FAE-B90C-840A26FD5F94}"/>
    <hyperlink ref="G42" r:id="rId21" xr:uid="{F6D263D6-6A4B-467A-AC58-A4407E0CB3C0}"/>
    <hyperlink ref="G59" r:id="rId22" xr:uid="{DA32C671-FAE1-4C88-85B0-A35070908154}"/>
    <hyperlink ref="J49" r:id="rId23" xr:uid="{49BA6850-71FD-49E0-A554-F8ECD0E59A1D}"/>
    <hyperlink ref="A42" r:id="rId24" xr:uid="{D56588FC-438A-40AA-A9A2-DA126F7E6388}"/>
    <hyperlink ref="J9" r:id="rId25" xr:uid="{0BC9500E-A8AE-4676-90C8-5D8AA504DFC0}"/>
    <hyperlink ref="J17" r:id="rId26" xr:uid="{FF992251-EB37-40DF-914E-EA7D85D93232}"/>
    <hyperlink ref="J24" r:id="rId27" xr:uid="{31E61C8D-5A24-4267-827A-EC73575648A8}"/>
    <hyperlink ref="J41" r:id="rId28" xr:uid="{F3664AA6-C0F5-4B96-A584-2E5632A3EDB4}"/>
    <hyperlink ref="J66" r:id="rId29" xr:uid="{1713C5A4-AA69-4550-A3A3-A5BBA3244D7D}"/>
    <hyperlink ref="A18" r:id="rId30" xr:uid="{1918405B-9231-4062-8989-628F491CFEB7}"/>
    <hyperlink ref="A34" r:id="rId31" xr:uid="{FBD40273-CF06-4111-89FA-55FBE9AF8F2E}"/>
    <hyperlink ref="A59" r:id="rId32" xr:uid="{A6F032F8-C1AC-417D-B361-C12C8C0C0AF1}"/>
    <hyperlink ref="A3" r:id="rId33" xr:uid="{CAD0DA75-7B01-406B-9414-1D2C1A4AC444}"/>
    <hyperlink ref="E18" r:id="rId34" xr:uid="{E8F9D16D-7600-4D71-8C30-AF5B94358820}"/>
    <hyperlink ref="E11" r:id="rId35" xr:uid="{584751C9-016F-481C-ADAB-E444DFA9A141}"/>
    <hyperlink ref="E3" r:id="rId36" xr:uid="{AD1F0E57-F592-43F8-82D9-A99869CD1680}"/>
    <hyperlink ref="E26" r:id="rId37" xr:uid="{60D81E24-5FDA-4A4B-B745-EE782100CB2A}"/>
    <hyperlink ref="E34" r:id="rId38" xr:uid="{3D0B8F2D-5239-47D6-A899-254DA09C403A}"/>
    <hyperlink ref="E42" r:id="rId39" xr:uid="{E4651FDF-131B-4583-983B-0104F2F636F3}"/>
    <hyperlink ref="E59" r:id="rId40" xr:uid="{E86283AD-642D-408B-96D8-B891EFD4A2F4}"/>
    <hyperlink ref="A43" r:id="rId41" xr:uid="{8CB8E287-0E59-43E4-BBC9-2F4212932EB0}"/>
    <hyperlink ref="I57" r:id="rId42" xr:uid="{2AC50437-DAF6-47E7-8D1E-3283CD16970A}"/>
    <hyperlink ref="F50" r:id="rId43" xr:uid="{56CBD20E-5AAB-45D9-97F8-12527E0B70A2}"/>
    <hyperlink ref="G50" r:id="rId44" xr:uid="{3BFCC906-7616-4C4F-8C6F-441AA109F59F}"/>
    <hyperlink ref="A50" r:id="rId45" xr:uid="{95DD7A1E-905B-4CDF-8D18-8881C542A614}"/>
    <hyperlink ref="E50" r:id="rId46" xr:uid="{9B347077-5818-41F2-AE6E-6ED11467144B}"/>
    <hyperlink ref="J58" r:id="rId47" xr:uid="{053B377A-681D-4A33-B2C5-518DE67D39A9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31">
    <tabColor theme="4" tint="-0.499984740745262"/>
  </sheetPr>
  <dimension ref="A1:J125"/>
  <sheetViews>
    <sheetView topLeftCell="A95" workbookViewId="0">
      <selection activeCell="J112" sqref="J112"/>
    </sheetView>
  </sheetViews>
  <sheetFormatPr defaultRowHeight="14.5" x14ac:dyDescent="0.35"/>
  <cols>
    <col min="1" max="1" width="18.26953125" customWidth="1"/>
    <col min="2" max="2" width="9.26953125" customWidth="1"/>
    <col min="3" max="3" width="23" customWidth="1"/>
    <col min="4" max="4" width="16.81640625" customWidth="1"/>
    <col min="5" max="5" width="13.54296875" customWidth="1"/>
    <col min="6" max="6" width="12.7265625" customWidth="1"/>
    <col min="7" max="7" width="18" customWidth="1"/>
    <col min="8" max="8" width="16.54296875" customWidth="1"/>
    <col min="9" max="9" width="23" customWidth="1"/>
    <col min="10" max="10" width="22.7265625" customWidth="1"/>
  </cols>
  <sheetData>
    <row r="1" spans="1:10" x14ac:dyDescent="0.35">
      <c r="A1" s="34" t="s">
        <v>3196</v>
      </c>
      <c r="B1" s="16">
        <f>COUNTIF(I2:I1109,C1)+COUNTIF(I2:I1109,D1)</f>
        <v>18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t="s">
        <v>1414</v>
      </c>
      <c r="B3" t="s">
        <v>3</v>
      </c>
      <c r="C3" t="s">
        <v>43</v>
      </c>
      <c r="D3" t="s">
        <v>64</v>
      </c>
      <c r="E3" s="40" t="s">
        <v>32</v>
      </c>
      <c r="F3" s="33" t="s">
        <v>190</v>
      </c>
      <c r="G3" s="33" t="s">
        <v>191</v>
      </c>
      <c r="H3" t="s">
        <v>54</v>
      </c>
      <c r="I3" s="1" t="s">
        <v>192</v>
      </c>
      <c r="J3" s="3" t="s">
        <v>199</v>
      </c>
    </row>
    <row r="4" spans="1:10" x14ac:dyDescent="0.35">
      <c r="E4" s="34" t="s">
        <v>201</v>
      </c>
      <c r="I4" t="s">
        <v>193</v>
      </c>
      <c r="J4" t="s">
        <v>228</v>
      </c>
    </row>
    <row r="5" spans="1:10" x14ac:dyDescent="0.35">
      <c r="I5" t="s">
        <v>142</v>
      </c>
      <c r="J5" t="s">
        <v>227</v>
      </c>
    </row>
    <row r="6" spans="1:10" x14ac:dyDescent="0.35">
      <c r="I6" t="s">
        <v>98</v>
      </c>
      <c r="J6" t="s">
        <v>1415</v>
      </c>
    </row>
    <row r="7" spans="1:10" x14ac:dyDescent="0.35">
      <c r="I7" t="s">
        <v>100</v>
      </c>
      <c r="J7" t="s">
        <v>1416</v>
      </c>
    </row>
    <row r="8" spans="1:10" x14ac:dyDescent="0.35">
      <c r="I8" t="s">
        <v>104</v>
      </c>
      <c r="J8" s="36" t="s">
        <v>1417</v>
      </c>
    </row>
    <row r="9" spans="1:10" x14ac:dyDescent="0.35">
      <c r="I9" s="38" t="s">
        <v>18</v>
      </c>
    </row>
    <row r="10" spans="1:10" x14ac:dyDescent="0.35">
      <c r="A10" s="33" t="s">
        <v>223</v>
      </c>
      <c r="B10" t="s">
        <v>3</v>
      </c>
      <c r="C10" t="s">
        <v>43</v>
      </c>
      <c r="D10" t="s">
        <v>64</v>
      </c>
      <c r="E10" s="40" t="s">
        <v>145</v>
      </c>
      <c r="F10" s="33" t="s">
        <v>190</v>
      </c>
      <c r="G10" s="33" t="s">
        <v>191</v>
      </c>
      <c r="H10" t="s">
        <v>54</v>
      </c>
      <c r="I10" s="1" t="s">
        <v>192</v>
      </c>
      <c r="J10" s="3" t="s">
        <v>199</v>
      </c>
    </row>
    <row r="11" spans="1:10" x14ac:dyDescent="0.35">
      <c r="E11" s="34" t="s">
        <v>216</v>
      </c>
      <c r="I11" t="s">
        <v>193</v>
      </c>
      <c r="J11" t="s">
        <v>228</v>
      </c>
    </row>
    <row r="12" spans="1:10" x14ac:dyDescent="0.35">
      <c r="I12" t="s">
        <v>142</v>
      </c>
      <c r="J12" t="s">
        <v>227</v>
      </c>
    </row>
    <row r="13" spans="1:10" x14ac:dyDescent="0.35">
      <c r="I13" t="s">
        <v>98</v>
      </c>
      <c r="J13" t="s">
        <v>226</v>
      </c>
    </row>
    <row r="14" spans="1:10" x14ac:dyDescent="0.35">
      <c r="I14" t="s">
        <v>100</v>
      </c>
      <c r="J14" t="s">
        <v>225</v>
      </c>
    </row>
    <row r="15" spans="1:10" x14ac:dyDescent="0.35">
      <c r="I15" t="s">
        <v>104</v>
      </c>
      <c r="J15" s="36" t="s">
        <v>224</v>
      </c>
    </row>
    <row r="16" spans="1:10" x14ac:dyDescent="0.35">
      <c r="I16" s="38" t="s">
        <v>18</v>
      </c>
    </row>
    <row r="17" spans="1:10" x14ac:dyDescent="0.35">
      <c r="A17" t="s">
        <v>698</v>
      </c>
      <c r="B17" t="s">
        <v>3</v>
      </c>
      <c r="C17" t="s">
        <v>43</v>
      </c>
      <c r="D17" t="s">
        <v>699</v>
      </c>
      <c r="E17" s="54" t="s">
        <v>145</v>
      </c>
      <c r="F17" s="33" t="s">
        <v>190</v>
      </c>
      <c r="G17" s="33" t="s">
        <v>191</v>
      </c>
      <c r="H17" t="s">
        <v>54</v>
      </c>
      <c r="I17" s="1" t="s">
        <v>275</v>
      </c>
      <c r="J17" s="3" t="s">
        <v>199</v>
      </c>
    </row>
    <row r="18" spans="1:10" x14ac:dyDescent="0.35">
      <c r="E18" s="34" t="s">
        <v>72</v>
      </c>
      <c r="I18" t="s">
        <v>193</v>
      </c>
      <c r="J18" t="s">
        <v>228</v>
      </c>
    </row>
    <row r="19" spans="1:10" x14ac:dyDescent="0.35">
      <c r="I19" t="s">
        <v>142</v>
      </c>
      <c r="J19" t="s">
        <v>227</v>
      </c>
    </row>
    <row r="20" spans="1:10" x14ac:dyDescent="0.35">
      <c r="I20" t="s">
        <v>98</v>
      </c>
      <c r="J20" t="s">
        <v>704</v>
      </c>
    </row>
    <row r="21" spans="1:10" x14ac:dyDescent="0.35">
      <c r="I21" t="s">
        <v>100</v>
      </c>
      <c r="J21" t="s">
        <v>703</v>
      </c>
    </row>
    <row r="22" spans="1:10" x14ac:dyDescent="0.35">
      <c r="I22" t="s">
        <v>104</v>
      </c>
      <c r="J22" t="s">
        <v>702</v>
      </c>
    </row>
    <row r="23" spans="1:10" x14ac:dyDescent="0.35">
      <c r="I23" s="38" t="s">
        <v>18</v>
      </c>
      <c r="J23" t="s">
        <v>701</v>
      </c>
    </row>
    <row r="24" spans="1:10" x14ac:dyDescent="0.35">
      <c r="J24" t="s">
        <v>700</v>
      </c>
    </row>
    <row r="25" spans="1:10" x14ac:dyDescent="0.35">
      <c r="J25" s="36" t="s">
        <v>698</v>
      </c>
    </row>
    <row r="26" spans="1:10" x14ac:dyDescent="0.35">
      <c r="A26" t="s">
        <v>671</v>
      </c>
      <c r="B26" t="s">
        <v>3</v>
      </c>
      <c r="C26" t="s">
        <v>43</v>
      </c>
      <c r="D26" t="s">
        <v>184</v>
      </c>
      <c r="E26" s="34" t="s">
        <v>327</v>
      </c>
      <c r="F26" s="33" t="s">
        <v>192</v>
      </c>
      <c r="G26" s="33" t="s">
        <v>636</v>
      </c>
      <c r="H26" t="s">
        <v>130</v>
      </c>
      <c r="I26" s="1" t="s">
        <v>193</v>
      </c>
      <c r="J26" s="3" t="s">
        <v>192</v>
      </c>
    </row>
    <row r="27" spans="1:10" x14ac:dyDescent="0.35">
      <c r="E27" s="17"/>
      <c r="I27" t="s">
        <v>142</v>
      </c>
      <c r="J27" t="s">
        <v>192</v>
      </c>
    </row>
    <row r="28" spans="1:10" x14ac:dyDescent="0.35">
      <c r="I28" t="s">
        <v>98</v>
      </c>
      <c r="J28" t="s">
        <v>674</v>
      </c>
    </row>
    <row r="29" spans="1:10" x14ac:dyDescent="0.35">
      <c r="I29" t="s">
        <v>100</v>
      </c>
      <c r="J29" t="s">
        <v>673</v>
      </c>
    </row>
    <row r="30" spans="1:10" x14ac:dyDescent="0.35">
      <c r="I30" t="s">
        <v>104</v>
      </c>
      <c r="J30" t="s">
        <v>672</v>
      </c>
    </row>
    <row r="31" spans="1:10" x14ac:dyDescent="0.35">
      <c r="I31" s="38" t="s">
        <v>18</v>
      </c>
      <c r="J31" s="36" t="s">
        <v>2946</v>
      </c>
    </row>
    <row r="32" spans="1:10" x14ac:dyDescent="0.35">
      <c r="A32" s="33" t="s">
        <v>3767</v>
      </c>
      <c r="B32" t="s">
        <v>3</v>
      </c>
      <c r="C32" t="s">
        <v>43</v>
      </c>
      <c r="D32" t="s">
        <v>699</v>
      </c>
      <c r="E32" s="40" t="s">
        <v>161</v>
      </c>
      <c r="F32" s="33" t="s">
        <v>190</v>
      </c>
      <c r="G32" s="33" t="s">
        <v>191</v>
      </c>
      <c r="H32" t="s">
        <v>54</v>
      </c>
      <c r="I32" s="1" t="s">
        <v>275</v>
      </c>
      <c r="J32" s="3" t="s">
        <v>199</v>
      </c>
    </row>
    <row r="33" spans="1:10" x14ac:dyDescent="0.35">
      <c r="E33" s="34"/>
      <c r="I33" t="s">
        <v>193</v>
      </c>
      <c r="J33" t="s">
        <v>228</v>
      </c>
    </row>
    <row r="34" spans="1:10" x14ac:dyDescent="0.35">
      <c r="I34" t="s">
        <v>142</v>
      </c>
      <c r="J34" t="s">
        <v>227</v>
      </c>
    </row>
    <row r="35" spans="1:10" x14ac:dyDescent="0.35">
      <c r="I35" t="s">
        <v>98</v>
      </c>
      <c r="J35" t="s">
        <v>704</v>
      </c>
    </row>
    <row r="36" spans="1:10" x14ac:dyDescent="0.35">
      <c r="I36" t="s">
        <v>100</v>
      </c>
      <c r="J36" t="s">
        <v>703</v>
      </c>
    </row>
    <row r="37" spans="1:10" x14ac:dyDescent="0.35">
      <c r="I37" t="s">
        <v>104</v>
      </c>
      <c r="J37" t="s">
        <v>702</v>
      </c>
    </row>
    <row r="38" spans="1:10" x14ac:dyDescent="0.35">
      <c r="I38" s="38" t="s">
        <v>18</v>
      </c>
      <c r="J38" t="s">
        <v>701</v>
      </c>
    </row>
    <row r="39" spans="1:10" x14ac:dyDescent="0.35">
      <c r="J39" s="36" t="s">
        <v>700</v>
      </c>
    </row>
    <row r="40" spans="1:10" x14ac:dyDescent="0.35">
      <c r="A40" s="33" t="s">
        <v>1908</v>
      </c>
      <c r="B40" t="s">
        <v>3</v>
      </c>
      <c r="C40" t="s">
        <v>43</v>
      </c>
      <c r="D40" t="s">
        <v>184</v>
      </c>
      <c r="E40" s="34" t="s">
        <v>161</v>
      </c>
      <c r="F40" s="33" t="s">
        <v>192</v>
      </c>
      <c r="G40" s="33" t="s">
        <v>275</v>
      </c>
      <c r="H40" t="s">
        <v>130</v>
      </c>
      <c r="I40" s="1" t="s">
        <v>193</v>
      </c>
      <c r="J40" s="3" t="s">
        <v>1909</v>
      </c>
    </row>
    <row r="41" spans="1:10" x14ac:dyDescent="0.35">
      <c r="E41" s="17"/>
      <c r="I41" t="s">
        <v>142</v>
      </c>
      <c r="J41" t="s">
        <v>1910</v>
      </c>
    </row>
    <row r="42" spans="1:10" x14ac:dyDescent="0.35">
      <c r="I42" t="s">
        <v>98</v>
      </c>
      <c r="J42" t="s">
        <v>1911</v>
      </c>
    </row>
    <row r="43" spans="1:10" x14ac:dyDescent="0.35">
      <c r="I43" t="s">
        <v>100</v>
      </c>
      <c r="J43" t="s">
        <v>1912</v>
      </c>
    </row>
    <row r="44" spans="1:10" x14ac:dyDescent="0.35">
      <c r="I44" t="s">
        <v>104</v>
      </c>
      <c r="J44" t="s">
        <v>1913</v>
      </c>
    </row>
    <row r="45" spans="1:10" x14ac:dyDescent="0.35">
      <c r="I45" s="38" t="s">
        <v>18</v>
      </c>
      <c r="J45" s="36" t="s">
        <v>1908</v>
      </c>
    </row>
    <row r="46" spans="1:10" x14ac:dyDescent="0.35">
      <c r="A46" s="33" t="s">
        <v>2634</v>
      </c>
      <c r="B46" t="s">
        <v>3</v>
      </c>
      <c r="C46" t="s">
        <v>43</v>
      </c>
      <c r="D46" t="s">
        <v>184</v>
      </c>
      <c r="E46" s="34" t="s">
        <v>161</v>
      </c>
      <c r="F46" s="33" t="s">
        <v>192</v>
      </c>
      <c r="G46" s="33" t="s">
        <v>275</v>
      </c>
      <c r="H46" t="s">
        <v>130</v>
      </c>
      <c r="I46" s="1" t="s">
        <v>193</v>
      </c>
      <c r="J46" s="3" t="s">
        <v>2635</v>
      </c>
    </row>
    <row r="47" spans="1:10" x14ac:dyDescent="0.35">
      <c r="E47" s="17"/>
      <c r="I47" t="s">
        <v>142</v>
      </c>
      <c r="J47" t="s">
        <v>2636</v>
      </c>
    </row>
    <row r="48" spans="1:10" x14ac:dyDescent="0.35">
      <c r="I48" t="s">
        <v>98</v>
      </c>
      <c r="J48" t="s">
        <v>2637</v>
      </c>
    </row>
    <row r="49" spans="1:10" x14ac:dyDescent="0.35">
      <c r="I49" t="s">
        <v>100</v>
      </c>
      <c r="J49" t="s">
        <v>2638</v>
      </c>
    </row>
    <row r="50" spans="1:10" x14ac:dyDescent="0.35">
      <c r="I50" t="s">
        <v>104</v>
      </c>
      <c r="J50" t="s">
        <v>2639</v>
      </c>
    </row>
    <row r="51" spans="1:10" x14ac:dyDescent="0.35">
      <c r="I51" s="38" t="s">
        <v>18</v>
      </c>
      <c r="J51" s="36" t="s">
        <v>2640</v>
      </c>
    </row>
    <row r="52" spans="1:10" x14ac:dyDescent="0.35">
      <c r="A52" s="33" t="s">
        <v>630</v>
      </c>
      <c r="B52" t="s">
        <v>3</v>
      </c>
      <c r="C52" t="s">
        <v>43</v>
      </c>
      <c r="D52" t="s">
        <v>184</v>
      </c>
      <c r="E52" s="40" t="s">
        <v>169</v>
      </c>
      <c r="F52" s="33" t="s">
        <v>192</v>
      </c>
      <c r="G52" s="33" t="s">
        <v>636</v>
      </c>
      <c r="H52" t="s">
        <v>130</v>
      </c>
      <c r="I52" s="1" t="s">
        <v>193</v>
      </c>
      <c r="J52" s="3" t="s">
        <v>192</v>
      </c>
    </row>
    <row r="53" spans="1:10" x14ac:dyDescent="0.35">
      <c r="E53" s="34" t="s">
        <v>89</v>
      </c>
      <c r="I53" t="s">
        <v>142</v>
      </c>
      <c r="J53" t="s">
        <v>635</v>
      </c>
    </row>
    <row r="54" spans="1:10" x14ac:dyDescent="0.35">
      <c r="I54" t="s">
        <v>98</v>
      </c>
      <c r="J54" t="s">
        <v>634</v>
      </c>
    </row>
    <row r="55" spans="1:10" x14ac:dyDescent="0.35">
      <c r="I55" t="s">
        <v>100</v>
      </c>
      <c r="J55" t="s">
        <v>633</v>
      </c>
    </row>
    <row r="56" spans="1:10" x14ac:dyDescent="0.35">
      <c r="I56" t="s">
        <v>104</v>
      </c>
      <c r="J56" t="s">
        <v>632</v>
      </c>
    </row>
    <row r="57" spans="1:10" x14ac:dyDescent="0.35">
      <c r="I57" s="38" t="s">
        <v>18</v>
      </c>
      <c r="J57" s="36" t="s">
        <v>631</v>
      </c>
    </row>
    <row r="58" spans="1:10" x14ac:dyDescent="0.35">
      <c r="A58" t="s">
        <v>2771</v>
      </c>
      <c r="B58" t="s">
        <v>3</v>
      </c>
      <c r="C58" t="s">
        <v>43</v>
      </c>
      <c r="D58" t="s">
        <v>159</v>
      </c>
      <c r="E58" s="40" t="s">
        <v>169</v>
      </c>
      <c r="F58" s="33" t="s">
        <v>192</v>
      </c>
      <c r="G58" s="33" t="s">
        <v>275</v>
      </c>
      <c r="H58" t="s">
        <v>130</v>
      </c>
      <c r="I58" s="1" t="s">
        <v>193</v>
      </c>
      <c r="J58" s="3" t="s">
        <v>2635</v>
      </c>
    </row>
    <row r="59" spans="1:10" x14ac:dyDescent="0.35">
      <c r="E59" s="34" t="s">
        <v>608</v>
      </c>
      <c r="I59" t="s">
        <v>142</v>
      </c>
      <c r="J59" t="s">
        <v>2769</v>
      </c>
    </row>
    <row r="60" spans="1:10" x14ac:dyDescent="0.35">
      <c r="I60" t="s">
        <v>98</v>
      </c>
      <c r="J60" t="s">
        <v>1306</v>
      </c>
    </row>
    <row r="61" spans="1:10" x14ac:dyDescent="0.35">
      <c r="I61" t="s">
        <v>100</v>
      </c>
      <c r="J61" t="s">
        <v>2770</v>
      </c>
    </row>
    <row r="62" spans="1:10" x14ac:dyDescent="0.35">
      <c r="I62" t="s">
        <v>104</v>
      </c>
      <c r="J62" s="36" t="s">
        <v>2861</v>
      </c>
    </row>
    <row r="63" spans="1:10" x14ac:dyDescent="0.35">
      <c r="I63" s="38" t="s">
        <v>1249</v>
      </c>
    </row>
    <row r="64" spans="1:10" x14ac:dyDescent="0.35">
      <c r="A64" s="33" t="s">
        <v>1405</v>
      </c>
      <c r="B64" t="s">
        <v>3</v>
      </c>
      <c r="C64" t="s">
        <v>43</v>
      </c>
      <c r="D64" t="s">
        <v>55</v>
      </c>
      <c r="E64" s="34" t="s">
        <v>909</v>
      </c>
      <c r="F64" s="33" t="s">
        <v>190</v>
      </c>
      <c r="G64" s="33" t="s">
        <v>1406</v>
      </c>
      <c r="H64" t="s">
        <v>54</v>
      </c>
      <c r="I64" s="1" t="s">
        <v>192</v>
      </c>
      <c r="J64" s="3" t="s">
        <v>1407</v>
      </c>
    </row>
    <row r="65" spans="1:10" x14ac:dyDescent="0.35">
      <c r="E65" s="40" t="s">
        <v>179</v>
      </c>
      <c r="I65" t="s">
        <v>193</v>
      </c>
      <c r="J65" t="s">
        <v>1408</v>
      </c>
    </row>
    <row r="66" spans="1:10" x14ac:dyDescent="0.35">
      <c r="I66" t="s">
        <v>142</v>
      </c>
      <c r="J66" t="s">
        <v>1409</v>
      </c>
    </row>
    <row r="67" spans="1:10" x14ac:dyDescent="0.35">
      <c r="I67" t="s">
        <v>98</v>
      </c>
      <c r="J67" t="s">
        <v>1410</v>
      </c>
    </row>
    <row r="68" spans="1:10" x14ac:dyDescent="0.35">
      <c r="I68" t="s">
        <v>100</v>
      </c>
      <c r="J68" t="s">
        <v>1411</v>
      </c>
    </row>
    <row r="69" spans="1:10" x14ac:dyDescent="0.35">
      <c r="I69" t="s">
        <v>104</v>
      </c>
      <c r="J69" t="s">
        <v>1412</v>
      </c>
    </row>
    <row r="70" spans="1:10" x14ac:dyDescent="0.35">
      <c r="I70" s="38" t="s">
        <v>1249</v>
      </c>
      <c r="J70" s="36" t="s">
        <v>1413</v>
      </c>
    </row>
    <row r="71" spans="1:10" x14ac:dyDescent="0.35">
      <c r="A71" s="33" t="s">
        <v>1261</v>
      </c>
      <c r="B71" t="s">
        <v>3</v>
      </c>
      <c r="C71" t="s">
        <v>43</v>
      </c>
      <c r="D71" t="s">
        <v>55</v>
      </c>
      <c r="E71" s="40" t="s">
        <v>179</v>
      </c>
      <c r="F71" s="33" t="s">
        <v>190</v>
      </c>
      <c r="G71" s="33" t="s">
        <v>191</v>
      </c>
      <c r="H71" t="s">
        <v>54</v>
      </c>
      <c r="I71" s="1" t="s">
        <v>192</v>
      </c>
      <c r="J71" s="3" t="s">
        <v>1908</v>
      </c>
    </row>
    <row r="72" spans="1:10" x14ac:dyDescent="0.35">
      <c r="E72" s="15"/>
      <c r="I72" t="s">
        <v>193</v>
      </c>
      <c r="J72" t="s">
        <v>228</v>
      </c>
    </row>
    <row r="73" spans="1:10" x14ac:dyDescent="0.35">
      <c r="I73" t="s">
        <v>142</v>
      </c>
      <c r="J73" t="s">
        <v>227</v>
      </c>
    </row>
    <row r="74" spans="1:10" x14ac:dyDescent="0.35">
      <c r="I74" t="s">
        <v>98</v>
      </c>
      <c r="J74" t="s">
        <v>704</v>
      </c>
    </row>
    <row r="75" spans="1:10" x14ac:dyDescent="0.35">
      <c r="I75" t="s">
        <v>100</v>
      </c>
      <c r="J75" t="s">
        <v>703</v>
      </c>
    </row>
    <row r="76" spans="1:10" x14ac:dyDescent="0.35">
      <c r="I76" t="s">
        <v>104</v>
      </c>
      <c r="J76" t="s">
        <v>1262</v>
      </c>
    </row>
    <row r="77" spans="1:10" x14ac:dyDescent="0.35">
      <c r="I77" s="38" t="s">
        <v>18</v>
      </c>
      <c r="J77" s="36" t="s">
        <v>1261</v>
      </c>
    </row>
    <row r="78" spans="1:10" x14ac:dyDescent="0.35">
      <c r="A78" s="33" t="s">
        <v>188</v>
      </c>
      <c r="B78" t="s">
        <v>3</v>
      </c>
      <c r="C78" t="s">
        <v>43</v>
      </c>
      <c r="D78" t="s">
        <v>55</v>
      </c>
      <c r="E78" s="34" t="s">
        <v>189</v>
      </c>
      <c r="F78" s="33" t="s">
        <v>190</v>
      </c>
      <c r="G78" s="33" t="s">
        <v>191</v>
      </c>
      <c r="H78" t="s">
        <v>54</v>
      </c>
      <c r="I78" s="1" t="s">
        <v>192</v>
      </c>
      <c r="J78" s="3" t="s">
        <v>199</v>
      </c>
    </row>
    <row r="79" spans="1:10" x14ac:dyDescent="0.35">
      <c r="E79" s="17"/>
      <c r="I79" t="s">
        <v>193</v>
      </c>
      <c r="J79" t="s">
        <v>198</v>
      </c>
    </row>
    <row r="80" spans="1:10" x14ac:dyDescent="0.35">
      <c r="I80" t="s">
        <v>142</v>
      </c>
      <c r="J80" t="s">
        <v>197</v>
      </c>
    </row>
    <row r="81" spans="1:10" x14ac:dyDescent="0.35">
      <c r="I81" t="s">
        <v>98</v>
      </c>
      <c r="J81" t="s">
        <v>196</v>
      </c>
    </row>
    <row r="82" spans="1:10" x14ac:dyDescent="0.35">
      <c r="I82" t="s">
        <v>100</v>
      </c>
      <c r="J82" t="s">
        <v>195</v>
      </c>
    </row>
    <row r="83" spans="1:10" x14ac:dyDescent="0.35">
      <c r="I83" t="s">
        <v>104</v>
      </c>
      <c r="J83" t="s">
        <v>194</v>
      </c>
    </row>
    <row r="84" spans="1:10" x14ac:dyDescent="0.35">
      <c r="I84" s="38" t="s">
        <v>18</v>
      </c>
      <c r="J84" s="36" t="s">
        <v>188</v>
      </c>
    </row>
    <row r="85" spans="1:10" x14ac:dyDescent="0.35">
      <c r="A85" t="s">
        <v>2504</v>
      </c>
      <c r="B85" t="s">
        <v>3</v>
      </c>
      <c r="C85" t="s">
        <v>43</v>
      </c>
      <c r="D85" t="s">
        <v>64</v>
      </c>
      <c r="E85" s="40" t="s">
        <v>189</v>
      </c>
      <c r="F85" s="33" t="s">
        <v>192</v>
      </c>
      <c r="G85" s="33" t="s">
        <v>275</v>
      </c>
      <c r="H85" t="s">
        <v>130</v>
      </c>
      <c r="I85" s="1" t="s">
        <v>193</v>
      </c>
      <c r="J85" s="3" t="s">
        <v>1909</v>
      </c>
    </row>
    <row r="86" spans="1:10" x14ac:dyDescent="0.35">
      <c r="E86" s="15"/>
      <c r="I86" t="s">
        <v>142</v>
      </c>
      <c r="J86" t="s">
        <v>2505</v>
      </c>
    </row>
    <row r="87" spans="1:10" x14ac:dyDescent="0.35">
      <c r="I87" t="s">
        <v>98</v>
      </c>
      <c r="J87" t="s">
        <v>2506</v>
      </c>
    </row>
    <row r="88" spans="1:10" x14ac:dyDescent="0.35">
      <c r="I88" t="s">
        <v>100</v>
      </c>
      <c r="J88" t="s">
        <v>2507</v>
      </c>
    </row>
    <row r="89" spans="1:10" x14ac:dyDescent="0.35">
      <c r="I89" t="s">
        <v>104</v>
      </c>
      <c r="J89" t="s">
        <v>2508</v>
      </c>
    </row>
    <row r="90" spans="1:10" x14ac:dyDescent="0.35">
      <c r="I90" s="38" t="s">
        <v>1249</v>
      </c>
      <c r="J90" t="s">
        <v>2509</v>
      </c>
    </row>
    <row r="91" spans="1:10" x14ac:dyDescent="0.35">
      <c r="J91" s="36" t="s">
        <v>2510</v>
      </c>
    </row>
    <row r="92" spans="1:10" x14ac:dyDescent="0.35">
      <c r="A92" t="s">
        <v>2773</v>
      </c>
      <c r="B92" t="s">
        <v>3</v>
      </c>
      <c r="C92" t="s">
        <v>43</v>
      </c>
      <c r="D92" t="s">
        <v>159</v>
      </c>
      <c r="E92" s="40" t="s">
        <v>216</v>
      </c>
      <c r="F92" s="33" t="s">
        <v>192</v>
      </c>
      <c r="G92" s="33" t="s">
        <v>275</v>
      </c>
      <c r="H92" t="s">
        <v>130</v>
      </c>
      <c r="I92" s="1" t="s">
        <v>193</v>
      </c>
      <c r="J92" s="3" t="s">
        <v>2635</v>
      </c>
    </row>
    <row r="93" spans="1:10" x14ac:dyDescent="0.35">
      <c r="E93" s="15"/>
      <c r="I93" t="s">
        <v>142</v>
      </c>
      <c r="J93" t="s">
        <v>2769</v>
      </c>
    </row>
    <row r="94" spans="1:10" x14ac:dyDescent="0.35">
      <c r="I94" t="s">
        <v>98</v>
      </c>
      <c r="J94" t="s">
        <v>1306</v>
      </c>
    </row>
    <row r="95" spans="1:10" x14ac:dyDescent="0.35">
      <c r="I95" t="s">
        <v>100</v>
      </c>
      <c r="J95" t="s">
        <v>2770</v>
      </c>
    </row>
    <row r="96" spans="1:10" x14ac:dyDescent="0.35">
      <c r="I96" t="s">
        <v>104</v>
      </c>
      <c r="J96" s="36" t="s">
        <v>2774</v>
      </c>
    </row>
    <row r="97" spans="1:10" x14ac:dyDescent="0.35">
      <c r="I97" s="38" t="s">
        <v>1249</v>
      </c>
    </row>
    <row r="98" spans="1:10" x14ac:dyDescent="0.35">
      <c r="A98" s="33" t="s">
        <v>1305</v>
      </c>
      <c r="B98" t="s">
        <v>3</v>
      </c>
      <c r="C98" t="s">
        <v>43</v>
      </c>
      <c r="D98" t="s">
        <v>64</v>
      </c>
      <c r="E98" s="40" t="s">
        <v>72</v>
      </c>
      <c r="F98" s="33" t="s">
        <v>192</v>
      </c>
      <c r="G98" s="33" t="s">
        <v>275</v>
      </c>
      <c r="H98" t="s">
        <v>130</v>
      </c>
      <c r="I98" s="1" t="s">
        <v>193</v>
      </c>
      <c r="J98" s="3" t="s">
        <v>190</v>
      </c>
    </row>
    <row r="99" spans="1:10" x14ac:dyDescent="0.35">
      <c r="E99" s="15"/>
      <c r="I99" t="s">
        <v>142</v>
      </c>
      <c r="J99" t="s">
        <v>1306</v>
      </c>
    </row>
    <row r="100" spans="1:10" x14ac:dyDescent="0.35">
      <c r="I100" t="s">
        <v>98</v>
      </c>
      <c r="J100" t="s">
        <v>1307</v>
      </c>
    </row>
    <row r="101" spans="1:10" x14ac:dyDescent="0.35">
      <c r="I101" t="s">
        <v>100</v>
      </c>
      <c r="J101" t="s">
        <v>1308</v>
      </c>
    </row>
    <row r="102" spans="1:10" x14ac:dyDescent="0.35">
      <c r="I102" t="s">
        <v>104</v>
      </c>
      <c r="J102" t="s">
        <v>1309</v>
      </c>
    </row>
    <row r="103" spans="1:10" x14ac:dyDescent="0.35">
      <c r="I103" s="38" t="s">
        <v>1249</v>
      </c>
      <c r="J103" t="s">
        <v>1310</v>
      </c>
    </row>
    <row r="104" spans="1:10" x14ac:dyDescent="0.35">
      <c r="J104" s="36" t="s">
        <v>1311</v>
      </c>
    </row>
    <row r="105" spans="1:10" x14ac:dyDescent="0.35">
      <c r="A105" s="33" t="s">
        <v>3804</v>
      </c>
      <c r="B105" t="s">
        <v>3</v>
      </c>
      <c r="C105" t="s">
        <v>43</v>
      </c>
      <c r="D105" t="s">
        <v>429</v>
      </c>
      <c r="E105" s="40" t="s">
        <v>65</v>
      </c>
      <c r="F105" s="33" t="s">
        <v>190</v>
      </c>
      <c r="G105" s="33" t="s">
        <v>191</v>
      </c>
      <c r="H105" t="s">
        <v>54</v>
      </c>
      <c r="I105" s="1" t="s">
        <v>192</v>
      </c>
      <c r="J105" s="3" t="s">
        <v>199</v>
      </c>
    </row>
    <row r="106" spans="1:10" x14ac:dyDescent="0.35">
      <c r="E106" s="15"/>
      <c r="I106" t="s">
        <v>193</v>
      </c>
      <c r="J106" t="s">
        <v>228</v>
      </c>
    </row>
    <row r="107" spans="1:10" x14ac:dyDescent="0.35">
      <c r="I107" t="s">
        <v>142</v>
      </c>
      <c r="J107" t="s">
        <v>227</v>
      </c>
    </row>
    <row r="108" spans="1:10" x14ac:dyDescent="0.35">
      <c r="I108" t="s">
        <v>98</v>
      </c>
      <c r="J108" t="s">
        <v>3805</v>
      </c>
    </row>
    <row r="109" spans="1:10" x14ac:dyDescent="0.35">
      <c r="I109" t="s">
        <v>100</v>
      </c>
      <c r="J109" t="s">
        <v>3806</v>
      </c>
    </row>
    <row r="110" spans="1:10" x14ac:dyDescent="0.35">
      <c r="I110" t="s">
        <v>104</v>
      </c>
      <c r="J110" t="s">
        <v>3807</v>
      </c>
    </row>
    <row r="111" spans="1:10" x14ac:dyDescent="0.35">
      <c r="I111" s="38" t="s">
        <v>18</v>
      </c>
      <c r="J111" t="s">
        <v>3808</v>
      </c>
    </row>
    <row r="112" spans="1:10" x14ac:dyDescent="0.35">
      <c r="I112" s="37"/>
      <c r="J112" s="36" t="s">
        <v>3804</v>
      </c>
    </row>
    <row r="113" spans="1:10" x14ac:dyDescent="0.35">
      <c r="A113" s="33" t="s">
        <v>2768</v>
      </c>
      <c r="B113" t="s">
        <v>3</v>
      </c>
      <c r="C113" t="s">
        <v>43</v>
      </c>
      <c r="D113" t="s">
        <v>143</v>
      </c>
      <c r="E113" s="15"/>
      <c r="F113" s="33" t="s">
        <v>192</v>
      </c>
      <c r="G113" s="33" t="s">
        <v>275</v>
      </c>
      <c r="H113" t="s">
        <v>130</v>
      </c>
      <c r="I113" s="1" t="s">
        <v>193</v>
      </c>
      <c r="J113" s="3" t="s">
        <v>2635</v>
      </c>
    </row>
    <row r="114" spans="1:10" x14ac:dyDescent="0.35">
      <c r="E114" s="40" t="s">
        <v>44</v>
      </c>
      <c r="I114" t="s">
        <v>142</v>
      </c>
      <c r="J114" t="s">
        <v>2769</v>
      </c>
    </row>
    <row r="115" spans="1:10" x14ac:dyDescent="0.35">
      <c r="I115" t="s">
        <v>98</v>
      </c>
      <c r="J115" t="s">
        <v>1306</v>
      </c>
    </row>
    <row r="116" spans="1:10" x14ac:dyDescent="0.35">
      <c r="I116" t="s">
        <v>100</v>
      </c>
      <c r="J116" t="s">
        <v>2770</v>
      </c>
    </row>
    <row r="117" spans="1:10" x14ac:dyDescent="0.35">
      <c r="I117" t="s">
        <v>104</v>
      </c>
      <c r="J117" t="s">
        <v>2772</v>
      </c>
    </row>
    <row r="118" spans="1:10" x14ac:dyDescent="0.35">
      <c r="I118" s="38" t="s">
        <v>1249</v>
      </c>
      <c r="J118" s="36" t="s">
        <v>2768</v>
      </c>
    </row>
    <row r="119" spans="1:10" x14ac:dyDescent="0.35">
      <c r="A119" s="33" t="s">
        <v>2860</v>
      </c>
      <c r="B119" t="s">
        <v>3</v>
      </c>
      <c r="C119" t="s">
        <v>43</v>
      </c>
      <c r="D119" t="s">
        <v>64</v>
      </c>
      <c r="E119" s="34" t="s">
        <v>89</v>
      </c>
      <c r="F119" s="33" t="s">
        <v>192</v>
      </c>
      <c r="G119" s="33" t="s">
        <v>275</v>
      </c>
      <c r="H119" t="s">
        <v>130</v>
      </c>
      <c r="I119" s="1" t="s">
        <v>193</v>
      </c>
      <c r="J119" s="3" t="s">
        <v>2635</v>
      </c>
    </row>
    <row r="120" spans="1:10" x14ac:dyDescent="0.35">
      <c r="E120" s="17"/>
      <c r="I120" t="s">
        <v>142</v>
      </c>
      <c r="J120" t="s">
        <v>2769</v>
      </c>
    </row>
    <row r="121" spans="1:10" x14ac:dyDescent="0.35">
      <c r="I121" t="s">
        <v>98</v>
      </c>
      <c r="J121" t="s">
        <v>1306</v>
      </c>
    </row>
    <row r="122" spans="1:10" x14ac:dyDescent="0.35">
      <c r="I122" t="s">
        <v>100</v>
      </c>
      <c r="J122" t="s">
        <v>2770</v>
      </c>
    </row>
    <row r="123" spans="1:10" x14ac:dyDescent="0.35">
      <c r="I123" t="s">
        <v>104</v>
      </c>
      <c r="J123" t="s">
        <v>2861</v>
      </c>
    </row>
    <row r="124" spans="1:10" x14ac:dyDescent="0.35">
      <c r="I124" s="38" t="s">
        <v>18</v>
      </c>
      <c r="J124" t="s">
        <v>2768</v>
      </c>
    </row>
    <row r="125" spans="1:10" x14ac:dyDescent="0.35">
      <c r="J125" s="36" t="s">
        <v>2860</v>
      </c>
    </row>
  </sheetData>
  <autoFilter ref="E1:E125" xr:uid="{00000000-0001-0000-1400-000000000000}"/>
  <hyperlinks>
    <hyperlink ref="A1" location="Summary!A1" tooltip="Return to Totals" display="Back to Totals" xr:uid="{2CC20DA6-A4A2-4298-B206-5858F2FFDD00}"/>
    <hyperlink ref="I9" r:id="rId1" xr:uid="{E2F9D42E-04A5-404C-ADD5-8041842E9BDD}"/>
    <hyperlink ref="I16" r:id="rId2" xr:uid="{B9C3020F-6478-4320-8C28-CB781AEEC9B1}"/>
    <hyperlink ref="I23" r:id="rId3" xr:uid="{3318B20D-F28B-4A23-B8F5-6BE158FFCB35}"/>
    <hyperlink ref="I57" r:id="rId4" xr:uid="{67139313-4BCA-43E8-9C57-033425119A2F}"/>
    <hyperlink ref="I77" r:id="rId5" xr:uid="{741CCA20-AE4B-44ED-9851-9ECE61448894}"/>
    <hyperlink ref="I84" r:id="rId6" xr:uid="{E90D72E6-57B0-4180-83B8-3B422668CC57}"/>
    <hyperlink ref="I63" r:id="rId7" xr:uid="{A4CE09D5-9C34-4159-8990-AB3A51410848}"/>
    <hyperlink ref="I70" r:id="rId8" xr:uid="{91AF3B66-AC44-4F82-8A56-103E6F1E168D}"/>
    <hyperlink ref="I90" r:id="rId9" xr:uid="{188CC4FA-484C-4B0A-889E-F9E35D807EDF}"/>
    <hyperlink ref="I97" r:id="rId10" xr:uid="{45CDAF72-D854-403F-83A3-3C3426588D40}"/>
    <hyperlink ref="I103" r:id="rId11" xr:uid="{488C63CC-255D-4CBB-9BF4-64E179C2ED3B}"/>
    <hyperlink ref="I118" r:id="rId12" xr:uid="{8A407A13-5F05-4F2E-8608-CE2705CC2DAD}"/>
    <hyperlink ref="I124" r:id="rId13" display="Jill Elaine Robertson" xr:uid="{2F46B077-1870-47D9-9595-D3A74D69EF33}"/>
    <hyperlink ref="F3" r:id="rId14" xr:uid="{6024850B-D50B-4EE3-84B8-3E78E335D81F}"/>
    <hyperlink ref="F10" r:id="rId15" xr:uid="{66CCAF35-D9A9-4AA7-8EB9-4449279F1E16}"/>
    <hyperlink ref="F17" r:id="rId16" xr:uid="{27D6E6D7-53FD-4DE8-BD0B-F65BE7821270}"/>
    <hyperlink ref="F64" r:id="rId17" xr:uid="{DEE38B88-0BBA-4145-AB7D-05458D3E4E6C}"/>
    <hyperlink ref="F71" r:id="rId18" xr:uid="{1CADF087-18F7-4A47-B1DC-0E4CA9D4C0E7}"/>
    <hyperlink ref="F78" r:id="rId19" xr:uid="{E210C1ED-AE13-4981-B2AC-EB2AD651B8F3}"/>
    <hyperlink ref="G3" r:id="rId20" xr:uid="{DE51F45B-C7D1-4541-80C3-AF3F93E18A5C}"/>
    <hyperlink ref="G10" r:id="rId21" xr:uid="{C91D8397-EDEF-472B-BF6B-E9720EB0193E}"/>
    <hyperlink ref="G17" r:id="rId22" xr:uid="{38AEC7E2-E49F-4572-B17A-136E2B2A0C7E}"/>
    <hyperlink ref="G71" r:id="rId23" xr:uid="{D2AFFC82-E2AB-476E-A523-D01A7851237C}"/>
    <hyperlink ref="G78" r:id="rId24" xr:uid="{A13275AE-E631-4B4F-8BA5-F942529EB2A4}"/>
    <hyperlink ref="F26" r:id="rId25" xr:uid="{4E50B1C6-6120-4833-9E2C-DEF46CF8227D}"/>
    <hyperlink ref="F40" r:id="rId26" xr:uid="{A2BE7BDF-58F8-4334-9699-366E66B75407}"/>
    <hyperlink ref="F46" r:id="rId27" xr:uid="{DB0E8020-34A8-46AD-8204-1538FBCF2A23}"/>
    <hyperlink ref="F52" r:id="rId28" xr:uid="{C3F9B7B9-E040-4A97-AEA8-0EFC9219638C}"/>
    <hyperlink ref="F58" r:id="rId29" xr:uid="{3C71F090-BC3C-4121-B4FF-A671326C2E98}"/>
    <hyperlink ref="F85" r:id="rId30" xr:uid="{91946FF8-B352-42C0-95C5-786D7A56E198}"/>
    <hyperlink ref="F92" r:id="rId31" xr:uid="{DF99A339-2B2D-44B8-B76A-79F1E6F03F40}"/>
    <hyperlink ref="F98" r:id="rId32" xr:uid="{5179A3EF-25EF-4651-84B8-979CB8F20416}"/>
    <hyperlink ref="F113" r:id="rId33" xr:uid="{69D20D6E-00D1-4C4F-855C-7766DCB79693}"/>
    <hyperlink ref="F119" r:id="rId34" xr:uid="{2AD40D11-0C43-4EA4-A76F-DFBE0E35C53B}"/>
    <hyperlink ref="G119" r:id="rId35" xr:uid="{FEF0A70F-0E7E-4130-ADE4-AFCB0E02F1B2}"/>
    <hyperlink ref="G113" r:id="rId36" xr:uid="{CDBE92AD-B06B-4652-99A1-CE4488EC2E53}"/>
    <hyperlink ref="G98" r:id="rId37" xr:uid="{44312D43-6FF9-4073-9CEB-0C650CFBB3F9}"/>
    <hyperlink ref="G92" r:id="rId38" xr:uid="{28526B3D-DED6-436D-A3AA-688BCD057437}"/>
    <hyperlink ref="G85" r:id="rId39" xr:uid="{1921BBEC-F24F-4A76-BE22-7F461A93D4B5}"/>
    <hyperlink ref="G58" r:id="rId40" xr:uid="{8CF067F0-4C30-4506-AF79-7106F393C69E}"/>
    <hyperlink ref="G40" r:id="rId41" xr:uid="{8C51BD62-7039-42A4-8656-A5D7AD3D42AA}"/>
    <hyperlink ref="G46" r:id="rId42" xr:uid="{56C4DA9A-5EBC-45CA-B7D9-C011BF741965}"/>
    <hyperlink ref="G26" r:id="rId43" xr:uid="{2BE3A614-C2AE-444B-95E5-0434FD847773}"/>
    <hyperlink ref="G52" r:id="rId44" xr:uid="{D1BB564B-E695-4624-BDFD-32D7C24ED56C}"/>
    <hyperlink ref="G64" r:id="rId45" xr:uid="{D1B16A53-4AA4-4048-A01D-4B37CCCE5070}"/>
    <hyperlink ref="J8" r:id="rId46" xr:uid="{4025882C-DF63-4813-AC41-2AC9BE357FD3}"/>
    <hyperlink ref="J15" r:id="rId47" xr:uid="{7B180BD5-6291-42CF-BFF8-A633871A33A2}"/>
    <hyperlink ref="J25" r:id="rId48" xr:uid="{C02DCE0F-A231-4143-9733-2879863155E1}"/>
    <hyperlink ref="I31" r:id="rId49" xr:uid="{1924C875-22F7-4E50-869F-6350F850DE86}"/>
    <hyperlink ref="J31" r:id="rId50" xr:uid="{193E32FD-C9EF-43CF-AF2D-8245FF77B540}"/>
    <hyperlink ref="I45" r:id="rId51" xr:uid="{141294B1-4F1E-4DF3-A689-65609F947717}"/>
    <hyperlink ref="J45" r:id="rId52" xr:uid="{58986D95-3731-4659-8BD1-612C65AA4F02}"/>
    <hyperlink ref="I51" r:id="rId53" xr:uid="{6DB05F2F-3CCF-49C8-9C4B-424A70617E7C}"/>
    <hyperlink ref="J51" r:id="rId54" xr:uid="{4DB33228-877C-495D-9FBA-93B088A4E1F2}"/>
    <hyperlink ref="J57" r:id="rId55" xr:uid="{F35851CB-273C-4169-A35F-255053BFA4A5}"/>
    <hyperlink ref="J62" r:id="rId56" display="Margaret E Smith" xr:uid="{2977EE6D-A841-472A-9AE1-F0627F9AEBDC}"/>
    <hyperlink ref="J70" r:id="rId57" xr:uid="{889EA3F7-CF2F-4D1F-8E7A-9E75ED801B32}"/>
    <hyperlink ref="J77" r:id="rId58" xr:uid="{D62146CA-3F2B-4A28-8212-EFF1DC49F115}"/>
    <hyperlink ref="A71" r:id="rId59" xr:uid="{50976DCE-D8E9-4541-A80B-64D9CDF00597}"/>
    <hyperlink ref="J84" r:id="rId60" xr:uid="{41DD86BE-A04A-4B50-9446-281FCC6F90E8}"/>
    <hyperlink ref="J91" r:id="rId61" xr:uid="{F4DACAE2-17D1-4A27-83B5-3DCC0A666747}"/>
    <hyperlink ref="J96" r:id="rId62" xr:uid="{2B56E2AE-FE32-49BC-94B4-CC45F680A683}"/>
    <hyperlink ref="J104" r:id="rId63" xr:uid="{8393CBBA-084E-46BC-8D13-7362926A04FE}"/>
    <hyperlink ref="J118" r:id="rId64" xr:uid="{768F2399-6BC7-49E2-A98D-6E9593618B16}"/>
    <hyperlink ref="J125" r:id="rId65" xr:uid="{8D2CB110-CAD0-4F96-99A7-546AE1F93BC1}"/>
    <hyperlink ref="A10" r:id="rId66" xr:uid="{B060679A-DA8B-49B3-85E2-7D4E0B5DA8E9}"/>
    <hyperlink ref="A40" r:id="rId67" xr:uid="{9E726ABF-2A1F-455F-9067-11EE39F0433F}"/>
    <hyperlink ref="A52" r:id="rId68" xr:uid="{644BB379-2E94-4400-B3F9-6581E88C5F2D}"/>
    <hyperlink ref="A64" r:id="rId69" xr:uid="{4D815E3F-B33A-4D61-B41E-75346E259F56}"/>
    <hyperlink ref="A78" r:id="rId70" xr:uid="{2BEF54D9-77EA-4935-8964-E45D86D19A96}"/>
    <hyperlink ref="A119" r:id="rId71" xr:uid="{13D6E83D-7E0C-4A40-976A-59D259B0328F}"/>
    <hyperlink ref="A46" r:id="rId72" xr:uid="{5E4AAFB8-7EB5-430D-8FB3-CBFB0AC658F0}"/>
    <hyperlink ref="A98" r:id="rId73" xr:uid="{CE8D4755-323C-4D10-9BA7-C386343ACE4B}"/>
    <hyperlink ref="A113" r:id="rId74" xr:uid="{39066E8D-A6AB-40A7-8362-90F27358CA70}"/>
    <hyperlink ref="E119" r:id="rId75" xr:uid="{103C403C-A048-4043-A7BC-53714E796426}"/>
    <hyperlink ref="E53" r:id="rId76" xr:uid="{3AD90BF1-52F0-43FE-9A13-4FE497E73C87}"/>
    <hyperlink ref="E114" r:id="rId77" xr:uid="{D13D1B8D-61AC-475B-B050-B94B853C8EB5}"/>
    <hyperlink ref="E98" r:id="rId78" xr:uid="{64259E0B-190C-439B-880B-A9D33E6F3BB8}"/>
    <hyperlink ref="E92" r:id="rId79" xr:uid="{86D6B1A4-96DC-445E-B6E2-47205EB8A4EC}"/>
    <hyperlink ref="E85" r:id="rId80" xr:uid="{4D983DDB-3083-4CD4-9084-6009C8C81CA3}"/>
    <hyperlink ref="E78" r:id="rId81" xr:uid="{7E0CC1F0-8D34-42E3-BD8F-67C023B8C302}"/>
    <hyperlink ref="E71" r:id="rId82" xr:uid="{E9B9178F-D911-4239-B728-B03ADAE0E7E4}"/>
    <hyperlink ref="E65" r:id="rId83" xr:uid="{52EE25FE-5E43-4D8D-8CFF-F52AC5B7B402}"/>
    <hyperlink ref="E59" r:id="rId84" xr:uid="{A45EDD10-FA70-4059-A0B6-20B82344CC86}"/>
    <hyperlink ref="E64" r:id="rId85" xr:uid="{A53EDCB2-37A2-470B-9C50-4A4F4B1E390F}"/>
    <hyperlink ref="E58" r:id="rId86" xr:uid="{6C27A371-AD76-4ECD-AA22-50F36BE22ED2}"/>
    <hyperlink ref="E52" r:id="rId87" xr:uid="{82AC9E8D-C183-45F2-B2FD-16298EB9A530}"/>
    <hyperlink ref="E46" r:id="rId88" xr:uid="{461FF754-0963-43D6-B6D8-990FADDF98C4}"/>
    <hyperlink ref="E40" r:id="rId89" xr:uid="{063E4927-CC92-4E06-841C-9A30A61C47A8}"/>
    <hyperlink ref="E26" r:id="rId90" xr:uid="{7E639A15-92E2-4F7A-9763-2AFA022D76C1}"/>
    <hyperlink ref="E18" r:id="rId91" xr:uid="{16D5F16C-A0C3-4648-8B7E-94E67FF4D1C8}"/>
    <hyperlink ref="E17" r:id="rId92" xr:uid="{67396157-D11D-48E0-9864-49888D0BF47B}"/>
    <hyperlink ref="E10" r:id="rId93" xr:uid="{E9185A57-203E-471F-BC0B-E2065841065B}"/>
    <hyperlink ref="E11" r:id="rId94" xr:uid="{10E82642-05D1-4848-9D8A-1C3B6F370F24}"/>
    <hyperlink ref="E4" r:id="rId95" xr:uid="{7F5A1C53-AAD1-4CD9-9B9E-CB66D60BD831}"/>
    <hyperlink ref="E3" r:id="rId96" xr:uid="{FD6F0D2B-0D38-426C-A3D9-A107D1432D74}"/>
    <hyperlink ref="I38" r:id="rId97" xr:uid="{208B1C88-C63B-43D5-9400-1E4F37CD5F07}"/>
    <hyperlink ref="F32" r:id="rId98" xr:uid="{08B52E47-2262-4CCA-AE84-CF18332C74D0}"/>
    <hyperlink ref="G32" r:id="rId99" xr:uid="{387864EC-5E6C-44D0-8C20-3B626E894E6D}"/>
    <hyperlink ref="E32" r:id="rId100" xr:uid="{353935DA-33BB-4831-B971-257DD372DE85}"/>
    <hyperlink ref="J39" r:id="rId101" xr:uid="{F44AA5F6-EE56-46B4-9A9F-84241F8E047A}"/>
    <hyperlink ref="A32" r:id="rId102" xr:uid="{F871EB07-23DE-4807-8013-310FBD6348D8}"/>
    <hyperlink ref="A105" r:id="rId103" xr:uid="{DA563099-E7FA-466F-89CA-D710D73F3E78}"/>
    <hyperlink ref="E105" r:id="rId104" xr:uid="{A2537159-2D1E-46EA-8083-D9A07491C65C}"/>
    <hyperlink ref="F105" r:id="rId105" xr:uid="{7B9A9DFA-130E-40C3-9C8B-E591709E110A}"/>
    <hyperlink ref="G105" r:id="rId106" xr:uid="{5BB35A3E-B422-441B-885F-4A84BBDB4D39}"/>
    <hyperlink ref="I111" r:id="rId107" xr:uid="{91178CFC-9FD2-4972-9C85-E3CBBC989690}"/>
    <hyperlink ref="J112" r:id="rId108" xr:uid="{796E4A25-2929-421E-BC5D-54B7B5F9C2E8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E3BD4-7448-4442-8393-106BF52C0F7C}">
  <sheetPr>
    <tabColor theme="5" tint="0.59999389629810485"/>
  </sheetPr>
  <dimension ref="A1:J10"/>
  <sheetViews>
    <sheetView workbookViewId="0">
      <selection activeCell="A3" sqref="A3"/>
    </sheetView>
  </sheetViews>
  <sheetFormatPr defaultRowHeight="14.5" x14ac:dyDescent="0.35"/>
  <cols>
    <col min="1" max="1" width="16.6328125" customWidth="1"/>
    <col min="2" max="2" width="12.54296875" customWidth="1"/>
    <col min="3" max="3" width="20.26953125" customWidth="1"/>
    <col min="4" max="4" width="19.54296875" customWidth="1"/>
    <col min="5" max="5" width="11" customWidth="1"/>
    <col min="6" max="6" width="21.81640625" customWidth="1"/>
    <col min="7" max="7" width="24.36328125" customWidth="1"/>
    <col min="8" max="8" width="21.26953125" customWidth="1"/>
    <col min="9" max="9" width="20.81640625" customWidth="1"/>
    <col min="10" max="10" width="22.36328125" customWidth="1"/>
  </cols>
  <sheetData>
    <row r="1" spans="1:10" x14ac:dyDescent="0.35">
      <c r="A1" s="34" t="s">
        <v>3196</v>
      </c>
      <c r="B1" s="16">
        <f>COUNTIF(I2:I1067,C1)+COUNTIF(I2:I1067,D1)</f>
        <v>1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2888</v>
      </c>
      <c r="B3" t="s">
        <v>3</v>
      </c>
      <c r="C3" t="s">
        <v>43</v>
      </c>
      <c r="D3" t="s">
        <v>429</v>
      </c>
      <c r="E3" s="34" t="s">
        <v>65</v>
      </c>
      <c r="F3" s="33" t="s">
        <v>2878</v>
      </c>
      <c r="G3" s="33" t="s">
        <v>2879</v>
      </c>
      <c r="H3" t="s">
        <v>413</v>
      </c>
      <c r="I3" s="1" t="s">
        <v>2881</v>
      </c>
      <c r="J3" s="3" t="s">
        <v>2882</v>
      </c>
    </row>
    <row r="4" spans="1:10" x14ac:dyDescent="0.35">
      <c r="E4" s="17"/>
      <c r="G4" s="33" t="s">
        <v>2880</v>
      </c>
      <c r="I4" t="s">
        <v>382</v>
      </c>
      <c r="J4" t="s">
        <v>2883</v>
      </c>
    </row>
    <row r="5" spans="1:10" x14ac:dyDescent="0.35">
      <c r="I5" t="s">
        <v>383</v>
      </c>
      <c r="J5" t="s">
        <v>2878</v>
      </c>
    </row>
    <row r="6" spans="1:10" x14ac:dyDescent="0.35">
      <c r="I6" t="s">
        <v>345</v>
      </c>
      <c r="J6" t="s">
        <v>2884</v>
      </c>
    </row>
    <row r="7" spans="1:10" x14ac:dyDescent="0.35">
      <c r="I7" t="s">
        <v>346</v>
      </c>
      <c r="J7" t="s">
        <v>2885</v>
      </c>
    </row>
    <row r="8" spans="1:10" x14ac:dyDescent="0.35">
      <c r="I8" t="s">
        <v>1555</v>
      </c>
      <c r="J8" t="s">
        <v>2886</v>
      </c>
    </row>
    <row r="9" spans="1:10" x14ac:dyDescent="0.35">
      <c r="I9" t="s">
        <v>104</v>
      </c>
      <c r="J9" s="36" t="s">
        <v>2887</v>
      </c>
    </row>
    <row r="10" spans="1:10" x14ac:dyDescent="0.35">
      <c r="I10" s="38" t="s">
        <v>18</v>
      </c>
      <c r="J10" s="25"/>
    </row>
  </sheetData>
  <hyperlinks>
    <hyperlink ref="A1" location="Summary!A1" tooltip="Return to Totals" display="Back to Totals" xr:uid="{0EB13955-60B4-48BF-BF78-C5019D585886}"/>
    <hyperlink ref="A3" r:id="rId1" display="Margaret Atherton" xr:uid="{406F4529-4980-49D9-B34B-07A049D28D53}"/>
    <hyperlink ref="J9" r:id="rId2" xr:uid="{1A25D420-8FF1-4F26-8FD7-AD8EBDBE82FD}"/>
    <hyperlink ref="F3" r:id="rId3" xr:uid="{9A909A44-0D4A-4A68-8BA2-A1A3C3ED242A}"/>
    <hyperlink ref="G3" r:id="rId4" xr:uid="{965EC20C-78D4-4CFC-9333-A083075A8DCC}"/>
    <hyperlink ref="G4" r:id="rId5" xr:uid="{2DF08E03-04E5-484F-8EBB-5CB9E21BCE21}"/>
    <hyperlink ref="E3" r:id="rId6" xr:uid="{5971EE7C-BCA4-4A1A-BC24-3E9446167487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32">
    <tabColor theme="4" tint="0.39997558519241921"/>
  </sheetPr>
  <dimension ref="A1:J148"/>
  <sheetViews>
    <sheetView topLeftCell="A8" workbookViewId="0">
      <selection activeCell="E22" sqref="E22"/>
    </sheetView>
  </sheetViews>
  <sheetFormatPr defaultRowHeight="14.5" x14ac:dyDescent="0.35"/>
  <cols>
    <col min="1" max="1" width="21" customWidth="1"/>
    <col min="2" max="2" width="7.90625" customWidth="1"/>
    <col min="3" max="3" width="21.54296875" customWidth="1"/>
    <col min="4" max="4" width="22.7265625" customWidth="1"/>
    <col min="5" max="5" width="6.6328125" customWidth="1"/>
    <col min="6" max="6" width="24.1796875" customWidth="1"/>
    <col min="7" max="7" width="13.1796875" customWidth="1"/>
    <col min="8" max="8" width="14.26953125" customWidth="1"/>
    <col min="9" max="9" width="25.7265625" customWidth="1"/>
    <col min="10" max="10" width="25.81640625" customWidth="1"/>
  </cols>
  <sheetData>
    <row r="1" spans="1:10" x14ac:dyDescent="0.35">
      <c r="A1" s="34" t="s">
        <v>3196</v>
      </c>
      <c r="B1" s="16">
        <f>COUNTIF(I2:I1140,C1)+COUNTIF(I2:I1140,D1)</f>
        <v>25</v>
      </c>
      <c r="C1" s="9" t="s">
        <v>18</v>
      </c>
      <c r="D1" s="17" t="s">
        <v>1249</v>
      </c>
      <c r="J1" s="33"/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277</v>
      </c>
      <c r="B3" s="3" t="s">
        <v>276</v>
      </c>
      <c r="C3" t="s">
        <v>278</v>
      </c>
      <c r="D3" t="s">
        <v>22</v>
      </c>
      <c r="E3" s="34" t="s">
        <v>279</v>
      </c>
      <c r="F3" s="33" t="s">
        <v>111</v>
      </c>
      <c r="G3" s="33" t="s">
        <v>112</v>
      </c>
      <c r="H3" t="s">
        <v>74</v>
      </c>
      <c r="I3" s="1" t="s">
        <v>116</v>
      </c>
      <c r="J3" s="45" t="s">
        <v>2947</v>
      </c>
    </row>
    <row r="4" spans="1:10" x14ac:dyDescent="0.35">
      <c r="E4" s="54" t="s">
        <v>1376</v>
      </c>
      <c r="I4" t="s">
        <v>117</v>
      </c>
      <c r="J4" s="44" t="s">
        <v>2948</v>
      </c>
    </row>
    <row r="5" spans="1:10" x14ac:dyDescent="0.35">
      <c r="I5" t="s">
        <v>17</v>
      </c>
      <c r="J5" s="44" t="s">
        <v>2949</v>
      </c>
    </row>
    <row r="6" spans="1:10" x14ac:dyDescent="0.35">
      <c r="I6" s="38" t="s">
        <v>18</v>
      </c>
      <c r="J6" s="36" t="s">
        <v>2950</v>
      </c>
    </row>
    <row r="7" spans="1:10" x14ac:dyDescent="0.35">
      <c r="A7" s="33" t="s">
        <v>569</v>
      </c>
      <c r="B7" s="1" t="s">
        <v>315</v>
      </c>
      <c r="C7" t="s">
        <v>316</v>
      </c>
      <c r="D7" t="s">
        <v>159</v>
      </c>
      <c r="E7" s="34" t="s">
        <v>570</v>
      </c>
      <c r="F7" s="33" t="s">
        <v>571</v>
      </c>
      <c r="G7" s="33" t="s">
        <v>572</v>
      </c>
      <c r="H7" t="s">
        <v>130</v>
      </c>
      <c r="I7" s="1" t="s">
        <v>454</v>
      </c>
      <c r="J7" s="45" t="s">
        <v>571</v>
      </c>
    </row>
    <row r="8" spans="1:10" x14ac:dyDescent="0.35">
      <c r="E8" s="54" t="s">
        <v>666</v>
      </c>
      <c r="I8" t="s">
        <v>111</v>
      </c>
      <c r="J8" s="47" t="s">
        <v>2954</v>
      </c>
    </row>
    <row r="9" spans="1:10" x14ac:dyDescent="0.35">
      <c r="I9" t="s">
        <v>116</v>
      </c>
      <c r="J9" s="47" t="s">
        <v>2953</v>
      </c>
    </row>
    <row r="10" spans="1:10" x14ac:dyDescent="0.35">
      <c r="I10" t="s">
        <v>117</v>
      </c>
      <c r="J10" s="47" t="s">
        <v>2952</v>
      </c>
    </row>
    <row r="11" spans="1:10" x14ac:dyDescent="0.35">
      <c r="I11" t="s">
        <v>17</v>
      </c>
      <c r="J11" s="36" t="s">
        <v>2951</v>
      </c>
    </row>
    <row r="12" spans="1:10" x14ac:dyDescent="0.35">
      <c r="I12" s="38" t="s">
        <v>18</v>
      </c>
      <c r="J12" s="46"/>
    </row>
    <row r="13" spans="1:10" x14ac:dyDescent="0.35">
      <c r="A13" s="33" t="s">
        <v>115</v>
      </c>
      <c r="B13" t="s">
        <v>3</v>
      </c>
      <c r="C13" t="s">
        <v>25</v>
      </c>
      <c r="D13" t="s">
        <v>22</v>
      </c>
      <c r="E13" s="34" t="s">
        <v>113</v>
      </c>
      <c r="F13" s="33" t="s">
        <v>111</v>
      </c>
      <c r="G13" s="33" t="s">
        <v>112</v>
      </c>
      <c r="H13" t="s">
        <v>74</v>
      </c>
      <c r="I13" s="1" t="s">
        <v>116</v>
      </c>
      <c r="J13" s="45" t="s">
        <v>2963</v>
      </c>
    </row>
    <row r="14" spans="1:10" x14ac:dyDescent="0.35">
      <c r="E14" s="54" t="s">
        <v>608</v>
      </c>
      <c r="I14" t="s">
        <v>117</v>
      </c>
      <c r="J14" s="44" t="s">
        <v>2962</v>
      </c>
    </row>
    <row r="15" spans="1:10" x14ac:dyDescent="0.35">
      <c r="I15" t="s">
        <v>17</v>
      </c>
      <c r="J15" s="44" t="s">
        <v>2961</v>
      </c>
    </row>
    <row r="16" spans="1:10" x14ac:dyDescent="0.35">
      <c r="I16" s="38" t="s">
        <v>18</v>
      </c>
      <c r="J16" s="36" t="s">
        <v>2960</v>
      </c>
    </row>
    <row r="17" spans="1:10" x14ac:dyDescent="0.35">
      <c r="A17" s="33" t="s">
        <v>4387</v>
      </c>
      <c r="B17" t="s">
        <v>3</v>
      </c>
      <c r="C17" t="s">
        <v>25</v>
      </c>
      <c r="D17" t="s">
        <v>22</v>
      </c>
      <c r="E17" s="34" t="s">
        <v>2750</v>
      </c>
      <c r="F17" s="33" t="s">
        <v>111</v>
      </c>
      <c r="G17" s="33" t="s">
        <v>112</v>
      </c>
      <c r="H17" t="s">
        <v>74</v>
      </c>
      <c r="I17" s="1" t="s">
        <v>116</v>
      </c>
      <c r="J17" s="45" t="s">
        <v>2963</v>
      </c>
    </row>
    <row r="18" spans="1:10" x14ac:dyDescent="0.35">
      <c r="E18" s="54" t="s">
        <v>585</v>
      </c>
      <c r="I18" t="s">
        <v>117</v>
      </c>
      <c r="J18" s="44" t="s">
        <v>4384</v>
      </c>
    </row>
    <row r="19" spans="1:10" x14ac:dyDescent="0.35">
      <c r="I19" t="s">
        <v>17</v>
      </c>
      <c r="J19" s="44" t="s">
        <v>4385</v>
      </c>
    </row>
    <row r="20" spans="1:10" x14ac:dyDescent="0.35">
      <c r="I20" s="38" t="s">
        <v>18</v>
      </c>
      <c r="J20" s="36" t="s">
        <v>4386</v>
      </c>
    </row>
    <row r="21" spans="1:10" x14ac:dyDescent="0.35">
      <c r="A21" s="33" t="s">
        <v>4388</v>
      </c>
      <c r="B21" t="s">
        <v>3</v>
      </c>
      <c r="C21" t="s">
        <v>25</v>
      </c>
      <c r="D21" t="s">
        <v>30</v>
      </c>
      <c r="E21" s="34" t="s">
        <v>2750</v>
      </c>
      <c r="F21" s="33" t="s">
        <v>111</v>
      </c>
      <c r="G21" s="33" t="s">
        <v>112</v>
      </c>
      <c r="H21" t="s">
        <v>74</v>
      </c>
      <c r="I21" s="1" t="s">
        <v>116</v>
      </c>
      <c r="J21" s="45" t="s">
        <v>2963</v>
      </c>
    </row>
    <row r="22" spans="1:10" x14ac:dyDescent="0.35">
      <c r="E22" s="54" t="s">
        <v>145</v>
      </c>
      <c r="I22" t="s">
        <v>117</v>
      </c>
      <c r="J22" s="44" t="s">
        <v>4384</v>
      </c>
    </row>
    <row r="23" spans="1:10" x14ac:dyDescent="0.35">
      <c r="I23" t="s">
        <v>17</v>
      </c>
      <c r="J23" s="44" t="s">
        <v>4385</v>
      </c>
    </row>
    <row r="24" spans="1:10" x14ac:dyDescent="0.35">
      <c r="I24" s="38" t="s">
        <v>18</v>
      </c>
      <c r="J24" t="s">
        <v>4386</v>
      </c>
    </row>
    <row r="25" spans="1:10" x14ac:dyDescent="0.35">
      <c r="I25" s="37"/>
      <c r="J25" s="36" t="s">
        <v>4388</v>
      </c>
    </row>
    <row r="26" spans="1:10" x14ac:dyDescent="0.35">
      <c r="A26" t="s">
        <v>583</v>
      </c>
      <c r="B26" t="s">
        <v>3</v>
      </c>
      <c r="C26" t="s">
        <v>25</v>
      </c>
      <c r="D26" t="s">
        <v>184</v>
      </c>
      <c r="E26" s="34" t="s">
        <v>556</v>
      </c>
      <c r="F26" s="33" t="s">
        <v>571</v>
      </c>
      <c r="G26" s="33" t="s">
        <v>572</v>
      </c>
      <c r="H26" t="s">
        <v>130</v>
      </c>
      <c r="I26" s="1" t="s">
        <v>454</v>
      </c>
      <c r="J26" s="45" t="s">
        <v>571</v>
      </c>
    </row>
    <row r="27" spans="1:10" x14ac:dyDescent="0.35">
      <c r="E27" s="54" t="s">
        <v>156</v>
      </c>
      <c r="I27" t="s">
        <v>111</v>
      </c>
      <c r="J27" s="47" t="s">
        <v>2954</v>
      </c>
    </row>
    <row r="28" spans="1:10" x14ac:dyDescent="0.35">
      <c r="I28" t="s">
        <v>116</v>
      </c>
      <c r="J28" s="47" t="s">
        <v>2953</v>
      </c>
    </row>
    <row r="29" spans="1:10" x14ac:dyDescent="0.35">
      <c r="I29" t="s">
        <v>117</v>
      </c>
      <c r="J29" s="47" t="s">
        <v>2952</v>
      </c>
    </row>
    <row r="30" spans="1:10" x14ac:dyDescent="0.35">
      <c r="I30" t="s">
        <v>17</v>
      </c>
      <c r="J30" t="s">
        <v>2951</v>
      </c>
    </row>
    <row r="31" spans="1:10" ht="15.75" customHeight="1" x14ac:dyDescent="0.35">
      <c r="I31" s="38" t="s">
        <v>18</v>
      </c>
      <c r="J31" s="36" t="s">
        <v>583</v>
      </c>
    </row>
    <row r="32" spans="1:10" x14ac:dyDescent="0.35">
      <c r="A32" s="33" t="s">
        <v>567</v>
      </c>
      <c r="B32" s="1" t="s">
        <v>315</v>
      </c>
      <c r="C32" t="s">
        <v>316</v>
      </c>
      <c r="D32" t="s">
        <v>41</v>
      </c>
      <c r="E32" s="54" t="s">
        <v>1377</v>
      </c>
      <c r="F32" s="33" t="s">
        <v>454</v>
      </c>
      <c r="G32" s="33" t="s">
        <v>568</v>
      </c>
      <c r="H32" t="s">
        <v>73</v>
      </c>
      <c r="I32" s="1" t="s">
        <v>111</v>
      </c>
      <c r="J32" s="45" t="s">
        <v>2959</v>
      </c>
    </row>
    <row r="33" spans="1:10" x14ac:dyDescent="0.35">
      <c r="E33" s="34" t="s">
        <v>26</v>
      </c>
      <c r="I33" t="s">
        <v>116</v>
      </c>
      <c r="J33" s="47" t="s">
        <v>2958</v>
      </c>
    </row>
    <row r="34" spans="1:10" x14ac:dyDescent="0.35">
      <c r="I34" t="s">
        <v>117</v>
      </c>
      <c r="J34" s="47" t="s">
        <v>2957</v>
      </c>
    </row>
    <row r="35" spans="1:10" x14ac:dyDescent="0.35">
      <c r="I35" t="s">
        <v>17</v>
      </c>
      <c r="J35" s="47" t="s">
        <v>2956</v>
      </c>
    </row>
    <row r="36" spans="1:10" x14ac:dyDescent="0.35">
      <c r="I36" s="38" t="s">
        <v>18</v>
      </c>
      <c r="J36" s="36" t="s">
        <v>2955</v>
      </c>
    </row>
    <row r="37" spans="1:10" x14ac:dyDescent="0.35">
      <c r="A37" t="s">
        <v>1471</v>
      </c>
      <c r="B37" t="s">
        <v>3</v>
      </c>
      <c r="C37" t="s">
        <v>43</v>
      </c>
      <c r="D37" t="s">
        <v>159</v>
      </c>
      <c r="E37" s="54" t="s">
        <v>1430</v>
      </c>
      <c r="F37" s="33" t="s">
        <v>454</v>
      </c>
      <c r="G37" s="33" t="s">
        <v>568</v>
      </c>
      <c r="H37" t="s">
        <v>73</v>
      </c>
      <c r="I37" s="1" t="s">
        <v>111</v>
      </c>
      <c r="J37" s="45" t="s">
        <v>2967</v>
      </c>
    </row>
    <row r="38" spans="1:10" x14ac:dyDescent="0.35">
      <c r="E38" s="15"/>
      <c r="I38" t="s">
        <v>116</v>
      </c>
      <c r="J38" s="47" t="s">
        <v>2968</v>
      </c>
    </row>
    <row r="39" spans="1:10" x14ac:dyDescent="0.35">
      <c r="I39" t="s">
        <v>117</v>
      </c>
      <c r="J39" s="47" t="s">
        <v>2966</v>
      </c>
    </row>
    <row r="40" spans="1:10" x14ac:dyDescent="0.35">
      <c r="I40" t="s">
        <v>17</v>
      </c>
      <c r="J40" s="47" t="s">
        <v>2965</v>
      </c>
    </row>
    <row r="41" spans="1:10" x14ac:dyDescent="0.35">
      <c r="I41" s="38" t="s">
        <v>1249</v>
      </c>
      <c r="J41" s="36" t="s">
        <v>2964</v>
      </c>
    </row>
    <row r="42" spans="1:10" x14ac:dyDescent="0.35">
      <c r="A42" s="33" t="s">
        <v>2751</v>
      </c>
      <c r="B42" t="s">
        <v>3</v>
      </c>
      <c r="C42" t="s">
        <v>43</v>
      </c>
      <c r="D42" t="s">
        <v>30</v>
      </c>
      <c r="E42" s="54" t="s">
        <v>1430</v>
      </c>
      <c r="F42" s="33" t="s">
        <v>111</v>
      </c>
      <c r="G42" s="33" t="s">
        <v>112</v>
      </c>
      <c r="H42" t="s">
        <v>74</v>
      </c>
      <c r="I42" s="1" t="s">
        <v>111</v>
      </c>
      <c r="J42" s="45" t="s">
        <v>2963</v>
      </c>
    </row>
    <row r="43" spans="1:10" x14ac:dyDescent="0.35">
      <c r="E43" s="15"/>
      <c r="I43" t="s">
        <v>116</v>
      </c>
      <c r="J43" s="47" t="s">
        <v>2980</v>
      </c>
    </row>
    <row r="44" spans="1:10" x14ac:dyDescent="0.35">
      <c r="I44" t="s">
        <v>117</v>
      </c>
      <c r="J44" s="47" t="s">
        <v>2979</v>
      </c>
    </row>
    <row r="45" spans="1:10" x14ac:dyDescent="0.35">
      <c r="I45" t="s">
        <v>17</v>
      </c>
      <c r="J45" s="47" t="s">
        <v>2978</v>
      </c>
    </row>
    <row r="46" spans="1:10" x14ac:dyDescent="0.35">
      <c r="I46" s="38" t="s">
        <v>1249</v>
      </c>
      <c r="J46" s="36" t="s">
        <v>2977</v>
      </c>
    </row>
    <row r="47" spans="1:10" x14ac:dyDescent="0.35">
      <c r="A47" s="33" t="s">
        <v>4332</v>
      </c>
      <c r="B47" t="s">
        <v>3</v>
      </c>
      <c r="C47" t="s">
        <v>25</v>
      </c>
      <c r="D47" t="s">
        <v>282</v>
      </c>
      <c r="E47" s="34" t="s">
        <v>145</v>
      </c>
      <c r="F47" s="33" t="s">
        <v>454</v>
      </c>
      <c r="G47" s="33" t="s">
        <v>568</v>
      </c>
      <c r="H47" t="s">
        <v>73</v>
      </c>
      <c r="I47" s="1" t="s">
        <v>111</v>
      </c>
      <c r="J47" s="45" t="s">
        <v>157</v>
      </c>
    </row>
    <row r="48" spans="1:10" x14ac:dyDescent="0.35">
      <c r="E48" s="54"/>
      <c r="I48" t="s">
        <v>116</v>
      </c>
      <c r="J48" s="44" t="s">
        <v>2967</v>
      </c>
    </row>
    <row r="49" spans="1:10" x14ac:dyDescent="0.35">
      <c r="I49" t="s">
        <v>117</v>
      </c>
      <c r="J49" s="44" t="s">
        <v>1467</v>
      </c>
    </row>
    <row r="50" spans="1:10" x14ac:dyDescent="0.35">
      <c r="I50" t="s">
        <v>17</v>
      </c>
      <c r="J50" s="44" t="s">
        <v>4330</v>
      </c>
    </row>
    <row r="51" spans="1:10" x14ac:dyDescent="0.35">
      <c r="I51" s="38" t="s">
        <v>1249</v>
      </c>
      <c r="J51" t="s">
        <v>1469</v>
      </c>
    </row>
    <row r="52" spans="1:10" x14ac:dyDescent="0.35">
      <c r="J52" t="s">
        <v>2992</v>
      </c>
    </row>
    <row r="53" spans="1:10" x14ac:dyDescent="0.35">
      <c r="J53" s="36" t="s">
        <v>4331</v>
      </c>
    </row>
    <row r="54" spans="1:10" x14ac:dyDescent="0.35">
      <c r="A54" s="33" t="s">
        <v>155</v>
      </c>
      <c r="B54" t="s">
        <v>3</v>
      </c>
      <c r="C54" t="s">
        <v>25</v>
      </c>
      <c r="D54" t="s">
        <v>159</v>
      </c>
      <c r="E54" s="34" t="s">
        <v>156</v>
      </c>
      <c r="F54" s="33" t="s">
        <v>454</v>
      </c>
      <c r="G54" s="33" t="s">
        <v>568</v>
      </c>
      <c r="H54" t="s">
        <v>73</v>
      </c>
      <c r="I54" s="1" t="s">
        <v>116</v>
      </c>
      <c r="J54" s="45" t="s">
        <v>2967</v>
      </c>
    </row>
    <row r="55" spans="1:10" x14ac:dyDescent="0.35">
      <c r="E55" s="54" t="s">
        <v>169</v>
      </c>
      <c r="I55" t="s">
        <v>117</v>
      </c>
      <c r="J55" s="44" t="s">
        <v>2976</v>
      </c>
    </row>
    <row r="56" spans="1:10" x14ac:dyDescent="0.35">
      <c r="I56" t="s">
        <v>17</v>
      </c>
      <c r="J56" s="44" t="s">
        <v>2975</v>
      </c>
    </row>
    <row r="57" spans="1:10" x14ac:dyDescent="0.35">
      <c r="I57" s="38" t="s">
        <v>18</v>
      </c>
      <c r="J57" s="44" t="s">
        <v>2974</v>
      </c>
    </row>
    <row r="58" spans="1:10" x14ac:dyDescent="0.35">
      <c r="J58" s="36" t="s">
        <v>2973</v>
      </c>
    </row>
    <row r="59" spans="1:10" x14ac:dyDescent="0.35">
      <c r="A59" s="33" t="s">
        <v>2455</v>
      </c>
      <c r="B59" s="1" t="s">
        <v>315</v>
      </c>
      <c r="C59" t="s">
        <v>25</v>
      </c>
      <c r="D59" t="s">
        <v>159</v>
      </c>
      <c r="E59" s="54" t="s">
        <v>156</v>
      </c>
      <c r="F59" s="33" t="s">
        <v>571</v>
      </c>
      <c r="G59" s="33" t="s">
        <v>572</v>
      </c>
      <c r="H59" t="s">
        <v>130</v>
      </c>
      <c r="I59" s="1" t="s">
        <v>454</v>
      </c>
      <c r="J59" s="45" t="s">
        <v>2972</v>
      </c>
    </row>
    <row r="60" spans="1:10" x14ac:dyDescent="0.35">
      <c r="E60" s="34" t="s">
        <v>909</v>
      </c>
      <c r="I60" t="s">
        <v>111</v>
      </c>
      <c r="J60" s="47" t="s">
        <v>2971</v>
      </c>
    </row>
    <row r="61" spans="1:10" x14ac:dyDescent="0.35">
      <c r="I61" t="s">
        <v>116</v>
      </c>
      <c r="J61" s="47" t="s">
        <v>2970</v>
      </c>
    </row>
    <row r="62" spans="1:10" x14ac:dyDescent="0.35">
      <c r="I62" t="s">
        <v>117</v>
      </c>
      <c r="J62" s="47" t="s">
        <v>2969</v>
      </c>
    </row>
    <row r="63" spans="1:10" x14ac:dyDescent="0.35">
      <c r="I63" t="s">
        <v>17</v>
      </c>
      <c r="J63" s="36" t="s">
        <v>2455</v>
      </c>
    </row>
    <row r="64" spans="1:10" ht="15.75" customHeight="1" x14ac:dyDescent="0.35">
      <c r="I64" s="38" t="s">
        <v>18</v>
      </c>
    </row>
    <row r="65" spans="1:10" x14ac:dyDescent="0.35">
      <c r="A65" s="33" t="s">
        <v>3571</v>
      </c>
      <c r="B65" t="s">
        <v>3</v>
      </c>
      <c r="C65" t="s">
        <v>43</v>
      </c>
      <c r="D65" t="s">
        <v>30</v>
      </c>
      <c r="E65" s="54" t="s">
        <v>327</v>
      </c>
      <c r="F65" s="33" t="s">
        <v>111</v>
      </c>
      <c r="G65" s="33" t="s">
        <v>112</v>
      </c>
      <c r="H65" t="s">
        <v>74</v>
      </c>
      <c r="I65" s="1" t="s">
        <v>111</v>
      </c>
      <c r="J65" s="45" t="s">
        <v>2963</v>
      </c>
    </row>
    <row r="66" spans="1:10" x14ac:dyDescent="0.35">
      <c r="E66" s="34" t="s">
        <v>909</v>
      </c>
      <c r="I66" t="s">
        <v>116</v>
      </c>
      <c r="J66" s="47" t="s">
        <v>2980</v>
      </c>
    </row>
    <row r="67" spans="1:10" x14ac:dyDescent="0.35">
      <c r="I67" t="s">
        <v>117</v>
      </c>
      <c r="J67" s="47" t="s">
        <v>2979</v>
      </c>
    </row>
    <row r="68" spans="1:10" x14ac:dyDescent="0.35">
      <c r="I68" t="s">
        <v>17</v>
      </c>
      <c r="J68" s="47" t="s">
        <v>3572</v>
      </c>
    </row>
    <row r="69" spans="1:10" x14ac:dyDescent="0.35">
      <c r="I69" s="38" t="s">
        <v>1249</v>
      </c>
      <c r="J69" t="s">
        <v>3573</v>
      </c>
    </row>
    <row r="70" spans="1:10" x14ac:dyDescent="0.35">
      <c r="I70" s="37"/>
      <c r="J70" s="36" t="s">
        <v>3571</v>
      </c>
    </row>
    <row r="71" spans="1:10" x14ac:dyDescent="0.35">
      <c r="A71" s="33" t="s">
        <v>3768</v>
      </c>
      <c r="B71" t="s">
        <v>3</v>
      </c>
      <c r="C71" t="s">
        <v>43</v>
      </c>
      <c r="D71" t="s">
        <v>30</v>
      </c>
      <c r="E71" s="54" t="s">
        <v>161</v>
      </c>
      <c r="F71" s="33" t="s">
        <v>111</v>
      </c>
      <c r="G71" s="33" t="s">
        <v>112</v>
      </c>
      <c r="H71" t="s">
        <v>74</v>
      </c>
      <c r="I71" s="1" t="s">
        <v>111</v>
      </c>
      <c r="J71" s="45" t="s">
        <v>2963</v>
      </c>
    </row>
    <row r="72" spans="1:10" x14ac:dyDescent="0.35">
      <c r="E72" s="34"/>
      <c r="I72" t="s">
        <v>116</v>
      </c>
      <c r="J72" s="47" t="s">
        <v>2980</v>
      </c>
    </row>
    <row r="73" spans="1:10" x14ac:dyDescent="0.35">
      <c r="I73" t="s">
        <v>117</v>
      </c>
      <c r="J73" s="47" t="s">
        <v>2979</v>
      </c>
    </row>
    <row r="74" spans="1:10" x14ac:dyDescent="0.35">
      <c r="I74" t="s">
        <v>17</v>
      </c>
      <c r="J74" s="47" t="s">
        <v>3572</v>
      </c>
    </row>
    <row r="75" spans="1:10" x14ac:dyDescent="0.35">
      <c r="I75" s="38" t="s">
        <v>1249</v>
      </c>
      <c r="J75" t="s">
        <v>3573</v>
      </c>
    </row>
    <row r="76" spans="1:10" x14ac:dyDescent="0.35">
      <c r="I76" s="37"/>
      <c r="J76" t="s">
        <v>3571</v>
      </c>
    </row>
    <row r="77" spans="1:10" x14ac:dyDescent="0.35">
      <c r="I77" s="37"/>
      <c r="J77" s="36" t="s">
        <v>3768</v>
      </c>
    </row>
    <row r="78" spans="1:10" x14ac:dyDescent="0.35">
      <c r="A78" s="33" t="s">
        <v>3250</v>
      </c>
      <c r="B78" t="s">
        <v>3</v>
      </c>
      <c r="C78" t="s">
        <v>43</v>
      </c>
      <c r="D78" t="s">
        <v>55</v>
      </c>
      <c r="E78" s="54" t="s">
        <v>161</v>
      </c>
      <c r="F78" s="33" t="s">
        <v>1247</v>
      </c>
      <c r="G78" s="33" t="s">
        <v>1248</v>
      </c>
      <c r="H78" t="s">
        <v>54</v>
      </c>
      <c r="I78" s="1" t="s">
        <v>571</v>
      </c>
      <c r="J78" s="3" t="s">
        <v>3244</v>
      </c>
    </row>
    <row r="79" spans="1:10" x14ac:dyDescent="0.35">
      <c r="E79" s="15"/>
      <c r="I79" t="s">
        <v>454</v>
      </c>
      <c r="J79" t="s">
        <v>571</v>
      </c>
    </row>
    <row r="80" spans="1:10" x14ac:dyDescent="0.35">
      <c r="I80" t="s">
        <v>111</v>
      </c>
      <c r="J80" t="s">
        <v>3245</v>
      </c>
    </row>
    <row r="81" spans="1:10" x14ac:dyDescent="0.35">
      <c r="I81" t="s">
        <v>116</v>
      </c>
      <c r="J81" t="s">
        <v>3246</v>
      </c>
    </row>
    <row r="82" spans="1:10" x14ac:dyDescent="0.35">
      <c r="I82" t="s">
        <v>117</v>
      </c>
      <c r="J82" t="s">
        <v>3247</v>
      </c>
    </row>
    <row r="83" spans="1:10" x14ac:dyDescent="0.35">
      <c r="I83" t="s">
        <v>17</v>
      </c>
      <c r="J83" t="s">
        <v>3248</v>
      </c>
    </row>
    <row r="84" spans="1:10" x14ac:dyDescent="0.35">
      <c r="I84" s="38" t="s">
        <v>1249</v>
      </c>
      <c r="J84" s="36" t="s">
        <v>3249</v>
      </c>
    </row>
    <row r="85" spans="1:10" x14ac:dyDescent="0.35">
      <c r="A85" s="33" t="s">
        <v>2775</v>
      </c>
      <c r="B85" t="s">
        <v>3</v>
      </c>
      <c r="C85" t="s">
        <v>43</v>
      </c>
      <c r="D85" t="s">
        <v>55</v>
      </c>
      <c r="E85" s="54" t="s">
        <v>340</v>
      </c>
      <c r="F85" s="33" t="s">
        <v>1247</v>
      </c>
      <c r="G85" s="33" t="s">
        <v>1248</v>
      </c>
      <c r="H85" t="s">
        <v>54</v>
      </c>
      <c r="I85" s="1" t="s">
        <v>571</v>
      </c>
      <c r="J85" s="3" t="s">
        <v>1250</v>
      </c>
    </row>
    <row r="86" spans="1:10" x14ac:dyDescent="0.35">
      <c r="E86" s="15"/>
      <c r="I86" t="s">
        <v>454</v>
      </c>
      <c r="J86" t="s">
        <v>2776</v>
      </c>
    </row>
    <row r="87" spans="1:10" x14ac:dyDescent="0.35">
      <c r="I87" t="s">
        <v>111</v>
      </c>
      <c r="J87" t="s">
        <v>2777</v>
      </c>
    </row>
    <row r="88" spans="1:10" x14ac:dyDescent="0.35">
      <c r="I88" t="s">
        <v>116</v>
      </c>
      <c r="J88" t="s">
        <v>2778</v>
      </c>
    </row>
    <row r="89" spans="1:10" x14ac:dyDescent="0.35">
      <c r="I89" t="s">
        <v>117</v>
      </c>
      <c r="J89" t="s">
        <v>2779</v>
      </c>
    </row>
    <row r="90" spans="1:10" x14ac:dyDescent="0.35">
      <c r="I90" t="s">
        <v>17</v>
      </c>
      <c r="J90" t="s">
        <v>2780</v>
      </c>
    </row>
    <row r="91" spans="1:10" x14ac:dyDescent="0.35">
      <c r="I91" s="38" t="s">
        <v>1249</v>
      </c>
      <c r="J91" s="36" t="s">
        <v>2775</v>
      </c>
    </row>
    <row r="92" spans="1:10" x14ac:dyDescent="0.35">
      <c r="A92" s="33" t="s">
        <v>3770</v>
      </c>
      <c r="B92" t="s">
        <v>3</v>
      </c>
      <c r="C92" t="s">
        <v>43</v>
      </c>
      <c r="D92" t="s">
        <v>55</v>
      </c>
      <c r="E92" s="54" t="s">
        <v>340</v>
      </c>
      <c r="F92" s="33" t="s">
        <v>1247</v>
      </c>
      <c r="G92" s="33" t="s">
        <v>1248</v>
      </c>
      <c r="H92" t="s">
        <v>54</v>
      </c>
      <c r="I92" s="1" t="s">
        <v>571</v>
      </c>
      <c r="J92" s="3" t="s">
        <v>1250</v>
      </c>
    </row>
    <row r="93" spans="1:10" x14ac:dyDescent="0.35">
      <c r="E93" s="15"/>
      <c r="I93" t="s">
        <v>454</v>
      </c>
      <c r="J93" t="s">
        <v>2776</v>
      </c>
    </row>
    <row r="94" spans="1:10" x14ac:dyDescent="0.35">
      <c r="I94" t="s">
        <v>111</v>
      </c>
      <c r="J94" t="s">
        <v>2777</v>
      </c>
    </row>
    <row r="95" spans="1:10" x14ac:dyDescent="0.35">
      <c r="I95" t="s">
        <v>116</v>
      </c>
      <c r="J95" t="s">
        <v>2778</v>
      </c>
    </row>
    <row r="96" spans="1:10" x14ac:dyDescent="0.35">
      <c r="I96" t="s">
        <v>117</v>
      </c>
      <c r="J96" t="s">
        <v>2779</v>
      </c>
    </row>
    <row r="97" spans="1:10" x14ac:dyDescent="0.35">
      <c r="I97" t="s">
        <v>17</v>
      </c>
      <c r="J97" t="s">
        <v>2780</v>
      </c>
    </row>
    <row r="98" spans="1:10" x14ac:dyDescent="0.35">
      <c r="I98" s="38" t="s">
        <v>1249</v>
      </c>
      <c r="J98" t="s">
        <v>2775</v>
      </c>
    </row>
    <row r="99" spans="1:10" x14ac:dyDescent="0.35">
      <c r="I99" s="37"/>
      <c r="J99" s="36" t="s">
        <v>3770</v>
      </c>
    </row>
    <row r="100" spans="1:10" x14ac:dyDescent="0.35">
      <c r="A100" s="33" t="s">
        <v>1466</v>
      </c>
      <c r="B100" t="s">
        <v>3</v>
      </c>
      <c r="C100" t="s">
        <v>43</v>
      </c>
      <c r="D100" t="s">
        <v>159</v>
      </c>
      <c r="E100" s="34" t="s">
        <v>909</v>
      </c>
      <c r="F100" s="33" t="s">
        <v>454</v>
      </c>
      <c r="G100" s="33" t="s">
        <v>568</v>
      </c>
      <c r="H100" t="s">
        <v>73</v>
      </c>
      <c r="I100" s="1" t="s">
        <v>111</v>
      </c>
      <c r="J100" s="3" t="s">
        <v>157</v>
      </c>
    </row>
    <row r="101" spans="1:10" x14ac:dyDescent="0.35">
      <c r="E101" s="54" t="s">
        <v>909</v>
      </c>
      <c r="I101" t="s">
        <v>116</v>
      </c>
      <c r="J101" t="s">
        <v>158</v>
      </c>
    </row>
    <row r="102" spans="1:10" x14ac:dyDescent="0.35">
      <c r="I102" t="s">
        <v>117</v>
      </c>
      <c r="J102" t="s">
        <v>1467</v>
      </c>
    </row>
    <row r="103" spans="1:10" x14ac:dyDescent="0.35">
      <c r="I103" t="s">
        <v>17</v>
      </c>
      <c r="J103" t="s">
        <v>1468</v>
      </c>
    </row>
    <row r="104" spans="1:10" x14ac:dyDescent="0.35">
      <c r="I104" s="38" t="s">
        <v>1249</v>
      </c>
      <c r="J104" t="s">
        <v>1469</v>
      </c>
    </row>
    <row r="105" spans="1:10" x14ac:dyDescent="0.35">
      <c r="J105" s="36" t="s">
        <v>1470</v>
      </c>
    </row>
    <row r="106" spans="1:10" x14ac:dyDescent="0.35">
      <c r="A106" s="33" t="s">
        <v>2993</v>
      </c>
      <c r="B106" t="s">
        <v>3</v>
      </c>
      <c r="C106" t="s">
        <v>43</v>
      </c>
      <c r="D106" t="s">
        <v>159</v>
      </c>
      <c r="E106" s="34" t="s">
        <v>608</v>
      </c>
      <c r="F106" s="33" t="s">
        <v>454</v>
      </c>
      <c r="G106" s="33" t="s">
        <v>568</v>
      </c>
      <c r="H106" t="s">
        <v>73</v>
      </c>
      <c r="I106" s="1" t="s">
        <v>111</v>
      </c>
      <c r="J106" s="3" t="s">
        <v>157</v>
      </c>
    </row>
    <row r="107" spans="1:10" x14ac:dyDescent="0.35">
      <c r="E107" s="54" t="s">
        <v>608</v>
      </c>
      <c r="I107" t="s">
        <v>116</v>
      </c>
      <c r="J107" t="s">
        <v>158</v>
      </c>
    </row>
    <row r="108" spans="1:10" x14ac:dyDescent="0.35">
      <c r="I108" t="s">
        <v>117</v>
      </c>
      <c r="J108" t="s">
        <v>1467</v>
      </c>
    </row>
    <row r="109" spans="1:10" x14ac:dyDescent="0.35">
      <c r="I109" t="s">
        <v>17</v>
      </c>
      <c r="J109" t="s">
        <v>1468</v>
      </c>
    </row>
    <row r="110" spans="1:10" x14ac:dyDescent="0.35">
      <c r="I110" s="38" t="s">
        <v>1249</v>
      </c>
      <c r="J110" t="s">
        <v>1469</v>
      </c>
    </row>
    <row r="111" spans="1:10" x14ac:dyDescent="0.35">
      <c r="J111" s="36" t="s">
        <v>2992</v>
      </c>
    </row>
    <row r="112" spans="1:10" x14ac:dyDescent="0.35">
      <c r="A112" s="33" t="s">
        <v>1272</v>
      </c>
      <c r="B112" t="s">
        <v>3</v>
      </c>
      <c r="C112" t="s">
        <v>43</v>
      </c>
      <c r="D112" t="s">
        <v>159</v>
      </c>
      <c r="E112" s="54" t="s">
        <v>189</v>
      </c>
      <c r="F112" s="33" t="s">
        <v>454</v>
      </c>
      <c r="G112" s="33" t="s">
        <v>568</v>
      </c>
      <c r="H112" t="s">
        <v>73</v>
      </c>
      <c r="I112" s="1" t="s">
        <v>111</v>
      </c>
      <c r="J112" s="3" t="s">
        <v>157</v>
      </c>
    </row>
    <row r="113" spans="1:10" x14ac:dyDescent="0.35">
      <c r="E113" s="15"/>
      <c r="I113" t="s">
        <v>116</v>
      </c>
      <c r="J113" t="s">
        <v>1273</v>
      </c>
    </row>
    <row r="114" spans="1:10" x14ac:dyDescent="0.35">
      <c r="I114" t="s">
        <v>117</v>
      </c>
      <c r="J114" t="s">
        <v>1274</v>
      </c>
    </row>
    <row r="115" spans="1:10" x14ac:dyDescent="0.35">
      <c r="I115" t="s">
        <v>17</v>
      </c>
      <c r="J115" t="s">
        <v>1275</v>
      </c>
    </row>
    <row r="116" spans="1:10" x14ac:dyDescent="0.35">
      <c r="I116" s="38" t="s">
        <v>1249</v>
      </c>
      <c r="J116" t="s">
        <v>1276</v>
      </c>
    </row>
    <row r="117" spans="1:10" x14ac:dyDescent="0.35">
      <c r="J117" s="36" t="s">
        <v>1277</v>
      </c>
    </row>
    <row r="118" spans="1:10" x14ac:dyDescent="0.35">
      <c r="A118" t="s">
        <v>2600</v>
      </c>
      <c r="B118" t="s">
        <v>3</v>
      </c>
      <c r="C118" t="s">
        <v>43</v>
      </c>
      <c r="D118" t="s">
        <v>2133</v>
      </c>
      <c r="E118" s="54" t="s">
        <v>201</v>
      </c>
      <c r="F118" s="33" t="s">
        <v>454</v>
      </c>
      <c r="G118" s="33" t="s">
        <v>568</v>
      </c>
      <c r="H118" t="s">
        <v>73</v>
      </c>
      <c r="I118" s="1" t="s">
        <v>111</v>
      </c>
      <c r="J118" s="3" t="s">
        <v>157</v>
      </c>
    </row>
    <row r="119" spans="1:10" x14ac:dyDescent="0.35">
      <c r="E119" s="15"/>
      <c r="I119" t="s">
        <v>116</v>
      </c>
      <c r="J119" t="s">
        <v>158</v>
      </c>
    </row>
    <row r="120" spans="1:10" x14ac:dyDescent="0.35">
      <c r="I120" t="s">
        <v>117</v>
      </c>
      <c r="J120" t="s">
        <v>2601</v>
      </c>
    </row>
    <row r="121" spans="1:10" x14ac:dyDescent="0.35">
      <c r="I121" t="s">
        <v>17</v>
      </c>
      <c r="J121" t="s">
        <v>2602</v>
      </c>
    </row>
    <row r="122" spans="1:10" x14ac:dyDescent="0.35">
      <c r="I122" s="38" t="s">
        <v>1249</v>
      </c>
      <c r="J122" s="36" t="s">
        <v>2603</v>
      </c>
    </row>
    <row r="123" spans="1:10" x14ac:dyDescent="0.35">
      <c r="A123" t="s">
        <v>2117</v>
      </c>
      <c r="B123" t="s">
        <v>3</v>
      </c>
      <c r="C123" t="s">
        <v>43</v>
      </c>
      <c r="D123" t="s">
        <v>159</v>
      </c>
      <c r="E123" s="34" t="s">
        <v>216</v>
      </c>
      <c r="F123" s="33" t="s">
        <v>454</v>
      </c>
      <c r="G123" s="33" t="s">
        <v>568</v>
      </c>
      <c r="H123" t="s">
        <v>73</v>
      </c>
      <c r="I123" s="1" t="s">
        <v>111</v>
      </c>
      <c r="J123" s="3" t="s">
        <v>157</v>
      </c>
    </row>
    <row r="124" spans="1:10" x14ac:dyDescent="0.35">
      <c r="E124" s="54" t="s">
        <v>216</v>
      </c>
      <c r="I124" t="s">
        <v>116</v>
      </c>
      <c r="J124" t="s">
        <v>158</v>
      </c>
    </row>
    <row r="125" spans="1:10" x14ac:dyDescent="0.35">
      <c r="I125" t="s">
        <v>117</v>
      </c>
      <c r="J125" t="s">
        <v>2118</v>
      </c>
    </row>
    <row r="126" spans="1:10" x14ac:dyDescent="0.35">
      <c r="I126" t="s">
        <v>17</v>
      </c>
      <c r="J126" t="s">
        <v>2119</v>
      </c>
    </row>
    <row r="127" spans="1:10" x14ac:dyDescent="0.35">
      <c r="I127" s="38" t="s">
        <v>18</v>
      </c>
      <c r="J127" t="s">
        <v>2120</v>
      </c>
    </row>
    <row r="128" spans="1:10" x14ac:dyDescent="0.35">
      <c r="J128" s="36" t="s">
        <v>2121</v>
      </c>
    </row>
    <row r="129" spans="1:10" x14ac:dyDescent="0.35">
      <c r="A129" s="33" t="s">
        <v>3600</v>
      </c>
      <c r="B129" t="s">
        <v>3</v>
      </c>
      <c r="C129" t="s">
        <v>43</v>
      </c>
      <c r="D129" t="s">
        <v>352</v>
      </c>
      <c r="E129" s="34"/>
      <c r="F129" s="33" t="s">
        <v>111</v>
      </c>
      <c r="G129" s="33" t="s">
        <v>112</v>
      </c>
      <c r="H129" t="s">
        <v>73</v>
      </c>
      <c r="I129" s="1" t="s">
        <v>111</v>
      </c>
      <c r="J129" s="3" t="s">
        <v>2963</v>
      </c>
    </row>
    <row r="130" spans="1:10" x14ac:dyDescent="0.35">
      <c r="E130" s="54" t="s">
        <v>216</v>
      </c>
      <c r="I130" t="s">
        <v>116</v>
      </c>
      <c r="J130" t="s">
        <v>2980</v>
      </c>
    </row>
    <row r="131" spans="1:10" x14ac:dyDescent="0.35">
      <c r="I131" t="s">
        <v>117</v>
      </c>
      <c r="J131" t="s">
        <v>2979</v>
      </c>
    </row>
    <row r="132" spans="1:10" x14ac:dyDescent="0.35">
      <c r="I132" t="s">
        <v>17</v>
      </c>
      <c r="J132" t="s">
        <v>3572</v>
      </c>
    </row>
    <row r="133" spans="1:10" x14ac:dyDescent="0.35">
      <c r="I133" s="38" t="s">
        <v>18</v>
      </c>
      <c r="J133" t="s">
        <v>3601</v>
      </c>
    </row>
    <row r="134" spans="1:10" x14ac:dyDescent="0.35">
      <c r="J134" t="s">
        <v>3601</v>
      </c>
    </row>
    <row r="135" spans="1:10" x14ac:dyDescent="0.35">
      <c r="J135" s="36" t="s">
        <v>3602</v>
      </c>
    </row>
    <row r="136" spans="1:10" x14ac:dyDescent="0.35">
      <c r="A136" s="33" t="s">
        <v>453</v>
      </c>
      <c r="B136" t="s">
        <v>3</v>
      </c>
      <c r="C136" t="s">
        <v>43</v>
      </c>
      <c r="D136" t="s">
        <v>159</v>
      </c>
      <c r="E136" s="34" t="s">
        <v>72</v>
      </c>
      <c r="F136" s="33" t="s">
        <v>454</v>
      </c>
      <c r="G136" s="33" t="s">
        <v>568</v>
      </c>
      <c r="H136" t="s">
        <v>73</v>
      </c>
      <c r="I136" s="1" t="s">
        <v>111</v>
      </c>
      <c r="J136" s="3" t="s">
        <v>157</v>
      </c>
    </row>
    <row r="137" spans="1:10" x14ac:dyDescent="0.35">
      <c r="E137" s="54" t="s">
        <v>72</v>
      </c>
      <c r="I137" t="s">
        <v>116</v>
      </c>
      <c r="J137" t="s">
        <v>455</v>
      </c>
    </row>
    <row r="138" spans="1:10" x14ac:dyDescent="0.35">
      <c r="I138" t="s">
        <v>117</v>
      </c>
      <c r="J138" t="s">
        <v>456</v>
      </c>
    </row>
    <row r="139" spans="1:10" x14ac:dyDescent="0.35">
      <c r="I139" t="s">
        <v>17</v>
      </c>
      <c r="J139" t="s">
        <v>2118</v>
      </c>
    </row>
    <row r="140" spans="1:10" x14ac:dyDescent="0.35">
      <c r="I140" s="38" t="s">
        <v>18</v>
      </c>
      <c r="J140" t="s">
        <v>457</v>
      </c>
    </row>
    <row r="141" spans="1:10" x14ac:dyDescent="0.35">
      <c r="J141" s="36" t="s">
        <v>453</v>
      </c>
    </row>
    <row r="142" spans="1:10" x14ac:dyDescent="0.35">
      <c r="A142" s="33" t="s">
        <v>1246</v>
      </c>
      <c r="B142" t="s">
        <v>3</v>
      </c>
      <c r="C142" t="s">
        <v>43</v>
      </c>
      <c r="D142" t="s">
        <v>64</v>
      </c>
      <c r="E142" s="54" t="s">
        <v>65</v>
      </c>
      <c r="F142" s="33" t="s">
        <v>1247</v>
      </c>
      <c r="G142" s="33" t="s">
        <v>1248</v>
      </c>
      <c r="H142" t="s">
        <v>54</v>
      </c>
      <c r="I142" s="1" t="s">
        <v>571</v>
      </c>
      <c r="J142" s="3" t="s">
        <v>1250</v>
      </c>
    </row>
    <row r="143" spans="1:10" x14ac:dyDescent="0.35">
      <c r="E143" s="15"/>
      <c r="I143" t="s">
        <v>454</v>
      </c>
      <c r="J143" t="s">
        <v>1251</v>
      </c>
    </row>
    <row r="144" spans="1:10" x14ac:dyDescent="0.35">
      <c r="I144" t="s">
        <v>111</v>
      </c>
      <c r="J144" t="s">
        <v>1252</v>
      </c>
    </row>
    <row r="145" spans="9:10" x14ac:dyDescent="0.35">
      <c r="I145" t="s">
        <v>116</v>
      </c>
      <c r="J145" t="s">
        <v>1253</v>
      </c>
    </row>
    <row r="146" spans="9:10" x14ac:dyDescent="0.35">
      <c r="I146" t="s">
        <v>117</v>
      </c>
      <c r="J146" t="s">
        <v>1254</v>
      </c>
    </row>
    <row r="147" spans="9:10" x14ac:dyDescent="0.35">
      <c r="I147" t="s">
        <v>17</v>
      </c>
      <c r="J147" s="36" t="s">
        <v>1246</v>
      </c>
    </row>
    <row r="148" spans="9:10" x14ac:dyDescent="0.35">
      <c r="I148" s="38" t="s">
        <v>1249</v>
      </c>
    </row>
  </sheetData>
  <autoFilter ref="E1:E148" xr:uid="{00000000-0001-0000-1500-000000000000}"/>
  <hyperlinks>
    <hyperlink ref="A1" location="Summary!A1" tooltip="Return to Totals" display="Back to Totals" xr:uid="{5A371D25-E4A5-402C-8BEF-BC6E3ED1BECD}"/>
    <hyperlink ref="I6" r:id="rId1" xr:uid="{5078E331-6BED-41CD-8799-CDF7799472F5}"/>
    <hyperlink ref="I12" r:id="rId2" xr:uid="{7530F25F-5E0A-4698-B9B6-FAF258FB40F9}"/>
    <hyperlink ref="I16" r:id="rId3" xr:uid="{E8232DE9-6463-4414-A2F8-5142111BE9DB}"/>
    <hyperlink ref="I31" r:id="rId4" xr:uid="{E6576CC2-CB10-4297-8712-219BC581E31D}"/>
    <hyperlink ref="I36" r:id="rId5" xr:uid="{114D0641-3203-49F6-A0FD-2E9E24F3E1DD}"/>
    <hyperlink ref="I57" r:id="rId6" xr:uid="{C9658265-A92F-48BA-B0EF-FA44580F7CCF}"/>
    <hyperlink ref="I64" r:id="rId7" xr:uid="{19C1416E-8377-4D4E-8C01-572BA3985424}"/>
    <hyperlink ref="I127" r:id="rId8" xr:uid="{6616FB48-09A2-4849-9C23-BD9181507239}"/>
    <hyperlink ref="I140" r:id="rId9" xr:uid="{D215C41C-52F7-4DA3-BB2B-E6DF07C24131}"/>
    <hyperlink ref="I41" r:id="rId10" xr:uid="{B9C9602E-FF34-489D-8239-2DB98B18CD28}"/>
    <hyperlink ref="I46" r:id="rId11" xr:uid="{B8FBED2C-5B69-49C8-9DE9-3EC204A15F1B}"/>
    <hyperlink ref="I91" r:id="rId12" xr:uid="{724E191D-5DB1-493B-81D9-B281D8DAAEEF}"/>
    <hyperlink ref="I104" r:id="rId13" xr:uid="{45B32F1E-6AF9-4012-8251-F6913A53136C}"/>
    <hyperlink ref="I116" r:id="rId14" xr:uid="{B875263B-07E1-4B55-A426-6853CB1E79DE}"/>
    <hyperlink ref="I122" r:id="rId15" xr:uid="{BD9116ED-2426-40E9-A4A4-26A02E3C3BEA}"/>
    <hyperlink ref="I148" r:id="rId16" xr:uid="{BEEE9EF5-3A49-4659-9D7D-DC3E30F5EB21}"/>
    <hyperlink ref="F3" r:id="rId17" xr:uid="{91DFED38-C1AD-43C5-9C5B-E62727A49358}"/>
    <hyperlink ref="F13" r:id="rId18" xr:uid="{D9CC7C7D-29A7-45CC-AEF1-4FDA5D927FCE}"/>
    <hyperlink ref="F42" r:id="rId19" xr:uid="{E63BE53D-3BC6-4275-8370-C57F3704F82F}"/>
    <hyperlink ref="G3" r:id="rId20" xr:uid="{EE932F1E-C465-4474-8C8B-C97BBABDB54F}"/>
    <hyperlink ref="G13" r:id="rId21" xr:uid="{31B1578D-99D4-4513-9A14-06869D7FC85F}"/>
    <hyperlink ref="G42" r:id="rId22" xr:uid="{0305647F-AEF4-4A4A-8619-66CC62B600DD}"/>
    <hyperlink ref="F32" r:id="rId23" xr:uid="{4FB04047-FC2F-49B7-849C-E0FB5D4AF995}"/>
    <hyperlink ref="F37" r:id="rId24" xr:uid="{2349007B-8ADA-4B87-BAB6-F0B97920B1FC}"/>
    <hyperlink ref="F54" r:id="rId25" xr:uid="{C4F78FD0-37C1-4A8E-A4D9-420B41B468E5}"/>
    <hyperlink ref="F100" r:id="rId26" xr:uid="{B32BA603-C9A5-4942-B693-9DDE2AC34C03}"/>
    <hyperlink ref="F112" r:id="rId27" xr:uid="{74024EA7-31BB-4176-BA83-1AE5B67C6FF6}"/>
    <hyperlink ref="F118" r:id="rId28" xr:uid="{95E98AC5-F3E7-444D-807C-455C74856A28}"/>
    <hyperlink ref="F123" r:id="rId29" xr:uid="{658ACB30-094F-489E-A1B6-040EF9053A26}"/>
    <hyperlink ref="F136" r:id="rId30" xr:uid="{E0B07076-B0D7-4205-9B5F-4A6DCF7A8817}"/>
    <hyperlink ref="G32" r:id="rId31" xr:uid="{20FA9CC9-5B60-4ACA-B3FC-D4B2F81F961B}"/>
    <hyperlink ref="G37" r:id="rId32" xr:uid="{ABA7DCE5-40AD-4130-B691-5259B3683BD3}"/>
    <hyperlink ref="G54" r:id="rId33" xr:uid="{29CB14B5-35E4-4D31-9CB7-5A0B54F27CCB}"/>
    <hyperlink ref="G100" r:id="rId34" xr:uid="{621F1F32-533E-4B43-939D-41DDFE1FBE32}"/>
    <hyperlink ref="G112" r:id="rId35" xr:uid="{D490C838-AE8B-4DB7-9694-B9F12F727EB8}"/>
    <hyperlink ref="G118" r:id="rId36" xr:uid="{CA99C9B5-92DA-4A17-A685-7DE9853ED85D}"/>
    <hyperlink ref="G123" r:id="rId37" xr:uid="{C8DA5305-4281-4A34-AD2F-E5264E6C393F}"/>
    <hyperlink ref="G136" r:id="rId38" xr:uid="{B06F8170-4E86-49C0-8EC9-F583A49C8C32}"/>
    <hyperlink ref="F7" r:id="rId39" xr:uid="{8C17BFA3-6E67-4F0D-BBE0-CC4EA61CA9D3}"/>
    <hyperlink ref="F26" r:id="rId40" xr:uid="{E9E648D7-CD58-4D68-A9FA-F44E0384FA5B}"/>
    <hyperlink ref="F59" r:id="rId41" xr:uid="{37A8DC3F-B036-4605-A273-7F2DDE7E2B1D}"/>
    <hyperlink ref="G7" r:id="rId42" xr:uid="{F2C7F44A-9104-42E7-BDAD-28F458CD5EA2}"/>
    <hyperlink ref="G26" r:id="rId43" xr:uid="{DE54E3EC-B220-43FC-B7BA-9A5FAF224320}"/>
    <hyperlink ref="G59" r:id="rId44" xr:uid="{7D60C6B0-529C-411A-A5CD-508F3CDAF57C}"/>
    <hyperlink ref="F85" r:id="rId45" xr:uid="{CFCAECDC-CC9E-4570-B60B-A93CE3309C56}"/>
    <hyperlink ref="F142" r:id="rId46" xr:uid="{15956E96-3B74-426C-88F5-5E1A78696050}"/>
    <hyperlink ref="G85" r:id="rId47" xr:uid="{B90112D6-B9EA-454A-8DEB-2C19F73711CB}"/>
    <hyperlink ref="G142" r:id="rId48" xr:uid="{B9FCBAF6-BEDD-499B-B520-EBCE62AC51B6}"/>
    <hyperlink ref="J6" r:id="rId49" xr:uid="{8470D64B-4C67-4B48-B7B0-91B5769A9526}"/>
    <hyperlink ref="J11" r:id="rId50" xr:uid="{37E444E3-7DE8-4E95-BD72-146AD8C8ADF8}"/>
    <hyperlink ref="J31" r:id="rId51" xr:uid="{F800709A-C84E-4F6F-8F1F-859A1D5DB33D}"/>
    <hyperlink ref="J36" r:id="rId52" xr:uid="{A0332D3C-A1AD-4021-98E2-8FA09506C509}"/>
    <hyperlink ref="J16" r:id="rId53" xr:uid="{5B5C27C4-C986-4706-BEC4-3A5ABADA0185}"/>
    <hyperlink ref="J41" r:id="rId54" xr:uid="{D4920497-AD6B-4BCF-89B1-DD4242A441AE}"/>
    <hyperlink ref="J63" r:id="rId55" xr:uid="{76610FAB-7A2E-4DEF-B077-7D6EE39267C6}"/>
    <hyperlink ref="J58" r:id="rId56" xr:uid="{EC045274-6F59-4A7E-B987-13B6FE7002C5}"/>
    <hyperlink ref="A42" r:id="rId57" xr:uid="{F69F0170-CB45-43A6-8EFB-CDBF73198827}"/>
    <hyperlink ref="J91" r:id="rId58" xr:uid="{D049181E-3A41-44A5-8132-D756CAB56B05}"/>
    <hyperlink ref="J105" r:id="rId59" xr:uid="{47CFEF1B-C287-478E-83DD-F5A306F3E332}"/>
    <hyperlink ref="A100" r:id="rId60" xr:uid="{29E12898-027F-4480-85F2-AFFD2B1EE8A6}"/>
    <hyperlink ref="J117" r:id="rId61" xr:uid="{CDEFC047-7526-4735-A6B8-E8B3B1AC855E}"/>
    <hyperlink ref="J122" r:id="rId62" xr:uid="{4120688A-FEAA-4BC6-B7A8-4E69EBC01589}"/>
    <hyperlink ref="J128" r:id="rId63" xr:uid="{274336C9-2118-4AAA-ACC7-A85EF0F4429D}"/>
    <hyperlink ref="J141" r:id="rId64" xr:uid="{3DC83610-B1F3-4259-A96C-BB3A1B16A64C}"/>
    <hyperlink ref="A136" r:id="rId65" xr:uid="{FFD17AF7-2D39-47A7-B40F-CD11432D8F42}"/>
    <hyperlink ref="J147" r:id="rId66" xr:uid="{53F5676E-57D7-4614-88E3-63D540269EC1}"/>
    <hyperlink ref="A3" r:id="rId67" xr:uid="{C08565E8-6DBF-44D8-AFD1-B3D03882B277}"/>
    <hyperlink ref="A7" r:id="rId68" xr:uid="{9CC90957-373A-4D5E-98C7-D31F862B40C9}"/>
    <hyperlink ref="A32" r:id="rId69" xr:uid="{1E2C6982-1CBC-4FA7-8D39-8047A52AF525}"/>
    <hyperlink ref="A59" r:id="rId70" xr:uid="{A557CB58-CF39-4E51-955C-1495401B7D0F}"/>
    <hyperlink ref="A13" r:id="rId71" xr:uid="{9E604237-B8CC-4E55-9527-B68690D47C84}"/>
    <hyperlink ref="A54" r:id="rId72" xr:uid="{C00D7F63-B953-45B1-8FA0-1E9545550EBD}"/>
    <hyperlink ref="A85" r:id="rId73" xr:uid="{DF479C36-949C-4DA0-AE32-8418CFDC5DFB}"/>
    <hyperlink ref="A112" r:id="rId74" xr:uid="{8C99ECF3-9525-4D88-BA2D-8B732BC0E46D}"/>
    <hyperlink ref="A142" r:id="rId75" xr:uid="{3586EAE4-BB10-4C2E-86B2-E67C6EEACE7B}"/>
    <hyperlink ref="I110" r:id="rId76" xr:uid="{EDD2D824-242D-4005-AFD5-46BD6D7DE452}"/>
    <hyperlink ref="F106" r:id="rId77" xr:uid="{A65259D2-9115-424C-8B6C-6F6EA3B6F2C9}"/>
    <hyperlink ref="G106" r:id="rId78" xr:uid="{7675833F-A0E4-42D9-9E1F-81A70D4F8D21}"/>
    <hyperlink ref="J111" r:id="rId79" display="Deborah C Gipson" xr:uid="{A1B07FE2-550F-4BC0-8541-A98D998C8A9D}"/>
    <hyperlink ref="A106" r:id="rId80" xr:uid="{307D4584-B195-410D-B0DC-88CF160CBC7F}"/>
    <hyperlink ref="E106" r:id="rId81" xr:uid="{CDDA84E2-A9EF-41CE-B02E-EDCBD0E6DDDF}"/>
    <hyperlink ref="E107" r:id="rId82" xr:uid="{0B2FEDCC-F3BD-46AC-A339-F7ED632096A7}"/>
    <hyperlink ref="E142" r:id="rId83" xr:uid="{75A3AFF8-551D-4334-A363-AA00474589C6}"/>
    <hyperlink ref="E137" r:id="rId84" xr:uid="{9A77522A-7FD5-4A51-8668-780EFBB7734E}"/>
    <hyperlink ref="E136" r:id="rId85" xr:uid="{D0A275F3-A625-4704-91AD-7734C838AF5B}"/>
    <hyperlink ref="E124" r:id="rId86" xr:uid="{F6EAA91C-105B-4A8D-822F-55601033CECC}"/>
    <hyperlink ref="E123" r:id="rId87" xr:uid="{6BE92DF3-66F2-4D22-A518-8A24B2CBE12B}"/>
    <hyperlink ref="E118" r:id="rId88" xr:uid="{FF9F4C3B-E976-473B-B68C-88BB5409A1A2}"/>
    <hyperlink ref="E112" r:id="rId89" xr:uid="{F71F7487-E4A2-4DA1-9BF7-6CD16BBFDC8D}"/>
    <hyperlink ref="E101" r:id="rId90" xr:uid="{4099B9E0-EBF4-40C8-90FF-578BCF581793}"/>
    <hyperlink ref="E100" r:id="rId91" xr:uid="{F0961FA6-E381-4657-8D82-995AB3D59FD1}"/>
    <hyperlink ref="E60" r:id="rId92" xr:uid="{61C8BDFB-B0C6-43B2-BD29-BD1CBDA3701E}"/>
    <hyperlink ref="E85" r:id="rId93" xr:uid="{6248F54A-019E-416B-9431-087163D6B0AA}"/>
    <hyperlink ref="E14" r:id="rId94" xr:uid="{253C1631-1DE9-4A76-BAA4-EC3D6D6E3055}"/>
    <hyperlink ref="E59" r:id="rId95" xr:uid="{9E2CDC65-438A-4D5C-AE8E-F915954A2D63}"/>
    <hyperlink ref="E54" r:id="rId96" xr:uid="{82EAA319-8AB7-46A0-BEF8-F4584E0B9ECB}"/>
    <hyperlink ref="E27" r:id="rId97" xr:uid="{6D4A9668-B3BF-4CD2-84BF-90B5B721A6D8}"/>
    <hyperlink ref="E55" r:id="rId98" xr:uid="{5D2C945D-8642-47D8-B964-6B95D5BE4394}"/>
    <hyperlink ref="E42" r:id="rId99" xr:uid="{AB03CFB3-0A95-429A-970B-6201FB2B8E5C}"/>
    <hyperlink ref="E37" r:id="rId100" xr:uid="{DB245153-B59F-41B9-869C-451960993321}"/>
    <hyperlink ref="E33" r:id="rId101" xr:uid="{4D982B2E-4A75-4F30-86C0-40CEF850360F}"/>
    <hyperlink ref="E32" r:id="rId102" xr:uid="{DBF4E2A0-868B-40A2-B10F-041CBFC532EF}"/>
    <hyperlink ref="E26" r:id="rId103" xr:uid="{589A1E0E-0516-4AC5-A76D-5696948EEF7C}"/>
    <hyperlink ref="E13" r:id="rId104" xr:uid="{BB181170-D327-494A-A79B-E1951622044A}"/>
    <hyperlink ref="E8" r:id="rId105" xr:uid="{63EF6FAA-62C1-42B3-AE39-F8FEDB65BDDF}"/>
    <hyperlink ref="E7" r:id="rId106" xr:uid="{8DBC54B9-9502-4DD2-878F-DCAE14F575EF}"/>
    <hyperlink ref="E4" r:id="rId107" xr:uid="{43DBD3CD-3927-4049-9BF5-AC1B5FF87684}"/>
    <hyperlink ref="E3" r:id="rId108" xr:uid="{F12AB5E0-D5B0-47DD-87FF-88C4AB0E1D8D}"/>
    <hyperlink ref="I84" r:id="rId109" xr:uid="{6771C3F5-B458-4A63-A668-CCB17C22A66A}"/>
    <hyperlink ref="F78" r:id="rId110" xr:uid="{55AE9901-42F1-4A6C-8B53-AEC3B93EF705}"/>
    <hyperlink ref="G78" r:id="rId111" xr:uid="{1E009104-4516-4296-93FF-28176B64E0E0}"/>
    <hyperlink ref="J84" r:id="rId112" xr:uid="{9FF90F14-1103-4A71-B1B7-5100788FE184}"/>
    <hyperlink ref="A78" r:id="rId113" xr:uid="{76CB23D1-F159-41F1-8855-28C3478D3AD6}"/>
    <hyperlink ref="E78" r:id="rId114" xr:uid="{33BA38B0-330F-4B0E-B95B-A1FE68631191}"/>
    <hyperlink ref="I69" r:id="rId115" xr:uid="{71F86E9F-A6E1-4409-875A-84AD91EE1131}"/>
    <hyperlink ref="F65" r:id="rId116" xr:uid="{1BA9D2E2-A285-4909-99DB-77AD036655AA}"/>
    <hyperlink ref="G65" r:id="rId117" xr:uid="{9B5D5972-E813-4E50-B1C5-4EDF7EB01F46}"/>
    <hyperlink ref="A65" r:id="rId118" xr:uid="{6B0D70CB-D4D5-4F44-9B7E-762E7DEC7C4B}"/>
    <hyperlink ref="E65" r:id="rId119" xr:uid="{2A06FEA3-0C4A-4923-9F88-DA1557522F84}"/>
    <hyperlink ref="E66" r:id="rId120" xr:uid="{22A265E2-261F-4ED3-ADC2-C3104CB5D5CD}"/>
    <hyperlink ref="I133" r:id="rId121" xr:uid="{C0D9DBDD-419D-46EB-B404-24C362993DD9}"/>
    <hyperlink ref="F129" r:id="rId122" xr:uid="{5FB7EC0B-3F6A-4AD9-BF25-86B1DF3913E7}"/>
    <hyperlink ref="G129" r:id="rId123" xr:uid="{758FA8BE-77CA-463A-90E5-12E098464E9E}"/>
    <hyperlink ref="E130" r:id="rId124" xr:uid="{E7631422-A7F7-4C87-9A2D-A0BC748D649C}"/>
    <hyperlink ref="A129" r:id="rId125" xr:uid="{B844038D-A036-47E7-9315-B28280546310}"/>
    <hyperlink ref="J135" r:id="rId126" xr:uid="{55E16558-16B1-4C74-A51C-CA0FB66A08C9}"/>
    <hyperlink ref="J70" r:id="rId127" xr:uid="{999F03E4-61C4-4EEE-931E-A97C2F25F1FB}"/>
    <hyperlink ref="I75" r:id="rId128" xr:uid="{23F20CA9-F200-4FA0-97F8-95B50E55D24C}"/>
    <hyperlink ref="F71" r:id="rId129" xr:uid="{1B71562B-8284-45CF-832B-4348D07DF749}"/>
    <hyperlink ref="G71" r:id="rId130" xr:uid="{970F652B-04F3-408C-9181-89D51EE90F75}"/>
    <hyperlink ref="A71" r:id="rId131" xr:uid="{AD64E4A8-97C1-4463-9DB7-9992FF6F09C2}"/>
    <hyperlink ref="E71" r:id="rId132" xr:uid="{7DF81805-ABEF-4BCA-9B8F-54471BE02645}"/>
    <hyperlink ref="J77" r:id="rId133" xr:uid="{1BF63613-A2E3-4B75-BEB9-5A56F9AF6640}"/>
    <hyperlink ref="I98" r:id="rId134" xr:uid="{71424728-709F-457C-AA0F-26B839A8F5C6}"/>
    <hyperlink ref="F92" r:id="rId135" xr:uid="{210B4894-E0B7-45BB-A90F-400B1551F38A}"/>
    <hyperlink ref="G92" r:id="rId136" xr:uid="{C8B6D409-2F5F-4C7E-AD88-A1BAE9AF6554}"/>
    <hyperlink ref="A92" r:id="rId137" xr:uid="{73BACA22-6B45-4BE2-8EAE-4831611E6AF3}"/>
    <hyperlink ref="E92" r:id="rId138" xr:uid="{F953441A-AA3A-43EE-817C-7D82E5904D47}"/>
    <hyperlink ref="J99" r:id="rId139" xr:uid="{87AE32CF-6D39-4D22-B733-BAD5694F8F87}"/>
    <hyperlink ref="F47" r:id="rId140" xr:uid="{3116E33A-74A4-4181-A559-9AE0EC881C97}"/>
    <hyperlink ref="G47" r:id="rId141" xr:uid="{D76E0D86-AF8B-4AC1-A1C8-3A7EBF0904A7}"/>
    <hyperlink ref="A47" r:id="rId142" display="June Hill" xr:uid="{9D8E7460-8165-4B56-ACF0-D73C879EF164}"/>
    <hyperlink ref="E47" r:id="rId143" display="21cM" xr:uid="{417E5737-89D6-44A5-A6EB-477C4E8C1894}"/>
    <hyperlink ref="J53" r:id="rId144" xr:uid="{B5E5FB9A-605E-4DAA-AC38-D95C5331EB80}"/>
    <hyperlink ref="I51" r:id="rId145" xr:uid="{56F4A7E2-3743-4680-AEE1-FBEC2CBDEAC5}"/>
    <hyperlink ref="I20" r:id="rId146" xr:uid="{4E85573B-7EFB-459E-873E-36E715BE4879}"/>
    <hyperlink ref="F17" r:id="rId147" xr:uid="{BE173865-F823-477E-9A9A-4B55A8C07500}"/>
    <hyperlink ref="G17" r:id="rId148" xr:uid="{09D05416-9470-4218-AE07-F69F1F4D548A}"/>
    <hyperlink ref="J20" r:id="rId149" xr:uid="{F53F1203-E999-416C-BE98-4192291D8034}"/>
    <hyperlink ref="A17" r:id="rId150" xr:uid="{46177651-678B-402A-95EE-400DDC3035F4}"/>
    <hyperlink ref="E18" r:id="rId151" xr:uid="{1C974FCC-8680-4FB6-923C-D3379E2B3BA4}"/>
    <hyperlink ref="E17" r:id="rId152" xr:uid="{5BD105C7-8ED8-4F7F-82E0-5FF1C696388D}"/>
    <hyperlink ref="I24" r:id="rId153" xr:uid="{B30D366D-9ACD-46B9-B3A9-38F8550AFE97}"/>
    <hyperlink ref="F21" r:id="rId154" xr:uid="{6D17BDBF-78F9-4B91-9B7C-709BEA3108B0}"/>
    <hyperlink ref="G21" r:id="rId155" xr:uid="{A0F202C4-C3C7-496F-A5AA-502B21B7B2B3}"/>
    <hyperlink ref="A21" r:id="rId156" xr:uid="{85F40309-5ECF-484B-99F5-33054664A047}"/>
    <hyperlink ref="E22" r:id="rId157" xr:uid="{D9751B7F-FAD4-4E66-B567-9CAD126320B4}"/>
    <hyperlink ref="E21" r:id="rId158" xr:uid="{ED633339-1E7B-4090-9E50-77481B63F87F}"/>
    <hyperlink ref="J25" r:id="rId159" xr:uid="{D688D111-38D0-4749-A1E8-086C3FB3B1A7}"/>
  </hyperlinks>
  <pageMargins left="0.7" right="0.7" top="0.75" bottom="0.75" header="0.3" footer="0.3"/>
  <pageSetup paperSize="9" orientation="portrait" horizontalDpi="0" verticalDpi="0" r:id="rId16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33">
    <tabColor rgb="FF7030A0"/>
  </sheetPr>
  <dimension ref="A1:J85"/>
  <sheetViews>
    <sheetView topLeftCell="A70" workbookViewId="0">
      <selection activeCell="A80" sqref="A80"/>
    </sheetView>
  </sheetViews>
  <sheetFormatPr defaultRowHeight="14.5" x14ac:dyDescent="0.35"/>
  <cols>
    <col min="1" max="1" width="22.90625" customWidth="1"/>
    <col min="2" max="2" width="14.26953125" customWidth="1"/>
    <col min="3" max="3" width="20.26953125" customWidth="1"/>
    <col min="4" max="4" width="20.1796875" customWidth="1"/>
    <col min="5" max="5" width="14" customWidth="1"/>
    <col min="6" max="6" width="22.453125" customWidth="1"/>
    <col min="7" max="7" width="24.7265625" customWidth="1"/>
    <col min="8" max="8" width="23" customWidth="1"/>
    <col min="9" max="9" width="22.08984375" customWidth="1"/>
    <col min="10" max="10" width="23.26953125" customWidth="1"/>
  </cols>
  <sheetData>
    <row r="1" spans="1:10" x14ac:dyDescent="0.35">
      <c r="A1" s="34" t="s">
        <v>3196</v>
      </c>
      <c r="B1" s="16">
        <f>COUNTIF(I2:I1078,C1)+COUNTIF(I2:I1078,D1)</f>
        <v>15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539</v>
      </c>
      <c r="B3" s="1" t="s">
        <v>315</v>
      </c>
      <c r="C3" t="s">
        <v>316</v>
      </c>
      <c r="D3" t="s">
        <v>41</v>
      </c>
      <c r="E3" s="34" t="s">
        <v>540</v>
      </c>
      <c r="F3" s="33" t="s">
        <v>162</v>
      </c>
      <c r="G3" s="33" t="s">
        <v>163</v>
      </c>
      <c r="H3" t="s">
        <v>73</v>
      </c>
      <c r="I3" s="1" t="s">
        <v>167</v>
      </c>
      <c r="J3" s="3" t="s">
        <v>164</v>
      </c>
    </row>
    <row r="4" spans="1:10" x14ac:dyDescent="0.35">
      <c r="E4" s="54" t="s">
        <v>560</v>
      </c>
      <c r="I4" t="s">
        <v>97</v>
      </c>
      <c r="J4" t="s">
        <v>164</v>
      </c>
    </row>
    <row r="5" spans="1:10" x14ac:dyDescent="0.35">
      <c r="I5" t="s">
        <v>100</v>
      </c>
      <c r="J5" t="s">
        <v>542</v>
      </c>
    </row>
    <row r="6" spans="1:10" x14ac:dyDescent="0.35">
      <c r="I6" t="s">
        <v>104</v>
      </c>
      <c r="J6" t="s">
        <v>541</v>
      </c>
    </row>
    <row r="7" spans="1:10" x14ac:dyDescent="0.35">
      <c r="I7" s="38" t="s">
        <v>18</v>
      </c>
      <c r="J7" s="36" t="s">
        <v>539</v>
      </c>
    </row>
    <row r="8" spans="1:10" x14ac:dyDescent="0.35">
      <c r="A8" s="33" t="s">
        <v>3469</v>
      </c>
      <c r="B8" t="s">
        <v>3</v>
      </c>
      <c r="C8" t="s">
        <v>316</v>
      </c>
      <c r="D8" t="s">
        <v>41</v>
      </c>
      <c r="E8" s="34" t="s">
        <v>3470</v>
      </c>
      <c r="F8" s="33" t="s">
        <v>162</v>
      </c>
      <c r="G8" s="33" t="s">
        <v>163</v>
      </c>
      <c r="H8" t="s">
        <v>73</v>
      </c>
      <c r="I8" s="1" t="s">
        <v>167</v>
      </c>
      <c r="J8" s="3" t="s">
        <v>164</v>
      </c>
    </row>
    <row r="9" spans="1:10" x14ac:dyDescent="0.35">
      <c r="E9" s="54" t="s">
        <v>1322</v>
      </c>
      <c r="I9" t="s">
        <v>97</v>
      </c>
      <c r="J9" t="s">
        <v>3465</v>
      </c>
    </row>
    <row r="10" spans="1:10" x14ac:dyDescent="0.35">
      <c r="I10" t="s">
        <v>100</v>
      </c>
      <c r="J10" t="s">
        <v>3466</v>
      </c>
    </row>
    <row r="11" spans="1:10" x14ac:dyDescent="0.35">
      <c r="I11" t="s">
        <v>104</v>
      </c>
      <c r="J11" t="s">
        <v>3467</v>
      </c>
    </row>
    <row r="12" spans="1:10" x14ac:dyDescent="0.35">
      <c r="I12" s="38" t="s">
        <v>18</v>
      </c>
      <c r="J12" s="36" t="s">
        <v>3468</v>
      </c>
    </row>
    <row r="13" spans="1:10" x14ac:dyDescent="0.35">
      <c r="A13" s="33" t="s">
        <v>535</v>
      </c>
      <c r="B13" s="1" t="s">
        <v>315</v>
      </c>
      <c r="C13" t="s">
        <v>316</v>
      </c>
      <c r="D13" t="s">
        <v>41</v>
      </c>
      <c r="E13" s="34" t="s">
        <v>528</v>
      </c>
      <c r="F13" s="33" t="s">
        <v>162</v>
      </c>
      <c r="G13" s="33" t="s">
        <v>163</v>
      </c>
      <c r="H13" t="s">
        <v>73</v>
      </c>
      <c r="I13" s="1" t="s">
        <v>167</v>
      </c>
      <c r="J13" s="6" t="s">
        <v>164</v>
      </c>
    </row>
    <row r="14" spans="1:10" x14ac:dyDescent="0.35">
      <c r="E14" s="54" t="s">
        <v>1378</v>
      </c>
      <c r="I14" s="8" t="s">
        <v>97</v>
      </c>
      <c r="J14" t="s">
        <v>536</v>
      </c>
    </row>
    <row r="15" spans="1:10" x14ac:dyDescent="0.35">
      <c r="I15" t="s">
        <v>100</v>
      </c>
      <c r="J15" t="s">
        <v>537</v>
      </c>
    </row>
    <row r="16" spans="1:10" x14ac:dyDescent="0.35">
      <c r="I16" t="s">
        <v>104</v>
      </c>
      <c r="J16" t="s">
        <v>538</v>
      </c>
    </row>
    <row r="17" spans="1:10" x14ac:dyDescent="0.35">
      <c r="I17" s="38" t="s">
        <v>18</v>
      </c>
      <c r="J17" s="36" t="s">
        <v>535</v>
      </c>
    </row>
    <row r="18" spans="1:10" x14ac:dyDescent="0.35">
      <c r="A18" s="33" t="s">
        <v>543</v>
      </c>
      <c r="B18" s="1" t="s">
        <v>315</v>
      </c>
      <c r="C18" t="s">
        <v>316</v>
      </c>
      <c r="D18" t="s">
        <v>41</v>
      </c>
      <c r="E18" s="34" t="s">
        <v>544</v>
      </c>
      <c r="F18" s="33" t="s">
        <v>162</v>
      </c>
      <c r="G18" s="33" t="s">
        <v>163</v>
      </c>
      <c r="H18" t="s">
        <v>67</v>
      </c>
      <c r="I18" s="1" t="s">
        <v>167</v>
      </c>
      <c r="J18" s="3" t="s">
        <v>548</v>
      </c>
    </row>
    <row r="19" spans="1:10" x14ac:dyDescent="0.35">
      <c r="E19" s="54" t="s">
        <v>544</v>
      </c>
      <c r="I19" t="s">
        <v>97</v>
      </c>
      <c r="J19" t="s">
        <v>547</v>
      </c>
    </row>
    <row r="20" spans="1:10" x14ac:dyDescent="0.35">
      <c r="I20" t="s">
        <v>100</v>
      </c>
      <c r="J20" t="s">
        <v>546</v>
      </c>
    </row>
    <row r="21" spans="1:10" x14ac:dyDescent="0.35">
      <c r="I21" t="s">
        <v>104</v>
      </c>
      <c r="J21" t="s">
        <v>546</v>
      </c>
    </row>
    <row r="22" spans="1:10" x14ac:dyDescent="0.35">
      <c r="I22" s="38" t="s">
        <v>18</v>
      </c>
      <c r="J22" s="4" t="s">
        <v>545</v>
      </c>
    </row>
    <row r="23" spans="1:10" x14ac:dyDescent="0.35">
      <c r="A23" s="33" t="s">
        <v>1457</v>
      </c>
      <c r="B23" t="s">
        <v>3</v>
      </c>
      <c r="C23" t="s">
        <v>43</v>
      </c>
      <c r="D23" t="s">
        <v>41</v>
      </c>
      <c r="E23" s="34" t="s">
        <v>132</v>
      </c>
      <c r="F23" s="33" t="s">
        <v>162</v>
      </c>
      <c r="G23" s="33" t="s">
        <v>163</v>
      </c>
      <c r="H23" t="s">
        <v>73</v>
      </c>
      <c r="I23" s="1" t="s">
        <v>167</v>
      </c>
      <c r="J23" s="3" t="s">
        <v>164</v>
      </c>
    </row>
    <row r="24" spans="1:10" x14ac:dyDescent="0.35">
      <c r="E24" s="54" t="s">
        <v>161</v>
      </c>
      <c r="I24" t="s">
        <v>97</v>
      </c>
      <c r="J24" t="s">
        <v>164</v>
      </c>
    </row>
    <row r="25" spans="1:10" x14ac:dyDescent="0.35">
      <c r="I25" t="s">
        <v>100</v>
      </c>
      <c r="J25" t="s">
        <v>536</v>
      </c>
    </row>
    <row r="26" spans="1:10" x14ac:dyDescent="0.35">
      <c r="I26" t="s">
        <v>104</v>
      </c>
      <c r="J26" t="s">
        <v>1458</v>
      </c>
    </row>
    <row r="27" spans="1:10" x14ac:dyDescent="0.35">
      <c r="I27" s="38" t="s">
        <v>18</v>
      </c>
      <c r="J27" s="36" t="s">
        <v>1459</v>
      </c>
    </row>
    <row r="28" spans="1:10" x14ac:dyDescent="0.35">
      <c r="A28" s="33" t="s">
        <v>1505</v>
      </c>
      <c r="B28" t="s">
        <v>3</v>
      </c>
      <c r="C28" t="s">
        <v>43</v>
      </c>
      <c r="D28" t="s">
        <v>184</v>
      </c>
      <c r="E28" s="34" t="s">
        <v>145</v>
      </c>
      <c r="F28" s="33" t="s">
        <v>1497</v>
      </c>
      <c r="G28" s="33" t="s">
        <v>1498</v>
      </c>
      <c r="H28" t="s">
        <v>130</v>
      </c>
      <c r="I28" s="1" t="s">
        <v>162</v>
      </c>
      <c r="J28" s="3" t="s">
        <v>1499</v>
      </c>
    </row>
    <row r="29" spans="1:10" x14ac:dyDescent="0.35">
      <c r="E29" s="17"/>
      <c r="I29" t="s">
        <v>167</v>
      </c>
      <c r="J29" t="s">
        <v>1506</v>
      </c>
    </row>
    <row r="30" spans="1:10" x14ac:dyDescent="0.35">
      <c r="I30" t="s">
        <v>97</v>
      </c>
      <c r="J30" t="s">
        <v>1507</v>
      </c>
    </row>
    <row r="31" spans="1:10" x14ac:dyDescent="0.35">
      <c r="I31" t="s">
        <v>100</v>
      </c>
      <c r="J31" t="s">
        <v>1508</v>
      </c>
    </row>
    <row r="32" spans="1:10" x14ac:dyDescent="0.35">
      <c r="I32" t="s">
        <v>104</v>
      </c>
      <c r="J32" t="s">
        <v>1509</v>
      </c>
    </row>
    <row r="33" spans="1:10" x14ac:dyDescent="0.35">
      <c r="I33" s="38" t="s">
        <v>18</v>
      </c>
      <c r="J33" s="36" t="s">
        <v>1510</v>
      </c>
    </row>
    <row r="34" spans="1:10" x14ac:dyDescent="0.35">
      <c r="A34" s="33" t="s">
        <v>637</v>
      </c>
      <c r="B34" t="s">
        <v>3</v>
      </c>
      <c r="C34" t="s">
        <v>316</v>
      </c>
      <c r="D34" t="s">
        <v>41</v>
      </c>
      <c r="E34" s="34" t="s">
        <v>327</v>
      </c>
      <c r="F34" s="33" t="s">
        <v>162</v>
      </c>
      <c r="G34" s="33" t="s">
        <v>163</v>
      </c>
      <c r="H34" t="s">
        <v>73</v>
      </c>
      <c r="I34" s="1" t="s">
        <v>167</v>
      </c>
      <c r="J34" s="3" t="s">
        <v>164</v>
      </c>
    </row>
    <row r="35" spans="1:10" x14ac:dyDescent="0.35">
      <c r="B35" s="1" t="s">
        <v>315</v>
      </c>
      <c r="E35" s="54" t="s">
        <v>340</v>
      </c>
      <c r="I35" t="s">
        <v>97</v>
      </c>
      <c r="J35" t="s">
        <v>164</v>
      </c>
    </row>
    <row r="36" spans="1:10" x14ac:dyDescent="0.35">
      <c r="I36" t="s">
        <v>100</v>
      </c>
      <c r="J36" t="s">
        <v>542</v>
      </c>
    </row>
    <row r="37" spans="1:10" x14ac:dyDescent="0.35">
      <c r="I37" t="s">
        <v>104</v>
      </c>
      <c r="J37" t="s">
        <v>541</v>
      </c>
    </row>
    <row r="38" spans="1:10" x14ac:dyDescent="0.35">
      <c r="I38" s="38" t="s">
        <v>18</v>
      </c>
      <c r="J38" s="36" t="s">
        <v>637</v>
      </c>
    </row>
    <row r="39" spans="1:10" x14ac:dyDescent="0.35">
      <c r="A39" s="33" t="s">
        <v>160</v>
      </c>
      <c r="B39" t="s">
        <v>3</v>
      </c>
      <c r="C39" t="s">
        <v>43</v>
      </c>
      <c r="D39" t="s">
        <v>41</v>
      </c>
      <c r="E39" s="34" t="s">
        <v>161</v>
      </c>
      <c r="F39" s="33" t="s">
        <v>162</v>
      </c>
      <c r="G39" s="33" t="s">
        <v>163</v>
      </c>
      <c r="H39" t="s">
        <v>73</v>
      </c>
      <c r="I39" s="1" t="s">
        <v>167</v>
      </c>
      <c r="J39" s="3" t="s">
        <v>164</v>
      </c>
    </row>
    <row r="40" spans="1:10" x14ac:dyDescent="0.35">
      <c r="A40" s="33" t="s">
        <v>4305</v>
      </c>
      <c r="B40" s="1" t="s">
        <v>315</v>
      </c>
      <c r="E40" s="54" t="s">
        <v>161</v>
      </c>
      <c r="I40" t="s">
        <v>97</v>
      </c>
      <c r="J40" t="s">
        <v>164</v>
      </c>
    </row>
    <row r="41" spans="1:10" x14ac:dyDescent="0.35">
      <c r="I41" t="s">
        <v>100</v>
      </c>
      <c r="J41" t="s">
        <v>165</v>
      </c>
    </row>
    <row r="42" spans="1:10" x14ac:dyDescent="0.35">
      <c r="I42" t="s">
        <v>104</v>
      </c>
      <c r="J42" t="s">
        <v>166</v>
      </c>
    </row>
    <row r="43" spans="1:10" x14ac:dyDescent="0.35">
      <c r="I43" s="38" t="s">
        <v>18</v>
      </c>
      <c r="J43" s="36" t="s">
        <v>4305</v>
      </c>
    </row>
    <row r="44" spans="1:10" x14ac:dyDescent="0.35">
      <c r="A44" s="33" t="s">
        <v>1982</v>
      </c>
      <c r="B44" t="s">
        <v>3</v>
      </c>
      <c r="C44" t="s">
        <v>43</v>
      </c>
      <c r="D44" t="s">
        <v>41</v>
      </c>
      <c r="E44" s="54" t="s">
        <v>909</v>
      </c>
      <c r="F44" s="33" t="s">
        <v>162</v>
      </c>
      <c r="G44" s="33" t="s">
        <v>163</v>
      </c>
      <c r="H44" t="s">
        <v>73</v>
      </c>
      <c r="I44" s="1" t="s">
        <v>167</v>
      </c>
      <c r="J44" s="3" t="s">
        <v>164</v>
      </c>
    </row>
    <row r="45" spans="1:10" x14ac:dyDescent="0.35">
      <c r="E45" s="34" t="s">
        <v>44</v>
      </c>
      <c r="I45" t="s">
        <v>97</v>
      </c>
      <c r="J45" t="s">
        <v>1983</v>
      </c>
    </row>
    <row r="46" spans="1:10" x14ac:dyDescent="0.35">
      <c r="I46" t="s">
        <v>100</v>
      </c>
      <c r="J46" t="s">
        <v>1984</v>
      </c>
    </row>
    <row r="47" spans="1:10" x14ac:dyDescent="0.35">
      <c r="I47" t="s">
        <v>104</v>
      </c>
      <c r="J47" t="s">
        <v>1985</v>
      </c>
    </row>
    <row r="48" spans="1:10" x14ac:dyDescent="0.35">
      <c r="I48" s="38" t="s">
        <v>18</v>
      </c>
      <c r="J48" s="36" t="s">
        <v>1986</v>
      </c>
    </row>
    <row r="49" spans="1:10" x14ac:dyDescent="0.35">
      <c r="A49" s="33" t="s">
        <v>2755</v>
      </c>
      <c r="B49" t="s">
        <v>3</v>
      </c>
      <c r="C49" t="s">
        <v>43</v>
      </c>
      <c r="D49" t="s">
        <v>2760</v>
      </c>
      <c r="E49" s="34" t="s">
        <v>608</v>
      </c>
      <c r="F49" s="33" t="s">
        <v>1497</v>
      </c>
      <c r="G49" s="33" t="s">
        <v>1498</v>
      </c>
      <c r="H49" t="s">
        <v>130</v>
      </c>
      <c r="I49" s="1" t="s">
        <v>162</v>
      </c>
      <c r="J49" s="3" t="s">
        <v>1499</v>
      </c>
    </row>
    <row r="50" spans="1:10" x14ac:dyDescent="0.35">
      <c r="E50" s="17"/>
      <c r="I50" t="s">
        <v>167</v>
      </c>
      <c r="J50" t="s">
        <v>1506</v>
      </c>
    </row>
    <row r="51" spans="1:10" x14ac:dyDescent="0.35">
      <c r="I51" t="s">
        <v>97</v>
      </c>
      <c r="J51" t="s">
        <v>812</v>
      </c>
    </row>
    <row r="52" spans="1:10" x14ac:dyDescent="0.35">
      <c r="I52" t="s">
        <v>100</v>
      </c>
      <c r="J52" t="s">
        <v>2756</v>
      </c>
    </row>
    <row r="53" spans="1:10" x14ac:dyDescent="0.35">
      <c r="I53" t="s">
        <v>104</v>
      </c>
      <c r="J53" t="s">
        <v>2757</v>
      </c>
    </row>
    <row r="54" spans="1:10" x14ac:dyDescent="0.35">
      <c r="I54" s="38" t="s">
        <v>18</v>
      </c>
      <c r="J54" t="s">
        <v>2758</v>
      </c>
    </row>
    <row r="55" spans="1:10" x14ac:dyDescent="0.35">
      <c r="J55" s="36" t="s">
        <v>2759</v>
      </c>
    </row>
    <row r="56" spans="1:10" x14ac:dyDescent="0.35">
      <c r="A56" s="33" t="s">
        <v>3636</v>
      </c>
      <c r="B56" t="s">
        <v>3</v>
      </c>
      <c r="C56" t="s">
        <v>43</v>
      </c>
      <c r="D56" t="s">
        <v>3640</v>
      </c>
      <c r="E56" s="34" t="s">
        <v>189</v>
      </c>
      <c r="F56" s="33" t="s">
        <v>1497</v>
      </c>
      <c r="G56" s="33" t="s">
        <v>1498</v>
      </c>
      <c r="H56" t="s">
        <v>130</v>
      </c>
      <c r="I56" s="1" t="s">
        <v>162</v>
      </c>
      <c r="J56" s="3" t="s">
        <v>1499</v>
      </c>
    </row>
    <row r="57" spans="1:10" x14ac:dyDescent="0.35">
      <c r="E57" s="17"/>
      <c r="I57" t="s">
        <v>167</v>
      </c>
      <c r="J57" t="s">
        <v>1500</v>
      </c>
    </row>
    <row r="58" spans="1:10" x14ac:dyDescent="0.35">
      <c r="I58" t="s">
        <v>97</v>
      </c>
      <c r="J58" t="s">
        <v>3637</v>
      </c>
    </row>
    <row r="59" spans="1:10" x14ac:dyDescent="0.35">
      <c r="I59" t="s">
        <v>100</v>
      </c>
      <c r="J59" t="s">
        <v>3638</v>
      </c>
    </row>
    <row r="60" spans="1:10" x14ac:dyDescent="0.35">
      <c r="I60" t="s">
        <v>104</v>
      </c>
      <c r="J60" s="36" t="s">
        <v>3639</v>
      </c>
    </row>
    <row r="61" spans="1:10" x14ac:dyDescent="0.35">
      <c r="I61" s="38" t="s">
        <v>18</v>
      </c>
    </row>
    <row r="62" spans="1:10" x14ac:dyDescent="0.35">
      <c r="A62" s="33" t="s">
        <v>2152</v>
      </c>
      <c r="B62" t="s">
        <v>315</v>
      </c>
      <c r="C62" t="s">
        <v>316</v>
      </c>
      <c r="D62" t="s">
        <v>41</v>
      </c>
      <c r="E62" s="54" t="s">
        <v>189</v>
      </c>
      <c r="F62" s="33" t="s">
        <v>162</v>
      </c>
      <c r="G62" s="33" t="s">
        <v>163</v>
      </c>
      <c r="H62" t="s">
        <v>67</v>
      </c>
      <c r="I62" s="1" t="s">
        <v>167</v>
      </c>
      <c r="J62" s="3" t="s">
        <v>164</v>
      </c>
    </row>
    <row r="63" spans="1:10" x14ac:dyDescent="0.35">
      <c r="E63" s="34" t="s">
        <v>216</v>
      </c>
      <c r="I63" t="s">
        <v>97</v>
      </c>
      <c r="J63" t="s">
        <v>548</v>
      </c>
    </row>
    <row r="64" spans="1:10" x14ac:dyDescent="0.35">
      <c r="I64" t="s">
        <v>100</v>
      </c>
      <c r="J64" t="s">
        <v>2153</v>
      </c>
    </row>
    <row r="65" spans="1:10" x14ac:dyDescent="0.35">
      <c r="I65" t="s">
        <v>104</v>
      </c>
      <c r="J65" t="s">
        <v>2154</v>
      </c>
    </row>
    <row r="66" spans="1:10" x14ac:dyDescent="0.35">
      <c r="I66" s="38" t="s">
        <v>18</v>
      </c>
      <c r="J66" s="36" t="s">
        <v>2155</v>
      </c>
    </row>
    <row r="67" spans="1:10" x14ac:dyDescent="0.35">
      <c r="A67" s="33" t="s">
        <v>1496</v>
      </c>
      <c r="B67" t="s">
        <v>3</v>
      </c>
      <c r="C67" t="s">
        <v>43</v>
      </c>
      <c r="D67" t="s">
        <v>184</v>
      </c>
      <c r="E67" s="54" t="s">
        <v>189</v>
      </c>
      <c r="F67" s="33" t="s">
        <v>1497</v>
      </c>
      <c r="G67" s="33" t="s">
        <v>1498</v>
      </c>
      <c r="H67" t="s">
        <v>130</v>
      </c>
      <c r="I67" s="1" t="s">
        <v>162</v>
      </c>
      <c r="J67" s="3" t="s">
        <v>1499</v>
      </c>
    </row>
    <row r="68" spans="1:10" x14ac:dyDescent="0.35">
      <c r="E68" s="15"/>
      <c r="I68" t="s">
        <v>167</v>
      </c>
      <c r="J68" t="s">
        <v>1500</v>
      </c>
    </row>
    <row r="69" spans="1:10" x14ac:dyDescent="0.35">
      <c r="I69" t="s">
        <v>97</v>
      </c>
      <c r="J69" t="s">
        <v>1501</v>
      </c>
    </row>
    <row r="70" spans="1:10" x14ac:dyDescent="0.35">
      <c r="I70" t="s">
        <v>100</v>
      </c>
      <c r="J70" t="s">
        <v>1502</v>
      </c>
    </row>
    <row r="71" spans="1:10" x14ac:dyDescent="0.35">
      <c r="I71" t="s">
        <v>104</v>
      </c>
      <c r="J71" t="s">
        <v>1503</v>
      </c>
    </row>
    <row r="72" spans="1:10" x14ac:dyDescent="0.35">
      <c r="I72" s="38" t="s">
        <v>1249</v>
      </c>
      <c r="J72" s="36" t="s">
        <v>1504</v>
      </c>
    </row>
    <row r="73" spans="1:10" x14ac:dyDescent="0.35">
      <c r="A73" s="33" t="s">
        <v>3593</v>
      </c>
      <c r="B73" t="s">
        <v>3</v>
      </c>
      <c r="C73" t="s">
        <v>43</v>
      </c>
      <c r="D73" t="s">
        <v>64</v>
      </c>
      <c r="E73" s="54" t="s">
        <v>189</v>
      </c>
      <c r="F73" s="33" t="s">
        <v>1497</v>
      </c>
      <c r="G73" s="33" t="s">
        <v>1498</v>
      </c>
      <c r="H73" t="s">
        <v>130</v>
      </c>
      <c r="I73" s="1" t="s">
        <v>162</v>
      </c>
      <c r="J73" s="3" t="s">
        <v>1499</v>
      </c>
    </row>
    <row r="74" spans="1:10" x14ac:dyDescent="0.35">
      <c r="E74" s="15"/>
      <c r="I74" t="s">
        <v>167</v>
      </c>
      <c r="J74" t="s">
        <v>1500</v>
      </c>
    </row>
    <row r="75" spans="1:10" x14ac:dyDescent="0.35">
      <c r="I75" t="s">
        <v>97</v>
      </c>
      <c r="J75" t="s">
        <v>1501</v>
      </c>
    </row>
    <row r="76" spans="1:10" x14ac:dyDescent="0.35">
      <c r="I76" t="s">
        <v>100</v>
      </c>
      <c r="J76" t="s">
        <v>1502</v>
      </c>
    </row>
    <row r="77" spans="1:10" x14ac:dyDescent="0.35">
      <c r="I77" t="s">
        <v>104</v>
      </c>
      <c r="J77" t="s">
        <v>1503</v>
      </c>
    </row>
    <row r="78" spans="1:10" x14ac:dyDescent="0.35">
      <c r="I78" s="38" t="s">
        <v>1249</v>
      </c>
      <c r="J78" t="s">
        <v>1504</v>
      </c>
    </row>
    <row r="79" spans="1:10" x14ac:dyDescent="0.35">
      <c r="J79" s="36" t="s">
        <v>3594</v>
      </c>
    </row>
    <row r="80" spans="1:10" x14ac:dyDescent="0.35">
      <c r="A80" s="33" t="s">
        <v>321</v>
      </c>
      <c r="B80" t="s">
        <v>3</v>
      </c>
      <c r="C80" t="s">
        <v>43</v>
      </c>
      <c r="D80" t="s">
        <v>159</v>
      </c>
      <c r="E80" s="40" t="s">
        <v>65</v>
      </c>
      <c r="F80" s="33" t="s">
        <v>1497</v>
      </c>
      <c r="G80" s="33" t="s">
        <v>1498</v>
      </c>
      <c r="H80" t="s">
        <v>130</v>
      </c>
      <c r="I80" s="1" t="s">
        <v>162</v>
      </c>
      <c r="J80" s="3" t="s">
        <v>1499</v>
      </c>
    </row>
    <row r="81" spans="5:10" x14ac:dyDescent="0.35">
      <c r="E81" s="15"/>
      <c r="I81" t="s">
        <v>167</v>
      </c>
      <c r="J81" t="s">
        <v>1500</v>
      </c>
    </row>
    <row r="82" spans="5:10" x14ac:dyDescent="0.35">
      <c r="I82" t="s">
        <v>97</v>
      </c>
      <c r="J82" t="s">
        <v>4357</v>
      </c>
    </row>
    <row r="83" spans="5:10" x14ac:dyDescent="0.35">
      <c r="I83" t="s">
        <v>100</v>
      </c>
      <c r="J83" t="s">
        <v>4358</v>
      </c>
    </row>
    <row r="84" spans="5:10" x14ac:dyDescent="0.35">
      <c r="I84" t="s">
        <v>104</v>
      </c>
      <c r="J84" s="36" t="s">
        <v>4359</v>
      </c>
    </row>
    <row r="85" spans="5:10" x14ac:dyDescent="0.35">
      <c r="I85" s="38" t="s">
        <v>1249</v>
      </c>
    </row>
  </sheetData>
  <autoFilter ref="E1:E72" xr:uid="{00000000-0001-0000-1600-000000000000}"/>
  <hyperlinks>
    <hyperlink ref="A1" location="Summary!A1" tooltip="Return to Totals" display="Back to Totals" xr:uid="{35051553-8C2D-47F8-9D4C-D3C71DDD460E}"/>
    <hyperlink ref="I7" r:id="rId1" xr:uid="{B0F39F2D-3990-467C-9FE6-22C60F387DFD}"/>
    <hyperlink ref="I17" r:id="rId2" xr:uid="{C45813E0-DE52-4EFC-95AC-17156178AD79}"/>
    <hyperlink ref="I22" r:id="rId3" xr:uid="{122037E0-429D-4B14-B6B8-8CBD34BE6141}"/>
    <hyperlink ref="I27" r:id="rId4" xr:uid="{7CF9B139-EE37-480C-B5E2-8ECCDDDCF2A8}"/>
    <hyperlink ref="I33" r:id="rId5" xr:uid="{18DED68A-CD87-4BFC-8BBD-639040D34BEB}"/>
    <hyperlink ref="I38" r:id="rId6" xr:uid="{5792FFAC-4CF6-4AD8-8998-461D2C2996E3}"/>
    <hyperlink ref="I43" r:id="rId7" xr:uid="{99D6C376-B3DE-4A18-BD31-34ACD31F8ADE}"/>
    <hyperlink ref="I48" r:id="rId8" xr:uid="{E5086171-F6A1-45C5-9710-BFFF396FF943}"/>
    <hyperlink ref="I54" r:id="rId9" xr:uid="{9E5416D0-0649-4C8F-9D55-C64AE9AA082D}"/>
    <hyperlink ref="I66" r:id="rId10" xr:uid="{5A360E66-E0F5-4ADB-AC21-991E30D13540}"/>
    <hyperlink ref="I72" r:id="rId11" xr:uid="{646A77D5-0137-4883-81F7-907D33173E7F}"/>
    <hyperlink ref="F3" r:id="rId12" xr:uid="{C31C7B93-A08A-476C-8272-2942B16FAC0B}"/>
    <hyperlink ref="F13" r:id="rId13" xr:uid="{D6723A50-67C5-48A9-B38B-515280BF5D22}"/>
    <hyperlink ref="F18" r:id="rId14" xr:uid="{7555C06E-6974-47E7-8C6E-1EA2821F36EB}"/>
    <hyperlink ref="F23" r:id="rId15" xr:uid="{A9870B7E-50E9-49DE-814E-8403F7AF18C0}"/>
    <hyperlink ref="F34" r:id="rId16" xr:uid="{3CB45B3E-569C-4E93-A008-1248DC5FB437}"/>
    <hyperlink ref="F39" r:id="rId17" xr:uid="{18C223EA-F7C8-44FB-91B3-E8F7F6DA4F94}"/>
    <hyperlink ref="F44" r:id="rId18" xr:uid="{7CD86F81-F1D7-4CF4-9D6C-F272650E4DD1}"/>
    <hyperlink ref="F62" r:id="rId19" xr:uid="{347DA4E9-2B89-4DD0-AA3C-48C4DFA5DDAB}"/>
    <hyperlink ref="G3" r:id="rId20" xr:uid="{BFBCCDEA-59CC-4D0C-951F-8E24A47A2D82}"/>
    <hyperlink ref="G13" r:id="rId21" xr:uid="{83FFAE2E-63BC-440D-B342-A7B61EF25A7F}"/>
    <hyperlink ref="G18" r:id="rId22" xr:uid="{CAE8FE4E-0537-490C-AEC7-7CA3B6251ACF}"/>
    <hyperlink ref="G23" r:id="rId23" xr:uid="{022CF789-D3A4-4CB4-BF26-B4B24A199552}"/>
    <hyperlink ref="G34" r:id="rId24" xr:uid="{5D9D53F7-8296-44FF-80ED-BA8CEDE71E61}"/>
    <hyperlink ref="G39" r:id="rId25" xr:uid="{598433AA-801C-49C4-91A9-13104A96DD59}"/>
    <hyperlink ref="G44" r:id="rId26" xr:uid="{BB9E173E-5C81-453A-9282-948934E8A5FE}"/>
    <hyperlink ref="G62" r:id="rId27" xr:uid="{1C08DC0A-127A-4AE9-B574-D91A5E026707}"/>
    <hyperlink ref="F28" r:id="rId28" xr:uid="{1AB181D2-5883-4D75-BCCD-FF2716B116D6}"/>
    <hyperlink ref="F49" r:id="rId29" xr:uid="{9FBAB309-E92D-4150-B7CB-D0D6FD25687E}"/>
    <hyperlink ref="F67" r:id="rId30" xr:uid="{C2655821-2F01-43DB-8E83-8D3A4D816DF0}"/>
    <hyperlink ref="G28" r:id="rId31" xr:uid="{F5C604B1-23AE-4EA0-8DE4-9763AD9FD161}"/>
    <hyperlink ref="G49" r:id="rId32" xr:uid="{461DBF40-653E-4BE9-9562-4410F4E37210}"/>
    <hyperlink ref="G67" r:id="rId33" xr:uid="{A39BA7A6-7B7F-4D55-843A-D1D708AA2A52}"/>
    <hyperlink ref="J7" r:id="rId34" xr:uid="{A711DD9C-4B69-4E75-B3BF-7B8385308279}"/>
    <hyperlink ref="J17" r:id="rId35" xr:uid="{4BEFBA8E-3706-40D0-8D5B-8883FD89AECA}"/>
    <hyperlink ref="J27" r:id="rId36" xr:uid="{6D82ECD1-960F-4E6B-BE99-D906F651873D}"/>
    <hyperlink ref="A23" r:id="rId37" xr:uid="{B4722665-5702-45FE-A45F-81EA523A9C91}"/>
    <hyperlink ref="J33" r:id="rId38" xr:uid="{3242B0BF-021F-48D0-8F94-EB12A52851E1}"/>
    <hyperlink ref="J38" r:id="rId39" xr:uid="{7F4CF979-FACC-4E07-82CE-81946FAA10A9}"/>
    <hyperlink ref="A34" r:id="rId40" xr:uid="{CA8DBCD6-8BEC-4568-9247-F51A4CACD782}"/>
    <hyperlink ref="J43" r:id="rId41" display="Female Sutherland" xr:uid="{F48C7E86-1280-4EA3-90F2-6A8B1076A2C7}"/>
    <hyperlink ref="J48" r:id="rId42" xr:uid="{4C1D2280-CEBE-4DCE-999D-C6E9444336EC}"/>
    <hyperlink ref="J66" r:id="rId43" xr:uid="{BFA95973-C6CC-40BB-9C3E-D20C8FF23E50}"/>
    <hyperlink ref="J55" r:id="rId44" xr:uid="{4314C0AC-1B89-4409-94AF-6192B2E93706}"/>
    <hyperlink ref="J72" r:id="rId45" xr:uid="{11C37D37-0CEA-4E52-B239-3284C104E3AA}"/>
    <hyperlink ref="A49" r:id="rId46" xr:uid="{DAFB6AD0-C2BC-4F7B-BF08-99FD61F04D8E}"/>
    <hyperlink ref="A3" r:id="rId47" xr:uid="{FB7A5E96-6123-4220-9FCE-AD31A25ED3C6}"/>
    <hyperlink ref="A13" r:id="rId48" xr:uid="{D170324D-E42B-4A7A-9FD2-B159B74CD91D}"/>
    <hyperlink ref="A18" r:id="rId49" xr:uid="{32713AD8-6C0F-448A-96AE-4FCFDC88AADE}"/>
    <hyperlink ref="A28" r:id="rId50" xr:uid="{76313769-DE35-4E60-9A51-D031558692F4}"/>
    <hyperlink ref="A39" r:id="rId51" xr:uid="{CCC27322-0FFA-48D1-B50E-08E999A6CF69}"/>
    <hyperlink ref="A44" r:id="rId52" xr:uid="{FA2EA2A5-282E-4033-B77D-16C71443F2D1}"/>
    <hyperlink ref="A62" r:id="rId53" xr:uid="{D7666D74-90B9-4189-90AC-4331CFEFE1D0}"/>
    <hyperlink ref="A67" r:id="rId54" xr:uid="{068774ED-AEB6-44E2-9F1E-A33BD19EA0A0}"/>
    <hyperlink ref="E67" r:id="rId55" xr:uid="{B6FFD780-3341-45B9-AC4A-ABEDA62D8415}"/>
    <hyperlink ref="E62" r:id="rId56" xr:uid="{D2C76A9B-84CE-4F87-9D07-9000BBC78A77}"/>
    <hyperlink ref="E63" r:id="rId57" xr:uid="{2831ED39-297F-4431-A967-2436C040EC20}"/>
    <hyperlink ref="E49" r:id="rId58" xr:uid="{4EF89013-2B14-4BB7-9671-E13BAFF78FCA}"/>
    <hyperlink ref="E45" r:id="rId59" xr:uid="{6461A3F9-3FBB-4392-AD8E-0C93C524B8F7}"/>
    <hyperlink ref="E44" r:id="rId60" xr:uid="{6116A93F-FDFE-4678-A085-3BB9BD19CBF7}"/>
    <hyperlink ref="E40" r:id="rId61" xr:uid="{22D473BE-8FF9-431F-8530-D1A5C1366F9C}"/>
    <hyperlink ref="E39" r:id="rId62" xr:uid="{FFDD671B-F7E8-4777-999F-E54D3B2BDB76}"/>
    <hyperlink ref="E24" r:id="rId63" xr:uid="{B0C95A1D-2640-4E80-B226-669790E3D0C6}"/>
    <hyperlink ref="E35" r:id="rId64" xr:uid="{333E3F5F-DEB4-4594-931D-45F871A05685}"/>
    <hyperlink ref="E34" r:id="rId65" xr:uid="{FE86BE0C-F91E-490F-BF4C-1336D68D64A2}"/>
    <hyperlink ref="E28" r:id="rId66" xr:uid="{95E16F7C-0CE8-44E0-B7FA-6E130DC689EC}"/>
    <hyperlink ref="E23" r:id="rId67" xr:uid="{D6AE061C-813D-48EB-A39D-E88712289AD2}"/>
    <hyperlink ref="E19" r:id="rId68" xr:uid="{FA9C2846-74CA-4B62-A438-171C97BDDA8E}"/>
    <hyperlink ref="E18" r:id="rId69" xr:uid="{94AC93BC-6739-4382-A140-5E46BCB5DE6C}"/>
    <hyperlink ref="E14" r:id="rId70" xr:uid="{21833E2E-70AB-4FF1-844F-549A908F631B}"/>
    <hyperlink ref="E13" r:id="rId71" xr:uid="{7915552D-5EB8-4BA2-817C-B58B07913B2D}"/>
    <hyperlink ref="E4" r:id="rId72" xr:uid="{B85BDD19-6222-47F7-93F3-9C9049B469F7}"/>
    <hyperlink ref="E3" r:id="rId73" xr:uid="{AC1E127B-51C3-4D78-8736-4FD68F27B7D0}"/>
    <hyperlink ref="I12" r:id="rId74" xr:uid="{129F8F9A-F353-40F7-AE01-9E8D6EA6B085}"/>
    <hyperlink ref="F8" r:id="rId75" xr:uid="{5D4AB045-82C4-4ACA-B066-9DE71C63AFC9}"/>
    <hyperlink ref="G8" r:id="rId76" xr:uid="{C2A89474-BEC4-4920-B0A2-8B0D4A7134D9}"/>
    <hyperlink ref="J12" r:id="rId77" xr:uid="{66800815-004F-45DC-9D77-52191DAE4D5A}"/>
    <hyperlink ref="A8" r:id="rId78" xr:uid="{F604EF9C-905D-491A-A1F4-D51F274237A8}"/>
    <hyperlink ref="E9" r:id="rId79" xr:uid="{CCAB24D4-6A28-4371-8138-21A9332CD5FE}"/>
    <hyperlink ref="E8" r:id="rId80" display="75cM" xr:uid="{50E99B03-1F20-4CA5-AB22-068C4362DCD9}"/>
    <hyperlink ref="I78" r:id="rId81" xr:uid="{D64F0525-1C19-4299-9189-2A6163A32FDD}"/>
    <hyperlink ref="F73" r:id="rId82" xr:uid="{EC147350-0445-4A96-9492-5116E3DF9AA4}"/>
    <hyperlink ref="G73" r:id="rId83" xr:uid="{EF32BE3C-1C98-47A3-8E77-91887330E5CF}"/>
    <hyperlink ref="A73" r:id="rId84" xr:uid="{9EC5001B-6A9E-42DA-936D-53051196B508}"/>
    <hyperlink ref="E73" r:id="rId85" xr:uid="{C26AECE7-C0B9-4EA6-B82A-A7AA1B1B16DD}"/>
    <hyperlink ref="J79" r:id="rId86" xr:uid="{83C3C921-8954-444A-ADFD-D070902A8C4C}"/>
    <hyperlink ref="I61" r:id="rId87" xr:uid="{E152DA03-B0F7-4A11-8B80-B1BD6FE89B92}"/>
    <hyperlink ref="F56" r:id="rId88" xr:uid="{13F7B685-D75B-41EF-9247-699383E9250B}"/>
    <hyperlink ref="G56" r:id="rId89" xr:uid="{1B698087-98FC-403C-9EDD-72587AAE309E}"/>
    <hyperlink ref="A56" r:id="rId90" xr:uid="{F59942B6-5790-4400-B58A-2E5983A59F56}"/>
    <hyperlink ref="E56" r:id="rId91" xr:uid="{905324A4-B2EC-4BD7-B107-AE03CFFB3801}"/>
    <hyperlink ref="J60" r:id="rId92" xr:uid="{6B851BB1-E386-41C2-AA8C-FE531ABD101B}"/>
    <hyperlink ref="A40" r:id="rId93" xr:uid="{9FF1CE28-4C1C-411C-8FE4-02B225B0B915}"/>
    <hyperlink ref="F80" r:id="rId94" xr:uid="{6FBFB37A-03A7-4404-8F22-6A05A7DBC37E}"/>
    <hyperlink ref="G80" r:id="rId95" xr:uid="{ECE3C1BC-9F26-4E88-9567-10BE6629B91C}"/>
    <hyperlink ref="A80" r:id="rId96" xr:uid="{D8F5A773-1311-4D5F-9703-A89C051C0551}"/>
    <hyperlink ref="E80" r:id="rId97" xr:uid="{30061FCF-34EC-4D80-A8A1-BDC5AB28A65B}"/>
    <hyperlink ref="J84" r:id="rId98" xr:uid="{DBE6160C-EA09-40B8-B430-BFCB4E820E5C}"/>
    <hyperlink ref="I85" r:id="rId99" xr:uid="{341F4F24-44E3-42A5-A2C6-6716AC8B102F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34">
    <tabColor theme="0" tint="-0.499984740745262"/>
  </sheetPr>
  <dimension ref="A1:J30"/>
  <sheetViews>
    <sheetView workbookViewId="0"/>
  </sheetViews>
  <sheetFormatPr defaultRowHeight="14.5" x14ac:dyDescent="0.35"/>
  <cols>
    <col min="1" max="1" width="23.36328125" customWidth="1"/>
    <col min="2" max="2" width="9.7265625" customWidth="1"/>
    <col min="3" max="3" width="16.90625" customWidth="1"/>
    <col min="4" max="4" width="23.6328125" customWidth="1"/>
    <col min="5" max="5" width="7.1796875" customWidth="1"/>
    <col min="6" max="6" width="12.6328125" customWidth="1"/>
    <col min="7" max="7" width="16.36328125" customWidth="1"/>
    <col min="8" max="8" width="17.6328125" customWidth="1"/>
    <col min="9" max="9" width="22.7265625" customWidth="1"/>
    <col min="10" max="10" width="21.36328125" customWidth="1"/>
  </cols>
  <sheetData>
    <row r="1" spans="1:10" x14ac:dyDescent="0.35">
      <c r="A1" s="34" t="s">
        <v>3196</v>
      </c>
      <c r="B1" s="16">
        <f>COUNTIF(I2:I1081,C1)+COUNTIF(I2:I1081,D1)</f>
        <v>4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3371</v>
      </c>
      <c r="B3" t="s">
        <v>3</v>
      </c>
      <c r="C3" t="s">
        <v>43</v>
      </c>
      <c r="D3" t="s">
        <v>282</v>
      </c>
      <c r="E3" s="34" t="s">
        <v>189</v>
      </c>
      <c r="F3" s="33" t="s">
        <v>425</v>
      </c>
      <c r="G3" s="33" t="s">
        <v>426</v>
      </c>
      <c r="H3" t="s">
        <v>54</v>
      </c>
      <c r="I3" s="1" t="s">
        <v>365</v>
      </c>
      <c r="J3" s="3" t="s">
        <v>424</v>
      </c>
    </row>
    <row r="4" spans="1:10" x14ac:dyDescent="0.35">
      <c r="E4" s="17"/>
      <c r="I4" t="s">
        <v>366</v>
      </c>
      <c r="J4" t="s">
        <v>423</v>
      </c>
    </row>
    <row r="5" spans="1:10" x14ac:dyDescent="0.35">
      <c r="I5" t="s">
        <v>345</v>
      </c>
      <c r="J5" t="s">
        <v>3372</v>
      </c>
    </row>
    <row r="6" spans="1:10" x14ac:dyDescent="0.35">
      <c r="I6" t="s">
        <v>346</v>
      </c>
      <c r="J6" t="s">
        <v>3373</v>
      </c>
    </row>
    <row r="7" spans="1:10" x14ac:dyDescent="0.35">
      <c r="I7" t="s">
        <v>1555</v>
      </c>
      <c r="J7" s="36" t="s">
        <v>3374</v>
      </c>
    </row>
    <row r="8" spans="1:10" x14ac:dyDescent="0.35">
      <c r="I8" t="s">
        <v>104</v>
      </c>
    </row>
    <row r="9" spans="1:10" x14ac:dyDescent="0.35">
      <c r="I9" s="38" t="s">
        <v>18</v>
      </c>
    </row>
    <row r="10" spans="1:10" x14ac:dyDescent="0.35">
      <c r="A10" s="33" t="s">
        <v>420</v>
      </c>
      <c r="B10" t="s">
        <v>3</v>
      </c>
      <c r="C10" t="s">
        <v>43</v>
      </c>
      <c r="D10" t="s">
        <v>429</v>
      </c>
      <c r="E10" s="34" t="s">
        <v>216</v>
      </c>
      <c r="F10" s="33" t="s">
        <v>425</v>
      </c>
      <c r="G10" s="33" t="s">
        <v>426</v>
      </c>
      <c r="H10" t="s">
        <v>54</v>
      </c>
      <c r="I10" s="1" t="s">
        <v>365</v>
      </c>
      <c r="J10" s="3" t="s">
        <v>424</v>
      </c>
    </row>
    <row r="11" spans="1:10" x14ac:dyDescent="0.35">
      <c r="E11" s="17"/>
      <c r="I11" t="s">
        <v>366</v>
      </c>
      <c r="J11" t="s">
        <v>423</v>
      </c>
    </row>
    <row r="12" spans="1:10" x14ac:dyDescent="0.35">
      <c r="I12" t="s">
        <v>345</v>
      </c>
      <c r="J12" t="s">
        <v>422</v>
      </c>
    </row>
    <row r="13" spans="1:10" x14ac:dyDescent="0.35">
      <c r="I13" t="s">
        <v>346</v>
      </c>
      <c r="J13" t="s">
        <v>421</v>
      </c>
    </row>
    <row r="14" spans="1:10" x14ac:dyDescent="0.35">
      <c r="I14" t="s">
        <v>1555</v>
      </c>
      <c r="J14" t="s">
        <v>428</v>
      </c>
    </row>
    <row r="15" spans="1:10" x14ac:dyDescent="0.35">
      <c r="I15" t="s">
        <v>104</v>
      </c>
      <c r="J15" s="36" t="s">
        <v>427</v>
      </c>
    </row>
    <row r="16" spans="1:10" x14ac:dyDescent="0.35">
      <c r="I16" s="38" t="s">
        <v>18</v>
      </c>
    </row>
    <row r="17" spans="1:10" x14ac:dyDescent="0.35">
      <c r="A17" s="33" t="s">
        <v>3908</v>
      </c>
      <c r="B17" t="s">
        <v>3</v>
      </c>
      <c r="C17" t="s">
        <v>43</v>
      </c>
      <c r="D17" t="s">
        <v>1346</v>
      </c>
      <c r="E17" s="34" t="s">
        <v>216</v>
      </c>
      <c r="F17" s="33" t="s">
        <v>425</v>
      </c>
      <c r="G17" s="33" t="s">
        <v>426</v>
      </c>
      <c r="H17" t="s">
        <v>54</v>
      </c>
      <c r="I17" s="1" t="s">
        <v>365</v>
      </c>
      <c r="J17" s="3" t="s">
        <v>424</v>
      </c>
    </row>
    <row r="18" spans="1:10" x14ac:dyDescent="0.35">
      <c r="E18" s="17"/>
      <c r="I18" t="s">
        <v>366</v>
      </c>
      <c r="J18" t="s">
        <v>423</v>
      </c>
    </row>
    <row r="19" spans="1:10" x14ac:dyDescent="0.35">
      <c r="I19" t="s">
        <v>345</v>
      </c>
      <c r="J19" t="s">
        <v>422</v>
      </c>
    </row>
    <row r="20" spans="1:10" x14ac:dyDescent="0.35">
      <c r="I20" t="s">
        <v>346</v>
      </c>
      <c r="J20" t="s">
        <v>421</v>
      </c>
    </row>
    <row r="21" spans="1:10" x14ac:dyDescent="0.35">
      <c r="I21" t="s">
        <v>1555</v>
      </c>
      <c r="J21" t="s">
        <v>2981</v>
      </c>
    </row>
    <row r="22" spans="1:10" x14ac:dyDescent="0.35">
      <c r="I22" t="s">
        <v>104</v>
      </c>
      <c r="J22" t="s">
        <v>428</v>
      </c>
    </row>
    <row r="23" spans="1:10" x14ac:dyDescent="0.35">
      <c r="I23" s="38" t="s">
        <v>18</v>
      </c>
      <c r="J23" s="36" t="s">
        <v>3909</v>
      </c>
    </row>
    <row r="24" spans="1:10" x14ac:dyDescent="0.35">
      <c r="A24" s="33" t="s">
        <v>430</v>
      </c>
      <c r="B24" t="s">
        <v>3</v>
      </c>
      <c r="C24" t="s">
        <v>43</v>
      </c>
      <c r="D24" t="s">
        <v>414</v>
      </c>
      <c r="E24" s="34" t="s">
        <v>216</v>
      </c>
      <c r="F24" s="33" t="s">
        <v>425</v>
      </c>
      <c r="G24" s="33" t="s">
        <v>426</v>
      </c>
      <c r="H24" t="s">
        <v>54</v>
      </c>
      <c r="I24" s="1" t="s">
        <v>365</v>
      </c>
      <c r="J24" s="3" t="s">
        <v>424</v>
      </c>
    </row>
    <row r="25" spans="1:10" x14ac:dyDescent="0.35">
      <c r="E25" s="17"/>
      <c r="I25" t="s">
        <v>366</v>
      </c>
      <c r="J25" t="s">
        <v>423</v>
      </c>
    </row>
    <row r="26" spans="1:10" x14ac:dyDescent="0.35">
      <c r="I26" t="s">
        <v>345</v>
      </c>
      <c r="J26" t="s">
        <v>422</v>
      </c>
    </row>
    <row r="27" spans="1:10" x14ac:dyDescent="0.35">
      <c r="I27" t="s">
        <v>346</v>
      </c>
      <c r="J27" t="s">
        <v>421</v>
      </c>
    </row>
    <row r="28" spans="1:10" x14ac:dyDescent="0.35">
      <c r="I28" t="s">
        <v>1555</v>
      </c>
      <c r="J28" t="s">
        <v>2981</v>
      </c>
    </row>
    <row r="29" spans="1:10" x14ac:dyDescent="0.35">
      <c r="I29" t="s">
        <v>104</v>
      </c>
      <c r="J29" s="36" t="s">
        <v>428</v>
      </c>
    </row>
    <row r="30" spans="1:10" x14ac:dyDescent="0.35">
      <c r="I30" s="38" t="s">
        <v>18</v>
      </c>
    </row>
  </sheetData>
  <hyperlinks>
    <hyperlink ref="A1" location="Summary!A1" tooltip="Return to Totals" display="Back to Totals" xr:uid="{1F296066-1905-4020-9FCE-C14E4C03D1A1}"/>
    <hyperlink ref="I16" r:id="rId1" xr:uid="{E6E76F01-8108-4526-A3C0-2711329C1B77}"/>
    <hyperlink ref="I30" r:id="rId2" xr:uid="{5C100712-EB0E-4463-9A6E-BB8487769FCC}"/>
    <hyperlink ref="F10" r:id="rId3" xr:uid="{B3CF26FB-C4E3-4CF7-8EF9-4BE4231096AC}"/>
    <hyperlink ref="F24" r:id="rId4" xr:uid="{62A97683-D115-4B41-9952-DF13F9BD039B}"/>
    <hyperlink ref="G10" r:id="rId5" xr:uid="{66B2E610-530B-4648-9333-89BF139CEB02}"/>
    <hyperlink ref="G24" r:id="rId6" xr:uid="{C1F3688D-8196-452A-9974-33808792E76C}"/>
    <hyperlink ref="J15" r:id="rId7" xr:uid="{AD776A0A-DEAA-43B7-959D-EF4E3381CD53}"/>
    <hyperlink ref="A10" r:id="rId8" xr:uid="{32A5EA5A-3519-4868-BF3B-8F39D96C71C5}"/>
    <hyperlink ref="A24" r:id="rId9" xr:uid="{07D41D1E-6EF5-4941-9973-03CF98D56DB8}"/>
    <hyperlink ref="J29" r:id="rId10" xr:uid="{93348EE0-AEB6-4F93-BD0B-55C32408F480}"/>
    <hyperlink ref="E24" r:id="rId11" xr:uid="{B20E92E9-52A5-437C-B9E1-135A287A781F}"/>
    <hyperlink ref="E10" r:id="rId12" xr:uid="{3C1201C0-E958-49C8-B5E4-3792AF61E788}"/>
    <hyperlink ref="I9" r:id="rId13" xr:uid="{4D5AD8AC-5275-46FF-A0DF-EE784C4282C6}"/>
    <hyperlink ref="F3" r:id="rId14" xr:uid="{E4372FBB-635E-450D-A911-380960751421}"/>
    <hyperlink ref="G3" r:id="rId15" xr:uid="{D1058B39-8443-467F-941D-3825040D0CE0}"/>
    <hyperlink ref="A3" r:id="rId16" xr:uid="{ABC9CC12-96F5-4BC7-ABFF-F9633C38523A}"/>
    <hyperlink ref="E3" r:id="rId17" display="10cM" xr:uid="{684EEC80-7462-4A8E-94EA-73EDC8B2B1D5}"/>
    <hyperlink ref="J7" r:id="rId18" xr:uid="{F4EEC4FD-4BDB-4799-BB2C-61B80B536D6E}"/>
    <hyperlink ref="I23" r:id="rId19" xr:uid="{9F06E260-11D5-470B-B475-2D94EB6C02E1}"/>
    <hyperlink ref="F17" r:id="rId20" xr:uid="{ADB70770-F878-40B7-B5E2-0053CE58BD13}"/>
    <hyperlink ref="G17" r:id="rId21" xr:uid="{4A71BF00-0CA5-4CAF-A312-DAB092D78601}"/>
    <hyperlink ref="A17" r:id="rId22" xr:uid="{2D9E64BE-521F-4EC4-BCB0-AC7D3F2C33BA}"/>
    <hyperlink ref="E17" r:id="rId23" xr:uid="{8D71AEDE-8E71-4B66-A5B8-48D5821ACC71}"/>
    <hyperlink ref="J23" r:id="rId24" xr:uid="{2DDBEC5A-DCBF-49E6-9596-760B20A65B53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35">
    <tabColor theme="9"/>
  </sheetPr>
  <dimension ref="A1:J87"/>
  <sheetViews>
    <sheetView workbookViewId="0"/>
  </sheetViews>
  <sheetFormatPr defaultRowHeight="14.5" x14ac:dyDescent="0.35"/>
  <cols>
    <col min="1" max="1" width="20.1796875" customWidth="1"/>
    <col min="2" max="2" width="14.90625" customWidth="1"/>
    <col min="3" max="3" width="21.26953125" customWidth="1"/>
    <col min="4" max="4" width="12.26953125" customWidth="1"/>
    <col min="5" max="5" width="13.1796875" customWidth="1"/>
    <col min="6" max="6" width="11.81640625" customWidth="1"/>
    <col min="7" max="7" width="15.453125" customWidth="1"/>
    <col min="8" max="8" width="14.90625" customWidth="1"/>
    <col min="9" max="9" width="25.453125" customWidth="1"/>
    <col min="10" max="10" width="24.1796875" customWidth="1"/>
  </cols>
  <sheetData>
    <row r="1" spans="1:10" x14ac:dyDescent="0.35">
      <c r="A1" s="34" t="s">
        <v>3196</v>
      </c>
      <c r="B1" s="16">
        <f>COUNTIF(I2:I1079,C1)+COUNTIF(I2:I1079,D1)</f>
        <v>13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4372</v>
      </c>
      <c r="B3" t="s">
        <v>3</v>
      </c>
      <c r="C3" t="s">
        <v>1965</v>
      </c>
      <c r="D3" t="s">
        <v>184</v>
      </c>
      <c r="E3" s="34" t="s">
        <v>1232</v>
      </c>
      <c r="F3" s="33" t="s">
        <v>1959</v>
      </c>
      <c r="G3" s="33" t="s">
        <v>1960</v>
      </c>
      <c r="H3" t="s">
        <v>130</v>
      </c>
      <c r="I3" s="1" t="s">
        <v>34</v>
      </c>
      <c r="J3" s="3" t="s">
        <v>4373</v>
      </c>
    </row>
    <row r="4" spans="1:10" x14ac:dyDescent="0.35">
      <c r="E4" s="17"/>
      <c r="I4" t="s">
        <v>35</v>
      </c>
      <c r="J4" t="s">
        <v>4374</v>
      </c>
    </row>
    <row r="5" spans="1:10" x14ac:dyDescent="0.35">
      <c r="I5" t="s">
        <v>36</v>
      </c>
      <c r="J5" t="s">
        <v>4375</v>
      </c>
    </row>
    <row r="6" spans="1:10" x14ac:dyDescent="0.35">
      <c r="I6" t="s">
        <v>16</v>
      </c>
      <c r="J6" t="s">
        <v>4376</v>
      </c>
    </row>
    <row r="7" spans="1:10" x14ac:dyDescent="0.35">
      <c r="I7" t="s">
        <v>17</v>
      </c>
      <c r="J7" t="s">
        <v>4377</v>
      </c>
    </row>
    <row r="8" spans="1:10" x14ac:dyDescent="0.35">
      <c r="I8" s="38" t="s">
        <v>18</v>
      </c>
      <c r="J8" s="36" t="s">
        <v>4378</v>
      </c>
    </row>
    <row r="9" spans="1:10" x14ac:dyDescent="0.35">
      <c r="A9" s="33" t="s">
        <v>4228</v>
      </c>
      <c r="B9" s="1" t="s">
        <v>315</v>
      </c>
      <c r="C9" t="s">
        <v>1965</v>
      </c>
      <c r="D9" t="s">
        <v>184</v>
      </c>
      <c r="E9" s="34" t="s">
        <v>1371</v>
      </c>
      <c r="F9" s="33" t="s">
        <v>1959</v>
      </c>
      <c r="G9" s="33" t="s">
        <v>1960</v>
      </c>
      <c r="H9" t="s">
        <v>130</v>
      </c>
      <c r="I9" s="1" t="s">
        <v>34</v>
      </c>
      <c r="J9" s="3" t="s">
        <v>512</v>
      </c>
    </row>
    <row r="10" spans="1:10" x14ac:dyDescent="0.35">
      <c r="E10" s="17"/>
      <c r="I10" t="s">
        <v>35</v>
      </c>
      <c r="J10" t="s">
        <v>513</v>
      </c>
    </row>
    <row r="11" spans="1:10" x14ac:dyDescent="0.35">
      <c r="I11" t="s">
        <v>36</v>
      </c>
      <c r="J11" t="s">
        <v>514</v>
      </c>
    </row>
    <row r="12" spans="1:10" x14ac:dyDescent="0.35">
      <c r="I12" t="s">
        <v>16</v>
      </c>
      <c r="J12" t="s">
        <v>515</v>
      </c>
    </row>
    <row r="13" spans="1:10" x14ac:dyDescent="0.35">
      <c r="I13" t="s">
        <v>17</v>
      </c>
      <c r="J13" t="s">
        <v>4226</v>
      </c>
    </row>
    <row r="14" spans="1:10" x14ac:dyDescent="0.35">
      <c r="I14" s="38" t="s">
        <v>18</v>
      </c>
      <c r="J14" s="36" t="s">
        <v>4227</v>
      </c>
    </row>
    <row r="15" spans="1:10" x14ac:dyDescent="0.35">
      <c r="A15" s="33" t="s">
        <v>1958</v>
      </c>
      <c r="B15" s="1" t="s">
        <v>315</v>
      </c>
      <c r="C15" t="s">
        <v>1965</v>
      </c>
      <c r="D15" t="s">
        <v>184</v>
      </c>
      <c r="E15" s="34" t="s">
        <v>169</v>
      </c>
      <c r="F15" s="33" t="s">
        <v>1959</v>
      </c>
      <c r="G15" s="33" t="s">
        <v>1960</v>
      </c>
      <c r="H15" t="s">
        <v>130</v>
      </c>
      <c r="I15" s="1" t="s">
        <v>34</v>
      </c>
      <c r="J15" s="3" t="s">
        <v>512</v>
      </c>
    </row>
    <row r="16" spans="1:10" x14ac:dyDescent="0.35">
      <c r="E16" s="17"/>
      <c r="I16" t="s">
        <v>35</v>
      </c>
      <c r="J16" t="s">
        <v>1961</v>
      </c>
    </row>
    <row r="17" spans="1:10" x14ac:dyDescent="0.35">
      <c r="I17" t="s">
        <v>36</v>
      </c>
      <c r="J17" t="s">
        <v>1962</v>
      </c>
    </row>
    <row r="18" spans="1:10" x14ac:dyDescent="0.35">
      <c r="I18" t="s">
        <v>16</v>
      </c>
      <c r="J18" t="s">
        <v>1963</v>
      </c>
    </row>
    <row r="19" spans="1:10" x14ac:dyDescent="0.35">
      <c r="I19" t="s">
        <v>17</v>
      </c>
      <c r="J19" t="s">
        <v>1964</v>
      </c>
    </row>
    <row r="20" spans="1:10" x14ac:dyDescent="0.35">
      <c r="I20" s="38" t="s">
        <v>18</v>
      </c>
      <c r="J20" s="36" t="s">
        <v>1958</v>
      </c>
    </row>
    <row r="21" spans="1:10" x14ac:dyDescent="0.35">
      <c r="A21" s="33" t="s">
        <v>1966</v>
      </c>
      <c r="B21" s="1" t="s">
        <v>315</v>
      </c>
      <c r="C21" t="s">
        <v>1965</v>
      </c>
      <c r="D21" t="s">
        <v>64</v>
      </c>
      <c r="E21" s="34" t="s">
        <v>169</v>
      </c>
      <c r="F21" s="33" t="s">
        <v>1959</v>
      </c>
      <c r="G21" s="33" t="s">
        <v>1960</v>
      </c>
      <c r="H21" t="s">
        <v>130</v>
      </c>
      <c r="I21" s="1" t="s">
        <v>34</v>
      </c>
      <c r="J21" s="3" t="s">
        <v>512</v>
      </c>
    </row>
    <row r="22" spans="1:10" x14ac:dyDescent="0.35">
      <c r="E22" s="17"/>
      <c r="I22" t="s">
        <v>35</v>
      </c>
      <c r="J22" t="s">
        <v>1961</v>
      </c>
    </row>
    <row r="23" spans="1:10" x14ac:dyDescent="0.35">
      <c r="I23" t="s">
        <v>36</v>
      </c>
      <c r="J23" t="s">
        <v>1962</v>
      </c>
    </row>
    <row r="24" spans="1:10" x14ac:dyDescent="0.35">
      <c r="I24" t="s">
        <v>16</v>
      </c>
      <c r="J24" t="s">
        <v>1963</v>
      </c>
    </row>
    <row r="25" spans="1:10" x14ac:dyDescent="0.35">
      <c r="I25" t="s">
        <v>17</v>
      </c>
      <c r="J25" t="s">
        <v>1964</v>
      </c>
    </row>
    <row r="26" spans="1:10" x14ac:dyDescent="0.35">
      <c r="I26" s="38" t="s">
        <v>18</v>
      </c>
      <c r="J26" t="s">
        <v>1958</v>
      </c>
    </row>
    <row r="27" spans="1:10" x14ac:dyDescent="0.35">
      <c r="J27" s="36" t="s">
        <v>1966</v>
      </c>
    </row>
    <row r="28" spans="1:10" x14ac:dyDescent="0.35">
      <c r="A28" s="33" t="s">
        <v>3867</v>
      </c>
      <c r="B28" t="s">
        <v>3</v>
      </c>
      <c r="C28" t="s">
        <v>43</v>
      </c>
      <c r="D28" t="s">
        <v>184</v>
      </c>
      <c r="E28" s="34" t="s">
        <v>608</v>
      </c>
      <c r="F28" s="33" t="s">
        <v>1959</v>
      </c>
      <c r="G28" s="33" t="s">
        <v>1960</v>
      </c>
      <c r="H28" t="s">
        <v>130</v>
      </c>
      <c r="I28" s="1" t="s">
        <v>34</v>
      </c>
      <c r="J28" s="3" t="s">
        <v>512</v>
      </c>
    </row>
    <row r="29" spans="1:10" x14ac:dyDescent="0.35">
      <c r="E29" s="40" t="s">
        <v>608</v>
      </c>
      <c r="I29" t="s">
        <v>35</v>
      </c>
      <c r="J29" t="s">
        <v>512</v>
      </c>
    </row>
    <row r="30" spans="1:10" x14ac:dyDescent="0.35">
      <c r="I30" t="s">
        <v>36</v>
      </c>
      <c r="J30" t="s">
        <v>3345</v>
      </c>
    </row>
    <row r="31" spans="1:10" x14ac:dyDescent="0.35">
      <c r="I31" t="s">
        <v>16</v>
      </c>
      <c r="J31" t="s">
        <v>3346</v>
      </c>
    </row>
    <row r="32" spans="1:10" x14ac:dyDescent="0.35">
      <c r="I32" t="s">
        <v>17</v>
      </c>
      <c r="J32" t="s">
        <v>3347</v>
      </c>
    </row>
    <row r="33" spans="1:10" x14ac:dyDescent="0.35">
      <c r="I33" s="38" t="s">
        <v>18</v>
      </c>
      <c r="J33" t="s">
        <v>3344</v>
      </c>
    </row>
    <row r="34" spans="1:10" x14ac:dyDescent="0.35">
      <c r="I34" s="37"/>
      <c r="J34" s="36" t="s">
        <v>3866</v>
      </c>
    </row>
    <row r="35" spans="1:10" x14ac:dyDescent="0.35">
      <c r="A35" s="33" t="s">
        <v>3755</v>
      </c>
      <c r="B35" t="s">
        <v>3</v>
      </c>
      <c r="C35" t="s">
        <v>43</v>
      </c>
      <c r="D35" t="s">
        <v>184</v>
      </c>
      <c r="E35" s="34" t="s">
        <v>189</v>
      </c>
      <c r="F35" s="33" t="s">
        <v>1959</v>
      </c>
      <c r="G35" s="33" t="s">
        <v>1960</v>
      </c>
      <c r="H35" t="s">
        <v>130</v>
      </c>
      <c r="I35" s="1" t="s">
        <v>34</v>
      </c>
      <c r="J35" s="3" t="s">
        <v>512</v>
      </c>
    </row>
    <row r="36" spans="1:10" x14ac:dyDescent="0.35">
      <c r="E36" s="17"/>
      <c r="I36" t="s">
        <v>35</v>
      </c>
      <c r="J36" t="s">
        <v>513</v>
      </c>
    </row>
    <row r="37" spans="1:10" x14ac:dyDescent="0.35">
      <c r="I37" t="s">
        <v>36</v>
      </c>
      <c r="J37" t="s">
        <v>514</v>
      </c>
    </row>
    <row r="38" spans="1:10" x14ac:dyDescent="0.35">
      <c r="I38" t="s">
        <v>16</v>
      </c>
      <c r="J38" t="s">
        <v>515</v>
      </c>
    </row>
    <row r="39" spans="1:10" x14ac:dyDescent="0.35">
      <c r="I39" t="s">
        <v>17</v>
      </c>
      <c r="J39" t="s">
        <v>515</v>
      </c>
    </row>
    <row r="40" spans="1:10" x14ac:dyDescent="0.35">
      <c r="I40" s="38" t="s">
        <v>18</v>
      </c>
      <c r="J40" s="36" t="s">
        <v>3754</v>
      </c>
    </row>
    <row r="41" spans="1:10" x14ac:dyDescent="0.35">
      <c r="A41" s="33" t="s">
        <v>511</v>
      </c>
      <c r="B41" t="s">
        <v>3</v>
      </c>
      <c r="C41" t="s">
        <v>43</v>
      </c>
      <c r="D41" t="s">
        <v>159</v>
      </c>
      <c r="E41" s="34" t="s">
        <v>216</v>
      </c>
      <c r="F41" s="33" t="s">
        <v>1959</v>
      </c>
      <c r="G41" s="33" t="s">
        <v>1960</v>
      </c>
      <c r="H41" t="s">
        <v>130</v>
      </c>
      <c r="I41" s="1" t="s">
        <v>34</v>
      </c>
      <c r="J41" s="3" t="s">
        <v>512</v>
      </c>
    </row>
    <row r="42" spans="1:10" x14ac:dyDescent="0.35">
      <c r="E42" s="17"/>
      <c r="I42" t="s">
        <v>35</v>
      </c>
      <c r="J42" t="s">
        <v>513</v>
      </c>
    </row>
    <row r="43" spans="1:10" x14ac:dyDescent="0.35">
      <c r="I43" t="s">
        <v>36</v>
      </c>
      <c r="J43" t="s">
        <v>514</v>
      </c>
    </row>
    <row r="44" spans="1:10" x14ac:dyDescent="0.35">
      <c r="I44" t="s">
        <v>16</v>
      </c>
      <c r="J44" t="s">
        <v>515</v>
      </c>
    </row>
    <row r="45" spans="1:10" x14ac:dyDescent="0.35">
      <c r="I45" t="s">
        <v>17</v>
      </c>
      <c r="J45" s="36" t="s">
        <v>515</v>
      </c>
    </row>
    <row r="46" spans="1:10" x14ac:dyDescent="0.35">
      <c r="I46" s="38" t="s">
        <v>18</v>
      </c>
    </row>
    <row r="47" spans="1:10" x14ac:dyDescent="0.35">
      <c r="A47" s="33" t="s">
        <v>3344</v>
      </c>
      <c r="B47" t="s">
        <v>3</v>
      </c>
      <c r="C47" t="s">
        <v>43</v>
      </c>
      <c r="D47" t="s">
        <v>184</v>
      </c>
      <c r="E47" s="34" t="s">
        <v>216</v>
      </c>
      <c r="F47" s="33" t="s">
        <v>1959</v>
      </c>
      <c r="G47" s="33" t="s">
        <v>1960</v>
      </c>
      <c r="H47" t="s">
        <v>130</v>
      </c>
      <c r="I47" s="1" t="s">
        <v>34</v>
      </c>
      <c r="J47" s="3" t="s">
        <v>512</v>
      </c>
    </row>
    <row r="48" spans="1:10" x14ac:dyDescent="0.35">
      <c r="E48" s="17"/>
      <c r="I48" t="s">
        <v>35</v>
      </c>
      <c r="J48" t="s">
        <v>512</v>
      </c>
    </row>
    <row r="49" spans="1:10" x14ac:dyDescent="0.35">
      <c r="I49" t="s">
        <v>36</v>
      </c>
      <c r="J49" t="s">
        <v>3345</v>
      </c>
    </row>
    <row r="50" spans="1:10" x14ac:dyDescent="0.35">
      <c r="I50" t="s">
        <v>16</v>
      </c>
      <c r="J50" t="s">
        <v>3346</v>
      </c>
    </row>
    <row r="51" spans="1:10" x14ac:dyDescent="0.35">
      <c r="I51" t="s">
        <v>17</v>
      </c>
      <c r="J51" t="s">
        <v>3347</v>
      </c>
    </row>
    <row r="52" spans="1:10" x14ac:dyDescent="0.35">
      <c r="I52" s="38" t="s">
        <v>18</v>
      </c>
      <c r="J52" s="43" t="s">
        <v>3344</v>
      </c>
    </row>
    <row r="53" spans="1:10" x14ac:dyDescent="0.35">
      <c r="A53" s="33" t="s">
        <v>229</v>
      </c>
      <c r="B53" t="s">
        <v>3</v>
      </c>
      <c r="C53" t="s">
        <v>43</v>
      </c>
      <c r="D53" t="s">
        <v>55</v>
      </c>
      <c r="E53" s="34" t="s">
        <v>216</v>
      </c>
      <c r="F53" s="33" t="s">
        <v>230</v>
      </c>
      <c r="G53" s="33" t="s">
        <v>231</v>
      </c>
      <c r="H53" t="s">
        <v>54</v>
      </c>
      <c r="I53" s="1" t="s">
        <v>232</v>
      </c>
      <c r="J53" s="3" t="s">
        <v>230</v>
      </c>
    </row>
    <row r="54" spans="1:10" x14ac:dyDescent="0.35">
      <c r="E54" s="17"/>
      <c r="I54" t="s">
        <v>34</v>
      </c>
      <c r="J54" t="s">
        <v>230</v>
      </c>
    </row>
    <row r="55" spans="1:10" x14ac:dyDescent="0.35">
      <c r="I55" t="s">
        <v>35</v>
      </c>
      <c r="J55" t="s">
        <v>233</v>
      </c>
    </row>
    <row r="56" spans="1:10" x14ac:dyDescent="0.35">
      <c r="I56" t="s">
        <v>36</v>
      </c>
      <c r="J56" t="s">
        <v>234</v>
      </c>
    </row>
    <row r="57" spans="1:10" x14ac:dyDescent="0.35">
      <c r="I57" t="s">
        <v>16</v>
      </c>
      <c r="J57" t="s">
        <v>1355</v>
      </c>
    </row>
    <row r="58" spans="1:10" x14ac:dyDescent="0.35">
      <c r="I58" t="s">
        <v>17</v>
      </c>
      <c r="J58" t="s">
        <v>1354</v>
      </c>
    </row>
    <row r="59" spans="1:10" x14ac:dyDescent="0.35">
      <c r="I59" s="38" t="s">
        <v>18</v>
      </c>
      <c r="J59" s="36" t="s">
        <v>229</v>
      </c>
    </row>
    <row r="60" spans="1:10" x14ac:dyDescent="0.35">
      <c r="A60" s="33" t="s">
        <v>1900</v>
      </c>
      <c r="B60" t="s">
        <v>3</v>
      </c>
      <c r="C60" t="s">
        <v>43</v>
      </c>
      <c r="D60" t="s">
        <v>55</v>
      </c>
      <c r="E60" s="34" t="s">
        <v>216</v>
      </c>
      <c r="F60" s="33" t="s">
        <v>230</v>
      </c>
      <c r="G60" s="33" t="s">
        <v>231</v>
      </c>
      <c r="H60" t="s">
        <v>54</v>
      </c>
      <c r="I60" s="1" t="s">
        <v>232</v>
      </c>
      <c r="J60" s="3" t="s">
        <v>34</v>
      </c>
    </row>
    <row r="61" spans="1:10" x14ac:dyDescent="0.35">
      <c r="E61" s="17"/>
      <c r="I61" t="s">
        <v>34</v>
      </c>
      <c r="J61" t="s">
        <v>1914</v>
      </c>
    </row>
    <row r="62" spans="1:10" x14ac:dyDescent="0.35">
      <c r="I62" t="s">
        <v>35</v>
      </c>
      <c r="J62" t="s">
        <v>1915</v>
      </c>
    </row>
    <row r="63" spans="1:10" x14ac:dyDescent="0.35">
      <c r="I63" t="s">
        <v>36</v>
      </c>
      <c r="J63" t="s">
        <v>1916</v>
      </c>
    </row>
    <row r="64" spans="1:10" x14ac:dyDescent="0.35">
      <c r="I64" t="s">
        <v>16</v>
      </c>
      <c r="J64" t="s">
        <v>1917</v>
      </c>
    </row>
    <row r="65" spans="1:10" x14ac:dyDescent="0.35">
      <c r="I65" t="s">
        <v>17</v>
      </c>
      <c r="J65" t="s">
        <v>1918</v>
      </c>
    </row>
    <row r="66" spans="1:10" x14ac:dyDescent="0.35">
      <c r="I66" s="38" t="s">
        <v>18</v>
      </c>
      <c r="J66" s="36" t="s">
        <v>1919</v>
      </c>
    </row>
    <row r="67" spans="1:10" x14ac:dyDescent="0.35">
      <c r="A67" s="33" t="s">
        <v>292</v>
      </c>
      <c r="B67" t="s">
        <v>3</v>
      </c>
      <c r="C67" t="s">
        <v>43</v>
      </c>
      <c r="D67" t="s">
        <v>293</v>
      </c>
      <c r="E67" s="34" t="s">
        <v>216</v>
      </c>
      <c r="F67" s="33" t="s">
        <v>230</v>
      </c>
      <c r="G67" s="33" t="s">
        <v>231</v>
      </c>
      <c r="H67" t="s">
        <v>54</v>
      </c>
      <c r="I67" s="1" t="s">
        <v>232</v>
      </c>
      <c r="J67" s="3" t="s">
        <v>294</v>
      </c>
    </row>
    <row r="68" spans="1:10" x14ac:dyDescent="0.35">
      <c r="E68" s="17"/>
      <c r="I68" t="s">
        <v>34</v>
      </c>
      <c r="J68" t="s">
        <v>295</v>
      </c>
    </row>
    <row r="69" spans="1:10" x14ac:dyDescent="0.35">
      <c r="I69" t="s">
        <v>35</v>
      </c>
      <c r="J69" t="s">
        <v>296</v>
      </c>
    </row>
    <row r="70" spans="1:10" x14ac:dyDescent="0.35">
      <c r="I70" t="s">
        <v>36</v>
      </c>
      <c r="J70" t="s">
        <v>297</v>
      </c>
    </row>
    <row r="71" spans="1:10" x14ac:dyDescent="0.35">
      <c r="I71" t="s">
        <v>16</v>
      </c>
      <c r="J71" t="s">
        <v>298</v>
      </c>
    </row>
    <row r="72" spans="1:10" x14ac:dyDescent="0.35">
      <c r="I72" t="s">
        <v>17</v>
      </c>
      <c r="J72" t="s">
        <v>299</v>
      </c>
    </row>
    <row r="73" spans="1:10" x14ac:dyDescent="0.35">
      <c r="I73" s="38" t="s">
        <v>18</v>
      </c>
      <c r="J73" s="36" t="s">
        <v>292</v>
      </c>
    </row>
    <row r="74" spans="1:10" x14ac:dyDescent="0.35">
      <c r="A74" s="33" t="s">
        <v>1837</v>
      </c>
      <c r="B74" t="s">
        <v>3</v>
      </c>
      <c r="C74" t="s">
        <v>43</v>
      </c>
      <c r="D74" t="s">
        <v>64</v>
      </c>
      <c r="E74" s="34" t="s">
        <v>216</v>
      </c>
      <c r="F74" s="33" t="s">
        <v>230</v>
      </c>
      <c r="G74" s="33" t="s">
        <v>231</v>
      </c>
      <c r="H74" t="s">
        <v>54</v>
      </c>
      <c r="I74" s="1" t="s">
        <v>232</v>
      </c>
      <c r="J74" s="3" t="s">
        <v>1838</v>
      </c>
    </row>
    <row r="75" spans="1:10" x14ac:dyDescent="0.35">
      <c r="E75" s="17"/>
      <c r="I75" t="s">
        <v>34</v>
      </c>
      <c r="J75" t="s">
        <v>1839</v>
      </c>
    </row>
    <row r="76" spans="1:10" x14ac:dyDescent="0.35">
      <c r="I76" t="s">
        <v>35</v>
      </c>
      <c r="J76" t="s">
        <v>1840</v>
      </c>
    </row>
    <row r="77" spans="1:10" x14ac:dyDescent="0.35">
      <c r="I77" t="s">
        <v>36</v>
      </c>
      <c r="J77" t="s">
        <v>1841</v>
      </c>
    </row>
    <row r="78" spans="1:10" x14ac:dyDescent="0.35">
      <c r="I78" t="s">
        <v>16</v>
      </c>
      <c r="J78" t="s">
        <v>1842</v>
      </c>
    </row>
    <row r="79" spans="1:10" x14ac:dyDescent="0.35">
      <c r="I79" t="s">
        <v>17</v>
      </c>
      <c r="J79" s="36" t="s">
        <v>1843</v>
      </c>
    </row>
    <row r="80" spans="1:10" x14ac:dyDescent="0.35">
      <c r="I80" s="38" t="s">
        <v>18</v>
      </c>
    </row>
    <row r="81" spans="1:10" x14ac:dyDescent="0.35">
      <c r="A81" s="33" t="s">
        <v>449</v>
      </c>
      <c r="B81" t="s">
        <v>3</v>
      </c>
      <c r="C81" t="s">
        <v>43</v>
      </c>
      <c r="D81" t="s">
        <v>64</v>
      </c>
      <c r="E81" s="34" t="s">
        <v>72</v>
      </c>
      <c r="F81" s="33" t="s">
        <v>230</v>
      </c>
      <c r="G81" s="33" t="s">
        <v>231</v>
      </c>
      <c r="H81" t="s">
        <v>54</v>
      </c>
      <c r="I81" s="1" t="s">
        <v>232</v>
      </c>
      <c r="J81" s="3" t="s">
        <v>294</v>
      </c>
    </row>
    <row r="82" spans="1:10" x14ac:dyDescent="0.35">
      <c r="E82" s="17"/>
      <c r="I82" t="s">
        <v>34</v>
      </c>
      <c r="J82" t="s">
        <v>295</v>
      </c>
    </row>
    <row r="83" spans="1:10" x14ac:dyDescent="0.35">
      <c r="I83" t="s">
        <v>35</v>
      </c>
      <c r="J83" t="s">
        <v>296</v>
      </c>
    </row>
    <row r="84" spans="1:10" x14ac:dyDescent="0.35">
      <c r="I84" t="s">
        <v>36</v>
      </c>
      <c r="J84" t="s">
        <v>297</v>
      </c>
    </row>
    <row r="85" spans="1:10" x14ac:dyDescent="0.35">
      <c r="I85" t="s">
        <v>16</v>
      </c>
      <c r="J85" t="s">
        <v>298</v>
      </c>
    </row>
    <row r="86" spans="1:10" x14ac:dyDescent="0.35">
      <c r="I86" t="s">
        <v>17</v>
      </c>
      <c r="J86" s="36" t="s">
        <v>449</v>
      </c>
    </row>
    <row r="87" spans="1:10" x14ac:dyDescent="0.35">
      <c r="I87" s="38" t="s">
        <v>18</v>
      </c>
    </row>
  </sheetData>
  <autoFilter ref="F1:F87" xr:uid="{00000000-0001-0000-1800-000000000000}"/>
  <hyperlinks>
    <hyperlink ref="A1" location="Summary!A1" tooltip="Return to Totals" display="Back to Totals" xr:uid="{202CEEAC-71EB-4DFC-BC2F-376A50A5150E}"/>
    <hyperlink ref="I20" r:id="rId1" xr:uid="{8882AFEC-094F-45A1-A8A2-0B7340E40FA8}"/>
    <hyperlink ref="I26" r:id="rId2" xr:uid="{370C4900-8EB9-4579-A44F-4B3720BA85AA}"/>
    <hyperlink ref="I46" r:id="rId3" xr:uid="{AD0C45B1-C029-4FF2-8D7A-D7710574174F}"/>
    <hyperlink ref="I59" r:id="rId4" xr:uid="{A8AAA56A-513F-40C0-BF29-07256CECDD70}"/>
    <hyperlink ref="I66" r:id="rId5" xr:uid="{C83E6D5B-E1E6-48F0-8B54-E8F1EAED5A66}"/>
    <hyperlink ref="I73" r:id="rId6" xr:uid="{C8D9EC67-63F2-4BF7-9428-D107D4DAFFA6}"/>
    <hyperlink ref="I80" r:id="rId7" xr:uid="{80B2D212-C105-4AB8-B99A-223BB2DC62D7}"/>
    <hyperlink ref="I87" r:id="rId8" xr:uid="{2B80F932-4316-4721-B9BB-208C568B52BB}"/>
    <hyperlink ref="F15" r:id="rId9" xr:uid="{0812B078-66CF-4BFE-BFE4-C709401A8653}"/>
    <hyperlink ref="F21" r:id="rId10" xr:uid="{273524DE-5DB8-4B01-849D-01BDD7D0C0DF}"/>
    <hyperlink ref="G15" r:id="rId11" xr:uid="{C0AE19C1-A005-4160-A825-77356B1D0419}"/>
    <hyperlink ref="G21" r:id="rId12" xr:uid="{E17CBEF0-7C10-4351-B806-D5C58F8B062F}"/>
    <hyperlink ref="F41" r:id="rId13" xr:uid="{AA6675B8-9ABB-498A-82D2-1D1CC213077D}"/>
    <hyperlink ref="G41" r:id="rId14" xr:uid="{6563051B-7621-41E5-A807-83EC4E9531D0}"/>
    <hyperlink ref="J59" r:id="rId15" xr:uid="{86FBA87A-551A-4D81-AE4B-B9628F1B256B}"/>
    <hyperlink ref="J66" r:id="rId16" xr:uid="{9BD66278-20F4-44C5-A703-77B23BDCED51}"/>
    <hyperlink ref="J20" r:id="rId17" xr:uid="{AB01E4E5-A55D-4D81-A1B7-6C8CB92A4612}"/>
    <hyperlink ref="J27" r:id="rId18" xr:uid="{706E33BA-F03A-4179-BCB1-6C0372F83FBE}"/>
    <hyperlink ref="J45" r:id="rId19" xr:uid="{6E914E65-9C67-474A-86BD-ED1C32367E3F}"/>
    <hyperlink ref="A53" r:id="rId20" xr:uid="{9AFF742F-8DF5-42DB-AEB1-638BF849DDF4}"/>
    <hyperlink ref="F53" r:id="rId21" xr:uid="{032B2643-937F-45AC-BE28-675C4C0B255C}"/>
    <hyperlink ref="F60" r:id="rId22" xr:uid="{622D7B4B-EBE5-4D81-8DEF-14CBD0C01FDA}"/>
    <hyperlink ref="J73" r:id="rId23" xr:uid="{E7B88257-E0ED-4A92-B28B-6329AD67EBD5}"/>
    <hyperlink ref="F67" r:id="rId24" xr:uid="{EAE8CC35-5BF3-4DFD-8FC9-6009DB298921}"/>
    <hyperlink ref="J79" r:id="rId25" xr:uid="{93FB2261-4BEA-4E95-89B4-544262AC982F}"/>
    <hyperlink ref="F74" r:id="rId26" xr:uid="{907456D9-DB00-4DAC-BA0F-513F08685EA9}"/>
    <hyperlink ref="J86" r:id="rId27" xr:uid="{2585923F-267B-43EC-A0CF-C4D123321BCA}"/>
    <hyperlink ref="A81" r:id="rId28" xr:uid="{F1B73BE5-F3B4-4D13-A951-D2BA7BF7D2ED}"/>
    <hyperlink ref="F81" r:id="rId29" xr:uid="{417B3767-7B6A-49D5-8BEC-6D66B7F7C187}"/>
    <hyperlink ref="G53" r:id="rId30" xr:uid="{F8FCEEC5-720C-4C71-BFA1-9CE92DB6BB68}"/>
    <hyperlink ref="G60" r:id="rId31" xr:uid="{A967823C-6414-4FAE-8208-2228D08CD643}"/>
    <hyperlink ref="G67" r:id="rId32" xr:uid="{68FE021D-2091-4257-A36D-E6995A898368}"/>
    <hyperlink ref="G74" r:id="rId33" xr:uid="{D346113E-E0D2-4851-8996-B8CF6138DDF7}"/>
    <hyperlink ref="G81" r:id="rId34" xr:uid="{48B9178B-25D5-47C8-AFC7-F528EE4C1D9E}"/>
    <hyperlink ref="A74" r:id="rId35" xr:uid="{6540A6FB-F4B9-40FB-AFAA-DE9934C2939E}"/>
    <hyperlink ref="A67" r:id="rId36" xr:uid="{F41340CC-A416-4FF6-9B15-E9FA78BBEC31}"/>
    <hyperlink ref="A60" r:id="rId37" xr:uid="{770B6446-2418-4E08-8464-BCE33D954B4F}"/>
    <hyperlink ref="A41" r:id="rId38" xr:uid="{B6027F22-2C32-469F-914A-08A80C8634D0}"/>
    <hyperlink ref="A21" r:id="rId39" xr:uid="{D7F38AEF-3CEB-468B-B1A3-612E968D7C65}"/>
    <hyperlink ref="A15" r:id="rId40" xr:uid="{D0B5665C-2FC4-4DE5-B1BE-79305FBD7FD1}"/>
    <hyperlink ref="E74" r:id="rId41" xr:uid="{33D13AFE-E3C6-43E7-81B8-D9CD697CBD7B}"/>
    <hyperlink ref="E67" r:id="rId42" xr:uid="{1F560E02-7FB7-4B36-BDA0-FC3C2AEC5C53}"/>
    <hyperlink ref="E60" r:id="rId43" xr:uid="{7B567ED0-559D-470F-9645-2722CC3AC0C7}"/>
    <hyperlink ref="E53" r:id="rId44" xr:uid="{E8B58073-493A-4060-A2D9-BB0574FABACA}"/>
    <hyperlink ref="E41" r:id="rId45" xr:uid="{EC67E6B0-F1C8-4926-8EA8-AD393957575B}"/>
    <hyperlink ref="E21" r:id="rId46" xr:uid="{5BCCBE82-0A9C-439C-9EC8-916FB31B53C7}"/>
    <hyperlink ref="E15" r:id="rId47" xr:uid="{482EDDAD-D743-4871-9910-59438F0C7DCE}"/>
    <hyperlink ref="E81" r:id="rId48" xr:uid="{65FB94EF-7184-47B2-85CA-0C1D27137169}"/>
    <hyperlink ref="I52" r:id="rId49" xr:uid="{13B2DBB1-EABE-4FD8-9D82-9F200D939EC8}"/>
    <hyperlink ref="F47" r:id="rId50" xr:uid="{CC9C2913-E998-4FC5-AA35-AEEAC675B2A4}"/>
    <hyperlink ref="G47" r:id="rId51" xr:uid="{DDCFA986-479C-4FA8-8D19-3EBE24EEF69A}"/>
    <hyperlink ref="A47" r:id="rId52" xr:uid="{688B09B1-9DDB-48B7-830D-61036A849123}"/>
    <hyperlink ref="E47" r:id="rId53" xr:uid="{F3DCCCA7-BD2D-44B1-80F7-E9BDDECEF029}"/>
    <hyperlink ref="J52" r:id="rId54" xr:uid="{F256172D-FC77-4047-B2EB-D67E69CF2B31}"/>
    <hyperlink ref="I40" r:id="rId55" xr:uid="{0E311F14-7B80-4F11-890C-E9E56FC26381}"/>
    <hyperlink ref="F35" r:id="rId56" xr:uid="{4CA2C8E6-8B7E-4A26-8693-C51B1BBC7F93}"/>
    <hyperlink ref="G35" r:id="rId57" xr:uid="{A148B91E-6CEA-4E26-A1BC-92E01344107A}"/>
    <hyperlink ref="A35" r:id="rId58" xr:uid="{653091FB-3F4D-4476-939B-1880E1D3E710}"/>
    <hyperlink ref="E35" r:id="rId59" xr:uid="{BB1837D4-22F9-487D-A044-8D08458D9526}"/>
    <hyperlink ref="J40" r:id="rId60" xr:uid="{E5D0B82A-1067-408D-957C-E1673C5927E1}"/>
    <hyperlink ref="I33" r:id="rId61" xr:uid="{3C5CA5EC-3094-4CBA-AA8C-7A819C7FCDC4}"/>
    <hyperlink ref="F28" r:id="rId62" xr:uid="{1A261658-4CD3-4798-B52D-9B86E1593CCE}"/>
    <hyperlink ref="G28" r:id="rId63" xr:uid="{2B16F77E-E9D0-43B5-B473-8AC515948948}"/>
    <hyperlink ref="A28" r:id="rId64" xr:uid="{D7F3D489-C85E-49E7-AC62-ECD628E21FD5}"/>
    <hyperlink ref="E28" r:id="rId65" xr:uid="{04030595-B09E-4F9B-8D40-DBFDE3B161CD}"/>
    <hyperlink ref="J34" r:id="rId66" xr:uid="{1A9C77BC-A117-4A00-B976-EA5E1E55E354}"/>
    <hyperlink ref="I14" r:id="rId67" xr:uid="{409CE0D4-3B56-408C-B6E8-65E294257436}"/>
    <hyperlink ref="F9" r:id="rId68" xr:uid="{3E3684CE-9D1E-4AE1-961B-35BD4E43F6C7}"/>
    <hyperlink ref="G9" r:id="rId69" xr:uid="{14BCB9D6-608B-4305-BC51-80807192DA4C}"/>
    <hyperlink ref="J14" r:id="rId70" xr:uid="{A1636FB1-8E08-474D-B117-092FBFA54B72}"/>
    <hyperlink ref="A9" r:id="rId71" xr:uid="{E10D1D2B-5A7A-498D-8520-9608FF42D8E5}"/>
    <hyperlink ref="E9" r:id="rId72" display="22cM" xr:uid="{8FA52BEC-7C91-427D-992B-DADFA6CFEB51}"/>
    <hyperlink ref="I8" r:id="rId73" xr:uid="{03011381-11B4-415C-9A07-271BD60049F2}"/>
    <hyperlink ref="F3" r:id="rId74" xr:uid="{0830BD56-0ABD-49B1-99AF-85DA4395E77B}"/>
    <hyperlink ref="G3" r:id="rId75" xr:uid="{79F50B3D-C39E-4036-8447-F49A715A9B66}"/>
    <hyperlink ref="J8" r:id="rId76" xr:uid="{792BD9CD-DDCF-4E2B-80D5-C1DD9A9D2F0B}"/>
    <hyperlink ref="A3" r:id="rId77" xr:uid="{3BCE34EE-2E5F-4BC9-A340-665569B9B1D6}"/>
    <hyperlink ref="E3" r:id="rId78" xr:uid="{FC6F7962-57C7-465D-8D3F-F59D3F961AB4}"/>
    <hyperlink ref="E29" r:id="rId79" xr:uid="{EF7C4920-5E9E-4651-9164-3A69A5B079CF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6">
    <tabColor theme="8"/>
  </sheetPr>
  <dimension ref="A1:J51"/>
  <sheetViews>
    <sheetView topLeftCell="A19" workbookViewId="0">
      <selection activeCell="A25" sqref="A25:XFD35"/>
    </sheetView>
  </sheetViews>
  <sheetFormatPr defaultRowHeight="14.5" x14ac:dyDescent="0.35"/>
  <cols>
    <col min="1" max="1" width="13.81640625" customWidth="1"/>
    <col min="2" max="2" width="14.26953125" customWidth="1"/>
    <col min="3" max="3" width="22.7265625" customWidth="1"/>
    <col min="4" max="4" width="19.54296875" customWidth="1"/>
    <col min="5" max="5" width="12.81640625" customWidth="1"/>
    <col min="6" max="6" width="25.453125" customWidth="1"/>
    <col min="7" max="7" width="27" customWidth="1"/>
    <col min="8" max="8" width="25.1796875" customWidth="1"/>
    <col min="9" max="9" width="23.26953125" customWidth="1"/>
    <col min="10" max="10" width="20.7265625" customWidth="1"/>
  </cols>
  <sheetData>
    <row r="1" spans="1:10" x14ac:dyDescent="0.35">
      <c r="A1" s="34" t="s">
        <v>3196</v>
      </c>
      <c r="B1" s="16">
        <f>COUNTIF(I2:I1078,C1)+COUNTIF(I2:I1078,D1)</f>
        <v>4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3379</v>
      </c>
      <c r="B3" t="s">
        <v>3</v>
      </c>
      <c r="C3" t="s">
        <v>43</v>
      </c>
      <c r="D3" t="s">
        <v>1726</v>
      </c>
      <c r="E3" s="15" t="s">
        <v>169</v>
      </c>
      <c r="F3" s="33" t="s">
        <v>821</v>
      </c>
      <c r="G3" s="33" t="s">
        <v>822</v>
      </c>
      <c r="H3" t="s">
        <v>771</v>
      </c>
      <c r="I3" s="1" t="s">
        <v>821</v>
      </c>
      <c r="J3" s="3" t="s">
        <v>830</v>
      </c>
    </row>
    <row r="4" spans="1:10" x14ac:dyDescent="0.35">
      <c r="E4" s="105"/>
      <c r="I4" t="s">
        <v>821</v>
      </c>
      <c r="J4" t="s">
        <v>829</v>
      </c>
    </row>
    <row r="5" spans="1:10" x14ac:dyDescent="0.35">
      <c r="I5" t="s">
        <v>831</v>
      </c>
      <c r="J5" t="s">
        <v>829</v>
      </c>
    </row>
    <row r="6" spans="1:10" x14ac:dyDescent="0.35">
      <c r="I6" t="s">
        <v>147</v>
      </c>
      <c r="J6" t="s">
        <v>821</v>
      </c>
    </row>
    <row r="7" spans="1:10" x14ac:dyDescent="0.35">
      <c r="I7" t="s">
        <v>134</v>
      </c>
      <c r="J7" t="s">
        <v>2753</v>
      </c>
    </row>
    <row r="8" spans="1:10" x14ac:dyDescent="0.35">
      <c r="I8" t="s">
        <v>141</v>
      </c>
      <c r="J8" t="s">
        <v>827</v>
      </c>
    </row>
    <row r="9" spans="1:10" x14ac:dyDescent="0.35">
      <c r="I9" t="s">
        <v>142</v>
      </c>
      <c r="J9" t="s">
        <v>3375</v>
      </c>
    </row>
    <row r="10" spans="1:10" x14ac:dyDescent="0.35">
      <c r="I10" t="s">
        <v>98</v>
      </c>
      <c r="J10" t="s">
        <v>3376</v>
      </c>
    </row>
    <row r="11" spans="1:10" x14ac:dyDescent="0.35">
      <c r="I11" t="s">
        <v>100</v>
      </c>
      <c r="J11" t="s">
        <v>3377</v>
      </c>
    </row>
    <row r="12" spans="1:10" x14ac:dyDescent="0.35">
      <c r="I12" t="s">
        <v>104</v>
      </c>
      <c r="J12" s="36" t="s">
        <v>3378</v>
      </c>
    </row>
    <row r="13" spans="1:10" x14ac:dyDescent="0.35">
      <c r="I13" s="38" t="s">
        <v>18</v>
      </c>
    </row>
    <row r="14" spans="1:10" x14ac:dyDescent="0.35">
      <c r="A14" s="33" t="s">
        <v>820</v>
      </c>
      <c r="B14" t="s">
        <v>3</v>
      </c>
      <c r="C14" t="s">
        <v>43</v>
      </c>
      <c r="D14" t="s">
        <v>760</v>
      </c>
      <c r="E14" s="34" t="s">
        <v>608</v>
      </c>
      <c r="F14" s="33" t="s">
        <v>821</v>
      </c>
      <c r="G14" s="33" t="s">
        <v>822</v>
      </c>
      <c r="H14" t="s">
        <v>771</v>
      </c>
      <c r="I14" s="1" t="s">
        <v>821</v>
      </c>
      <c r="J14" s="3" t="s">
        <v>830</v>
      </c>
    </row>
    <row r="15" spans="1:10" x14ac:dyDescent="0.35">
      <c r="E15" s="54" t="s">
        <v>608</v>
      </c>
      <c r="I15" t="s">
        <v>821</v>
      </c>
      <c r="J15" t="s">
        <v>829</v>
      </c>
    </row>
    <row r="16" spans="1:10" x14ac:dyDescent="0.35">
      <c r="I16" t="s">
        <v>831</v>
      </c>
      <c r="J16" t="s">
        <v>829</v>
      </c>
    </row>
    <row r="17" spans="9:10" x14ac:dyDescent="0.35">
      <c r="I17" t="s">
        <v>147</v>
      </c>
      <c r="J17" t="s">
        <v>821</v>
      </c>
    </row>
    <row r="18" spans="9:10" x14ac:dyDescent="0.35">
      <c r="I18" t="s">
        <v>134</v>
      </c>
      <c r="J18" t="s">
        <v>821</v>
      </c>
    </row>
    <row r="19" spans="9:10" x14ac:dyDescent="0.35">
      <c r="I19" t="s">
        <v>141</v>
      </c>
      <c r="J19" t="s">
        <v>828</v>
      </c>
    </row>
    <row r="20" spans="9:10" x14ac:dyDescent="0.35">
      <c r="I20" t="s">
        <v>142</v>
      </c>
      <c r="J20" t="s">
        <v>827</v>
      </c>
    </row>
    <row r="21" spans="9:10" x14ac:dyDescent="0.35">
      <c r="I21" t="s">
        <v>98</v>
      </c>
      <c r="J21" t="s">
        <v>826</v>
      </c>
    </row>
    <row r="22" spans="9:10" x14ac:dyDescent="0.35">
      <c r="I22" t="s">
        <v>100</v>
      </c>
      <c r="J22" t="s">
        <v>825</v>
      </c>
    </row>
    <row r="23" spans="9:10" x14ac:dyDescent="0.35">
      <c r="I23" t="s">
        <v>104</v>
      </c>
      <c r="J23" t="s">
        <v>824</v>
      </c>
    </row>
    <row r="24" spans="9:10" x14ac:dyDescent="0.35">
      <c r="I24" s="38" t="s">
        <v>18</v>
      </c>
      <c r="J24" s="36" t="s">
        <v>823</v>
      </c>
    </row>
    <row r="36" spans="1:10" x14ac:dyDescent="0.35">
      <c r="A36" s="33" t="s">
        <v>2048</v>
      </c>
      <c r="B36" t="s">
        <v>3</v>
      </c>
      <c r="C36" t="s">
        <v>43</v>
      </c>
      <c r="D36" t="s">
        <v>429</v>
      </c>
      <c r="E36" s="34" t="s">
        <v>89</v>
      </c>
      <c r="F36" t="s">
        <v>831</v>
      </c>
      <c r="G36" t="s">
        <v>2047</v>
      </c>
      <c r="H36" t="s">
        <v>413</v>
      </c>
      <c r="I36" s="1" t="s">
        <v>147</v>
      </c>
      <c r="J36" s="3" t="s">
        <v>821</v>
      </c>
    </row>
    <row r="37" spans="1:10" x14ac:dyDescent="0.35">
      <c r="E37" s="17"/>
      <c r="I37" t="s">
        <v>134</v>
      </c>
      <c r="J37" t="s">
        <v>2049</v>
      </c>
    </row>
    <row r="38" spans="1:10" x14ac:dyDescent="0.35">
      <c r="I38" t="s">
        <v>141</v>
      </c>
      <c r="J38" t="s">
        <v>2050</v>
      </c>
    </row>
    <row r="39" spans="1:10" x14ac:dyDescent="0.35">
      <c r="I39" t="s">
        <v>142</v>
      </c>
      <c r="J39" t="s">
        <v>2051</v>
      </c>
    </row>
    <row r="40" spans="1:10" x14ac:dyDescent="0.35">
      <c r="I40" t="s">
        <v>98</v>
      </c>
      <c r="J40" t="s">
        <v>2052</v>
      </c>
    </row>
    <row r="41" spans="1:10" x14ac:dyDescent="0.35">
      <c r="I41" t="s">
        <v>100</v>
      </c>
      <c r="J41" t="s">
        <v>2053</v>
      </c>
    </row>
    <row r="42" spans="1:10" x14ac:dyDescent="0.35">
      <c r="I42" t="s">
        <v>104</v>
      </c>
      <c r="J42" s="36" t="s">
        <v>2054</v>
      </c>
    </row>
    <row r="43" spans="1:10" x14ac:dyDescent="0.35">
      <c r="I43" s="38" t="s">
        <v>18</v>
      </c>
    </row>
    <row r="44" spans="1:10" x14ac:dyDescent="0.35">
      <c r="A44" s="33" t="s">
        <v>3952</v>
      </c>
      <c r="B44" t="s">
        <v>3</v>
      </c>
      <c r="C44" t="s">
        <v>43</v>
      </c>
      <c r="D44" t="s">
        <v>710</v>
      </c>
      <c r="E44" s="34" t="s">
        <v>89</v>
      </c>
      <c r="F44" t="s">
        <v>831</v>
      </c>
      <c r="G44" t="s">
        <v>2047</v>
      </c>
      <c r="H44" t="s">
        <v>413</v>
      </c>
      <c r="I44" s="1" t="s">
        <v>147</v>
      </c>
      <c r="J44" s="3" t="s">
        <v>821</v>
      </c>
    </row>
    <row r="45" spans="1:10" x14ac:dyDescent="0.35">
      <c r="E45" s="17"/>
      <c r="I45" t="s">
        <v>134</v>
      </c>
      <c r="J45" t="s">
        <v>2049</v>
      </c>
    </row>
    <row r="46" spans="1:10" x14ac:dyDescent="0.35">
      <c r="I46" t="s">
        <v>141</v>
      </c>
      <c r="J46" t="s">
        <v>2050</v>
      </c>
    </row>
    <row r="47" spans="1:10" x14ac:dyDescent="0.35">
      <c r="I47" t="s">
        <v>142</v>
      </c>
      <c r="J47" t="s">
        <v>2051</v>
      </c>
    </row>
    <row r="48" spans="1:10" x14ac:dyDescent="0.35">
      <c r="I48" t="s">
        <v>98</v>
      </c>
      <c r="J48" t="s">
        <v>2052</v>
      </c>
    </row>
    <row r="49" spans="9:10" x14ac:dyDescent="0.35">
      <c r="I49" t="s">
        <v>100</v>
      </c>
      <c r="J49" t="s">
        <v>2053</v>
      </c>
    </row>
    <row r="50" spans="9:10" x14ac:dyDescent="0.35">
      <c r="I50" t="s">
        <v>104</v>
      </c>
      <c r="J50" t="s">
        <v>2054</v>
      </c>
    </row>
    <row r="51" spans="9:10" x14ac:dyDescent="0.35">
      <c r="I51" s="38" t="s">
        <v>18</v>
      </c>
      <c r="J51" s="36" t="s">
        <v>3952</v>
      </c>
    </row>
  </sheetData>
  <hyperlinks>
    <hyperlink ref="A1" location="Summary!A1" tooltip="Return to Totals" display="Back to Totals" xr:uid="{6B2DD62F-806D-45F6-854B-77A37466C53E}"/>
    <hyperlink ref="I24" r:id="rId1" xr:uid="{C7829EF7-D412-49F3-97CD-8217C57B146B}"/>
    <hyperlink ref="I43" r:id="rId2" xr:uid="{970B32D0-10D3-49B9-AC4B-250C3FF92E25}"/>
    <hyperlink ref="F14" r:id="rId3" xr:uid="{BAD085B9-8A57-4441-B030-5CB21EA4FACC}"/>
    <hyperlink ref="G14" r:id="rId4" xr:uid="{B7F5A864-92CC-4BF3-8E54-03681063D358}"/>
    <hyperlink ref="J24" r:id="rId5" xr:uid="{14EE2027-0613-4EAB-BBA9-133B64565AD5}"/>
    <hyperlink ref="A14" r:id="rId6" xr:uid="{BD7E3DCC-4862-4185-9D0C-DCA4D802F9B3}"/>
    <hyperlink ref="J42" r:id="rId7" xr:uid="{60EA76D5-63C6-4827-96A5-C09A8C584548}"/>
    <hyperlink ref="A36" r:id="rId8" xr:uid="{F12C2693-D2C9-44AF-8D8D-6CF5805E97F7}"/>
    <hyperlink ref="E36" r:id="rId9" xr:uid="{B49357AB-EBCD-45C8-BDDA-20BDB1452B1C}"/>
    <hyperlink ref="E14" r:id="rId10" xr:uid="{EDD33EF6-4AE3-481C-B3C4-9FEBF1012BE3}"/>
    <hyperlink ref="E15" r:id="rId11" xr:uid="{F3129C52-E5E8-48BD-9F05-6C1753E6FBE3}"/>
    <hyperlink ref="F3" r:id="rId12" xr:uid="{E6E791D3-A7DB-4045-A13A-58FE24CE2941}"/>
    <hyperlink ref="G3" r:id="rId13" xr:uid="{97D8582C-9F30-4178-9C1C-9F4B5191E843}"/>
    <hyperlink ref="I13" r:id="rId14" xr:uid="{F45B732A-7289-40DB-A4F6-0BE3E469F9E5}"/>
    <hyperlink ref="A3" r:id="rId15" xr:uid="{045E58A2-4427-4E8C-8B0F-CEA0B355B5AE}"/>
    <hyperlink ref="J12" r:id="rId16" xr:uid="{B7A86190-83DA-42E4-9655-B730E50DC986}"/>
    <hyperlink ref="I51" r:id="rId17" xr:uid="{08F454F8-9079-482C-83B7-59352FA79895}"/>
    <hyperlink ref="A44" r:id="rId18" xr:uid="{A6822A8B-0CEE-470E-8CB9-7F2FAE244166}"/>
    <hyperlink ref="E44" r:id="rId19" xr:uid="{C8703383-269A-4615-9C86-8DBA04916FCB}"/>
    <hyperlink ref="J51" r:id="rId20" xr:uid="{D45AEFBE-CB5C-4CD5-9C69-84AE842B56B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37">
    <tabColor theme="7"/>
  </sheetPr>
  <dimension ref="A1:J71"/>
  <sheetViews>
    <sheetView workbookViewId="0"/>
  </sheetViews>
  <sheetFormatPr defaultRowHeight="14.5" x14ac:dyDescent="0.35"/>
  <cols>
    <col min="1" max="1" width="26" customWidth="1"/>
    <col min="2" max="2" width="12" customWidth="1"/>
    <col min="3" max="3" width="24.453125" customWidth="1"/>
    <col min="4" max="4" width="25.81640625" customWidth="1"/>
    <col min="5" max="5" width="13.26953125" customWidth="1"/>
    <col min="6" max="6" width="25.26953125" customWidth="1"/>
    <col min="7" max="7" width="24.7265625" customWidth="1"/>
    <col min="8" max="8" width="26.26953125" customWidth="1"/>
    <col min="9" max="9" width="25.81640625" customWidth="1"/>
    <col min="10" max="10" width="31.453125" customWidth="1"/>
  </cols>
  <sheetData>
    <row r="1" spans="1:10" x14ac:dyDescent="0.35">
      <c r="A1" s="34" t="s">
        <v>3196</v>
      </c>
      <c r="B1" s="16">
        <f>COUNTIF(I2:I1092,C1)+COUNTIF(I2:I1092,D1)</f>
        <v>15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98" t="s">
        <v>1249</v>
      </c>
      <c r="B3" t="s">
        <v>3</v>
      </c>
      <c r="C3" t="s">
        <v>3193</v>
      </c>
      <c r="D3" t="s">
        <v>3193</v>
      </c>
      <c r="E3" s="99" t="s">
        <v>3194</v>
      </c>
      <c r="F3" s="98" t="s">
        <v>17</v>
      </c>
      <c r="G3" s="98" t="s">
        <v>104</v>
      </c>
      <c r="H3" t="s">
        <v>3195</v>
      </c>
      <c r="I3" s="97" t="s">
        <v>18</v>
      </c>
      <c r="J3" s="43" t="s">
        <v>1249</v>
      </c>
    </row>
    <row r="4" spans="1:10" x14ac:dyDescent="0.35">
      <c r="A4" s="98" t="s">
        <v>3551</v>
      </c>
      <c r="B4" t="s">
        <v>3</v>
      </c>
      <c r="C4" t="s">
        <v>3555</v>
      </c>
      <c r="D4" t="s">
        <v>3554</v>
      </c>
      <c r="E4" s="99" t="s">
        <v>3552</v>
      </c>
      <c r="F4" s="98" t="s">
        <v>17</v>
      </c>
      <c r="G4" s="98" t="s">
        <v>104</v>
      </c>
      <c r="H4" t="s">
        <v>3195</v>
      </c>
      <c r="I4" s="97" t="s">
        <v>18</v>
      </c>
      <c r="J4" s="106" t="s">
        <v>1249</v>
      </c>
    </row>
    <row r="5" spans="1:10" x14ac:dyDescent="0.35">
      <c r="A5" s="98"/>
      <c r="D5" t="s">
        <v>3557</v>
      </c>
      <c r="E5" s="40" t="s">
        <v>3556</v>
      </c>
      <c r="F5" s="98"/>
      <c r="G5" s="98"/>
      <c r="I5" s="98"/>
      <c r="J5" s="43" t="s">
        <v>3553</v>
      </c>
    </row>
    <row r="6" spans="1:10" x14ac:dyDescent="0.35">
      <c r="A6" s="33" t="s">
        <v>663</v>
      </c>
      <c r="B6" t="s">
        <v>3</v>
      </c>
      <c r="C6" t="s">
        <v>25</v>
      </c>
      <c r="D6" t="s">
        <v>30</v>
      </c>
      <c r="E6" s="34" t="s">
        <v>662</v>
      </c>
      <c r="F6" s="33" t="s">
        <v>170</v>
      </c>
      <c r="G6" s="33" t="s">
        <v>171</v>
      </c>
      <c r="H6" t="s">
        <v>74</v>
      </c>
      <c r="I6" s="1" t="s">
        <v>521</v>
      </c>
      <c r="J6" s="3" t="s">
        <v>525</v>
      </c>
    </row>
    <row r="7" spans="1:10" x14ac:dyDescent="0.35">
      <c r="E7" s="17"/>
      <c r="I7" t="s">
        <v>117</v>
      </c>
      <c r="J7" t="s">
        <v>524</v>
      </c>
    </row>
    <row r="8" spans="1:10" x14ac:dyDescent="0.35">
      <c r="I8" t="s">
        <v>17</v>
      </c>
      <c r="J8" t="s">
        <v>523</v>
      </c>
    </row>
    <row r="9" spans="1:10" x14ac:dyDescent="0.35">
      <c r="I9" s="38" t="s">
        <v>18</v>
      </c>
      <c r="J9" t="s">
        <v>664</v>
      </c>
    </row>
    <row r="10" spans="1:10" x14ac:dyDescent="0.35">
      <c r="J10" s="36" t="s">
        <v>663</v>
      </c>
    </row>
    <row r="11" spans="1:10" x14ac:dyDescent="0.35">
      <c r="A11" s="33" t="s">
        <v>1205</v>
      </c>
      <c r="B11" t="s">
        <v>3</v>
      </c>
      <c r="C11" t="s">
        <v>25</v>
      </c>
      <c r="D11" t="s">
        <v>554</v>
      </c>
      <c r="E11" s="40" t="s">
        <v>1232</v>
      </c>
      <c r="F11" s="33" t="s">
        <v>170</v>
      </c>
      <c r="G11" s="42" t="s">
        <v>171</v>
      </c>
      <c r="H11" t="s">
        <v>74</v>
      </c>
      <c r="I11" s="1" t="s">
        <v>521</v>
      </c>
      <c r="J11" s="3" t="s">
        <v>1206</v>
      </c>
    </row>
    <row r="12" spans="1:10" x14ac:dyDescent="0.35">
      <c r="E12" s="34" t="s">
        <v>560</v>
      </c>
      <c r="G12" s="35" t="s">
        <v>1223</v>
      </c>
      <c r="I12" t="s">
        <v>117</v>
      </c>
      <c r="J12" t="s">
        <v>1207</v>
      </c>
    </row>
    <row r="13" spans="1:10" x14ac:dyDescent="0.35">
      <c r="I13" t="s">
        <v>17</v>
      </c>
      <c r="J13" s="36" t="s">
        <v>1208</v>
      </c>
    </row>
    <row r="14" spans="1:10" x14ac:dyDescent="0.35">
      <c r="I14" s="38" t="s">
        <v>18</v>
      </c>
    </row>
    <row r="15" spans="1:10" x14ac:dyDescent="0.35">
      <c r="A15" s="33" t="s">
        <v>4229</v>
      </c>
      <c r="B15" s="1" t="s">
        <v>315</v>
      </c>
      <c r="C15" t="s">
        <v>43</v>
      </c>
      <c r="D15" t="s">
        <v>159</v>
      </c>
      <c r="E15" s="34" t="s">
        <v>1522</v>
      </c>
      <c r="F15" s="33" t="s">
        <v>461</v>
      </c>
      <c r="G15" s="33" t="s">
        <v>4230</v>
      </c>
      <c r="H15" t="s">
        <v>130</v>
      </c>
      <c r="I15" s="1" t="s">
        <v>461</v>
      </c>
      <c r="J15" s="3" t="s">
        <v>4231</v>
      </c>
    </row>
    <row r="16" spans="1:10" x14ac:dyDescent="0.35">
      <c r="E16" s="40"/>
      <c r="I16" t="s">
        <v>170</v>
      </c>
      <c r="J16" s="8" t="s">
        <v>4232</v>
      </c>
    </row>
    <row r="17" spans="1:10" x14ac:dyDescent="0.35">
      <c r="I17" t="s">
        <v>521</v>
      </c>
      <c r="J17" s="8" t="s">
        <v>4233</v>
      </c>
    </row>
    <row r="18" spans="1:10" x14ac:dyDescent="0.35">
      <c r="I18" t="s">
        <v>117</v>
      </c>
      <c r="J18" s="8" t="s">
        <v>4234</v>
      </c>
    </row>
    <row r="19" spans="1:10" x14ac:dyDescent="0.35">
      <c r="I19" t="s">
        <v>17</v>
      </c>
      <c r="J19" s="8" t="s">
        <v>4235</v>
      </c>
    </row>
    <row r="20" spans="1:10" x14ac:dyDescent="0.35">
      <c r="I20" s="38" t="s">
        <v>18</v>
      </c>
      <c r="J20" s="36" t="s">
        <v>4236</v>
      </c>
    </row>
    <row r="21" spans="1:10" x14ac:dyDescent="0.35">
      <c r="A21" s="33" t="s">
        <v>1663</v>
      </c>
      <c r="B21" t="s">
        <v>3</v>
      </c>
      <c r="C21" t="s">
        <v>25</v>
      </c>
      <c r="D21" t="s">
        <v>22</v>
      </c>
      <c r="E21" s="34" t="s">
        <v>1430</v>
      </c>
      <c r="F21" s="33" t="s">
        <v>170</v>
      </c>
      <c r="G21" s="33" t="s">
        <v>171</v>
      </c>
      <c r="H21" t="s">
        <v>74</v>
      </c>
      <c r="I21" s="1" t="s">
        <v>521</v>
      </c>
      <c r="J21" s="3" t="s">
        <v>1664</v>
      </c>
    </row>
    <row r="22" spans="1:10" x14ac:dyDescent="0.35">
      <c r="E22" s="40" t="s">
        <v>1322</v>
      </c>
      <c r="I22" t="s">
        <v>117</v>
      </c>
      <c r="J22" t="s">
        <v>1665</v>
      </c>
    </row>
    <row r="23" spans="1:10" x14ac:dyDescent="0.35">
      <c r="I23" t="s">
        <v>17</v>
      </c>
      <c r="J23" t="s">
        <v>1666</v>
      </c>
    </row>
    <row r="24" spans="1:10" x14ac:dyDescent="0.35">
      <c r="I24" s="38" t="s">
        <v>18</v>
      </c>
      <c r="J24" s="36" t="s">
        <v>1663</v>
      </c>
    </row>
    <row r="25" spans="1:10" x14ac:dyDescent="0.35">
      <c r="A25" s="33" t="s">
        <v>2111</v>
      </c>
      <c r="B25" t="s">
        <v>3</v>
      </c>
      <c r="C25" t="s">
        <v>25</v>
      </c>
      <c r="D25" t="s">
        <v>177</v>
      </c>
      <c r="E25" s="34" t="s">
        <v>132</v>
      </c>
      <c r="F25" s="33" t="s">
        <v>170</v>
      </c>
      <c r="G25" s="42" t="s">
        <v>171</v>
      </c>
      <c r="H25" t="s">
        <v>74</v>
      </c>
      <c r="I25" s="1" t="s">
        <v>521</v>
      </c>
      <c r="J25" s="3" t="s">
        <v>1206</v>
      </c>
    </row>
    <row r="26" spans="1:10" x14ac:dyDescent="0.35">
      <c r="E26" s="40" t="s">
        <v>145</v>
      </c>
      <c r="G26" s="35" t="s">
        <v>1223</v>
      </c>
      <c r="I26" t="s">
        <v>117</v>
      </c>
      <c r="J26" t="s">
        <v>1207</v>
      </c>
    </row>
    <row r="27" spans="1:10" x14ac:dyDescent="0.35">
      <c r="I27" t="s">
        <v>17</v>
      </c>
      <c r="J27" t="s">
        <v>1208</v>
      </c>
    </row>
    <row r="28" spans="1:10" x14ac:dyDescent="0.35">
      <c r="I28" s="38" t="s">
        <v>18</v>
      </c>
      <c r="J28" s="36" t="s">
        <v>2112</v>
      </c>
    </row>
    <row r="29" spans="1:10" x14ac:dyDescent="0.35">
      <c r="A29" s="33" t="s">
        <v>168</v>
      </c>
      <c r="B29" t="s">
        <v>3</v>
      </c>
      <c r="C29" t="s">
        <v>43</v>
      </c>
      <c r="D29" t="s">
        <v>177</v>
      </c>
      <c r="E29" s="40" t="s">
        <v>32</v>
      </c>
      <c r="F29" s="33" t="s">
        <v>170</v>
      </c>
      <c r="G29" s="42" t="s">
        <v>171</v>
      </c>
      <c r="H29" t="s">
        <v>74</v>
      </c>
      <c r="I29" s="1" t="s">
        <v>172</v>
      </c>
      <c r="J29" s="3" t="s">
        <v>173</v>
      </c>
    </row>
    <row r="30" spans="1:10" x14ac:dyDescent="0.35">
      <c r="E30" s="34" t="s">
        <v>169</v>
      </c>
      <c r="G30" s="35" t="s">
        <v>1223</v>
      </c>
      <c r="I30" t="s">
        <v>117</v>
      </c>
      <c r="J30" t="s">
        <v>174</v>
      </c>
    </row>
    <row r="31" spans="1:10" x14ac:dyDescent="0.35">
      <c r="I31" t="s">
        <v>17</v>
      </c>
      <c r="J31" t="s">
        <v>175</v>
      </c>
    </row>
    <row r="32" spans="1:10" x14ac:dyDescent="0.35">
      <c r="I32" s="38" t="s">
        <v>18</v>
      </c>
      <c r="J32" s="36" t="s">
        <v>176</v>
      </c>
    </row>
    <row r="33" spans="1:10" x14ac:dyDescent="0.35">
      <c r="A33" s="33" t="s">
        <v>2761</v>
      </c>
      <c r="B33" t="s">
        <v>3</v>
      </c>
      <c r="C33" t="s">
        <v>43</v>
      </c>
      <c r="D33" t="s">
        <v>159</v>
      </c>
      <c r="E33" s="34" t="s">
        <v>363</v>
      </c>
      <c r="F33" s="33" t="s">
        <v>461</v>
      </c>
      <c r="G33" s="33" t="s">
        <v>2762</v>
      </c>
      <c r="H33" t="s">
        <v>73</v>
      </c>
      <c r="I33" s="1" t="s">
        <v>170</v>
      </c>
      <c r="J33" s="3" t="s">
        <v>2763</v>
      </c>
    </row>
    <row r="34" spans="1:10" x14ac:dyDescent="0.35">
      <c r="E34" s="40" t="s">
        <v>363</v>
      </c>
      <c r="I34" t="s">
        <v>521</v>
      </c>
      <c r="J34" s="8" t="s">
        <v>2764</v>
      </c>
    </row>
    <row r="35" spans="1:10" x14ac:dyDescent="0.35">
      <c r="I35" t="s">
        <v>117</v>
      </c>
      <c r="J35" s="8" t="s">
        <v>2765</v>
      </c>
    </row>
    <row r="36" spans="1:10" x14ac:dyDescent="0.35">
      <c r="I36" t="s">
        <v>17</v>
      </c>
      <c r="J36" s="8" t="s">
        <v>2766</v>
      </c>
    </row>
    <row r="37" spans="1:10" x14ac:dyDescent="0.35">
      <c r="I37" s="38" t="s">
        <v>18</v>
      </c>
      <c r="J37" s="8" t="s">
        <v>2767</v>
      </c>
    </row>
    <row r="38" spans="1:10" x14ac:dyDescent="0.35">
      <c r="J38" s="36" t="s">
        <v>2761</v>
      </c>
    </row>
    <row r="39" spans="1:10" x14ac:dyDescent="0.35">
      <c r="A39" s="33" t="s">
        <v>520</v>
      </c>
      <c r="B39" s="2" t="s">
        <v>517</v>
      </c>
      <c r="C39" t="s">
        <v>1209</v>
      </c>
      <c r="D39" t="s">
        <v>22</v>
      </c>
      <c r="E39" s="34" t="s">
        <v>161</v>
      </c>
      <c r="F39" s="33" t="s">
        <v>170</v>
      </c>
      <c r="G39" s="33" t="s">
        <v>171</v>
      </c>
      <c r="H39" t="s">
        <v>74</v>
      </c>
      <c r="I39" s="1" t="s">
        <v>521</v>
      </c>
      <c r="J39" s="3" t="s">
        <v>525</v>
      </c>
    </row>
    <row r="40" spans="1:10" x14ac:dyDescent="0.35">
      <c r="I40" t="s">
        <v>117</v>
      </c>
      <c r="J40" t="s">
        <v>524</v>
      </c>
    </row>
    <row r="41" spans="1:10" x14ac:dyDescent="0.35">
      <c r="I41" t="s">
        <v>17</v>
      </c>
      <c r="J41" t="s">
        <v>523</v>
      </c>
    </row>
    <row r="42" spans="1:10" x14ac:dyDescent="0.35">
      <c r="I42" s="38" t="s">
        <v>18</v>
      </c>
      <c r="J42" s="36" t="s">
        <v>522</v>
      </c>
    </row>
    <row r="43" spans="1:10" x14ac:dyDescent="0.35">
      <c r="A43" s="33" t="s">
        <v>3333</v>
      </c>
      <c r="B43" s="1" t="s">
        <v>315</v>
      </c>
      <c r="C43" t="s">
        <v>1209</v>
      </c>
      <c r="D43" t="s">
        <v>597</v>
      </c>
      <c r="E43" s="34" t="s">
        <v>161</v>
      </c>
      <c r="F43" s="33" t="s">
        <v>170</v>
      </c>
      <c r="G43" s="33" t="s">
        <v>171</v>
      </c>
      <c r="H43" t="s">
        <v>74</v>
      </c>
      <c r="I43" s="1" t="s">
        <v>521</v>
      </c>
      <c r="J43" s="3" t="s">
        <v>3327</v>
      </c>
    </row>
    <row r="44" spans="1:10" x14ac:dyDescent="0.35">
      <c r="I44" t="s">
        <v>117</v>
      </c>
      <c r="J44" t="s">
        <v>3328</v>
      </c>
    </row>
    <row r="45" spans="1:10" x14ac:dyDescent="0.35">
      <c r="I45" t="s">
        <v>17</v>
      </c>
      <c r="J45" t="s">
        <v>3329</v>
      </c>
    </row>
    <row r="46" spans="1:10" x14ac:dyDescent="0.35">
      <c r="I46" s="38" t="s">
        <v>18</v>
      </c>
      <c r="J46" t="s">
        <v>3330</v>
      </c>
    </row>
    <row r="47" spans="1:10" x14ac:dyDescent="0.35">
      <c r="I47" s="37"/>
      <c r="J47" t="s">
        <v>3331</v>
      </c>
    </row>
    <row r="48" spans="1:10" x14ac:dyDescent="0.35">
      <c r="I48" s="37"/>
      <c r="J48" s="36" t="s">
        <v>3332</v>
      </c>
    </row>
    <row r="49" spans="1:10" x14ac:dyDescent="0.35">
      <c r="A49" s="33" t="s">
        <v>3501</v>
      </c>
      <c r="B49" t="s">
        <v>3</v>
      </c>
      <c r="C49" t="s">
        <v>43</v>
      </c>
      <c r="D49" t="s">
        <v>30</v>
      </c>
      <c r="E49" s="34" t="s">
        <v>189</v>
      </c>
      <c r="F49" s="33" t="s">
        <v>170</v>
      </c>
      <c r="G49" s="33" t="s">
        <v>171</v>
      </c>
      <c r="H49" t="s">
        <v>74</v>
      </c>
      <c r="I49" s="1" t="s">
        <v>521</v>
      </c>
      <c r="J49" s="3" t="s">
        <v>3496</v>
      </c>
    </row>
    <row r="50" spans="1:10" x14ac:dyDescent="0.35">
      <c r="E50" s="17"/>
      <c r="I50" t="s">
        <v>117</v>
      </c>
      <c r="J50" t="s">
        <v>3497</v>
      </c>
    </row>
    <row r="51" spans="1:10" x14ac:dyDescent="0.35">
      <c r="I51" t="s">
        <v>17</v>
      </c>
      <c r="J51" t="s">
        <v>3498</v>
      </c>
    </row>
    <row r="52" spans="1:10" x14ac:dyDescent="0.35">
      <c r="I52" s="38" t="s">
        <v>18</v>
      </c>
      <c r="J52" t="s">
        <v>3499</v>
      </c>
    </row>
    <row r="53" spans="1:10" x14ac:dyDescent="0.35">
      <c r="J53" s="36" t="s">
        <v>3500</v>
      </c>
    </row>
    <row r="54" spans="1:10" x14ac:dyDescent="0.35">
      <c r="A54" s="33" t="s">
        <v>3738</v>
      </c>
      <c r="B54" t="s">
        <v>3</v>
      </c>
      <c r="C54" t="s">
        <v>43</v>
      </c>
      <c r="D54" t="s">
        <v>597</v>
      </c>
      <c r="E54" s="34" t="s">
        <v>216</v>
      </c>
      <c r="F54" s="33" t="s">
        <v>170</v>
      </c>
      <c r="G54" s="33" t="s">
        <v>171</v>
      </c>
      <c r="H54" t="s">
        <v>74</v>
      </c>
      <c r="I54" s="1" t="s">
        <v>521</v>
      </c>
      <c r="J54" s="3" t="s">
        <v>3327</v>
      </c>
    </row>
    <row r="55" spans="1:10" x14ac:dyDescent="0.35">
      <c r="I55" t="s">
        <v>117</v>
      </c>
      <c r="J55" t="s">
        <v>3328</v>
      </c>
    </row>
    <row r="56" spans="1:10" x14ac:dyDescent="0.35">
      <c r="I56" t="s">
        <v>17</v>
      </c>
      <c r="J56" t="s">
        <v>3329</v>
      </c>
    </row>
    <row r="57" spans="1:10" x14ac:dyDescent="0.35">
      <c r="I57" s="38" t="s">
        <v>18</v>
      </c>
      <c r="J57" t="s">
        <v>3330</v>
      </c>
    </row>
    <row r="58" spans="1:10" x14ac:dyDescent="0.35">
      <c r="I58" s="37"/>
      <c r="J58" t="s">
        <v>3739</v>
      </c>
    </row>
    <row r="59" spans="1:10" x14ac:dyDescent="0.35">
      <c r="I59" s="37"/>
      <c r="J59" s="36" t="s">
        <v>3740</v>
      </c>
    </row>
    <row r="60" spans="1:10" x14ac:dyDescent="0.35">
      <c r="A60" s="33" t="s">
        <v>458</v>
      </c>
      <c r="B60" t="s">
        <v>3</v>
      </c>
      <c r="C60" t="s">
        <v>43</v>
      </c>
      <c r="D60" t="s">
        <v>459</v>
      </c>
      <c r="E60" s="34" t="s">
        <v>72</v>
      </c>
      <c r="G60" t="s">
        <v>460</v>
      </c>
      <c r="H60" t="s">
        <v>130</v>
      </c>
      <c r="I60" s="1" t="s">
        <v>461</v>
      </c>
      <c r="J60" s="6" t="s">
        <v>462</v>
      </c>
    </row>
    <row r="61" spans="1:10" x14ac:dyDescent="0.35">
      <c r="E61" s="40" t="s">
        <v>72</v>
      </c>
      <c r="I61" t="s">
        <v>170</v>
      </c>
      <c r="J61" s="8" t="s">
        <v>463</v>
      </c>
    </row>
    <row r="62" spans="1:10" x14ac:dyDescent="0.35">
      <c r="I62" t="s">
        <v>172</v>
      </c>
      <c r="J62" s="8" t="s">
        <v>464</v>
      </c>
    </row>
    <row r="63" spans="1:10" x14ac:dyDescent="0.35">
      <c r="I63" t="s">
        <v>117</v>
      </c>
      <c r="J63" s="8" t="s">
        <v>465</v>
      </c>
    </row>
    <row r="64" spans="1:10" x14ac:dyDescent="0.35">
      <c r="I64" t="s">
        <v>17</v>
      </c>
      <c r="J64" s="8" t="s">
        <v>466</v>
      </c>
    </row>
    <row r="65" spans="1:10" x14ac:dyDescent="0.35">
      <c r="I65" s="38" t="s">
        <v>18</v>
      </c>
      <c r="J65" s="8" t="s">
        <v>467</v>
      </c>
    </row>
    <row r="66" spans="1:10" x14ac:dyDescent="0.35">
      <c r="J66" s="36" t="s">
        <v>468</v>
      </c>
    </row>
    <row r="67" spans="1:10" x14ac:dyDescent="0.35">
      <c r="A67" s="33" t="s">
        <v>3736</v>
      </c>
      <c r="B67" t="s">
        <v>3</v>
      </c>
      <c r="C67" t="s">
        <v>43</v>
      </c>
      <c r="D67" t="s">
        <v>2133</v>
      </c>
      <c r="E67" s="34" t="s">
        <v>65</v>
      </c>
      <c r="F67" t="s">
        <v>461</v>
      </c>
      <c r="G67" t="s">
        <v>2762</v>
      </c>
      <c r="H67" t="s">
        <v>73</v>
      </c>
      <c r="I67" s="1" t="s">
        <v>170</v>
      </c>
      <c r="J67" s="3" t="s">
        <v>2763</v>
      </c>
    </row>
    <row r="68" spans="1:10" x14ac:dyDescent="0.35">
      <c r="E68" s="40"/>
      <c r="I68" t="s">
        <v>521</v>
      </c>
      <c r="J68" s="8" t="s">
        <v>2764</v>
      </c>
    </row>
    <row r="69" spans="1:10" x14ac:dyDescent="0.35">
      <c r="I69" t="s">
        <v>117</v>
      </c>
      <c r="J69" s="8" t="s">
        <v>3733</v>
      </c>
    </row>
    <row r="70" spans="1:10" x14ac:dyDescent="0.35">
      <c r="I70" t="s">
        <v>17</v>
      </c>
      <c r="J70" s="8" t="s">
        <v>3734</v>
      </c>
    </row>
    <row r="71" spans="1:10" x14ac:dyDescent="0.35">
      <c r="I71" s="38" t="s">
        <v>18</v>
      </c>
      <c r="J71" s="36" t="s">
        <v>3735</v>
      </c>
    </row>
  </sheetData>
  <hyperlinks>
    <hyperlink ref="A1" location="Summary!A1" tooltip="Return to Totals" display="Back to Totals" xr:uid="{50E342B1-0BDE-42B5-8B9F-2DAFCFD6254A}"/>
    <hyperlink ref="I9" r:id="rId1" xr:uid="{79F4EF68-A740-4E20-984F-3E4FC02E3AE5}"/>
    <hyperlink ref="I14" r:id="rId2" xr:uid="{DA3077CF-2E9E-437D-9B69-9780530013EC}"/>
    <hyperlink ref="I24" r:id="rId3" xr:uid="{89020F60-ED69-4A2C-AB07-1A37DEA48443}"/>
    <hyperlink ref="I28" r:id="rId4" xr:uid="{A27DBE1A-D868-4FEF-A271-30F9A051DC53}"/>
    <hyperlink ref="I32" r:id="rId5" xr:uid="{F5033B7A-BAE7-424D-80C8-95A422D7F74C}"/>
    <hyperlink ref="I37" r:id="rId6" xr:uid="{925AB395-63AA-4CAC-A6B2-596C5396BDA1}"/>
    <hyperlink ref="I42" r:id="rId7" xr:uid="{B8E08712-59FE-464F-9F0A-2CBEDDE4E433}"/>
    <hyperlink ref="I65" r:id="rId8" xr:uid="{BD65C1A4-8AFF-4AB4-BC9F-4E2D984A4785}"/>
    <hyperlink ref="F6" r:id="rId9" xr:uid="{6E2016EE-FE58-4FC9-90AB-7F5FF389EDB2}"/>
    <hyperlink ref="F11" r:id="rId10" xr:uid="{2E2BFC4E-97FF-40B7-81DD-A081E665B598}"/>
    <hyperlink ref="F21" r:id="rId11" xr:uid="{F22CFB11-9B4C-4AA0-AC4A-89017A9B4D59}"/>
    <hyperlink ref="F25" r:id="rId12" xr:uid="{9B9E6DC1-3492-4C6A-92AA-41CC79F355D4}"/>
    <hyperlink ref="F29" r:id="rId13" xr:uid="{EA9C7B60-8FC4-451F-870E-8DBE938D81DD}"/>
    <hyperlink ref="F39" r:id="rId14" xr:uid="{EA5F3B84-C514-4BDF-84B8-167175E9CFB2}"/>
    <hyperlink ref="G6" r:id="rId15" xr:uid="{3979C3F2-0622-47BE-8386-5BCA79BF2834}"/>
    <hyperlink ref="G11" r:id="rId16" xr:uid="{B530ED6C-3845-47BF-B8AA-B0E38B51604B}"/>
    <hyperlink ref="G21" r:id="rId17" xr:uid="{BBEC8EA2-190B-4AD2-A375-7085F6FD3F7F}"/>
    <hyperlink ref="G25" r:id="rId18" xr:uid="{AC6AE12B-0514-4844-88E9-7F3AD264CDC8}"/>
    <hyperlink ref="G29" r:id="rId19" xr:uid="{C7F01A9F-0704-4D1F-9B60-D4328E7AF170}"/>
    <hyperlink ref="G39" r:id="rId20" xr:uid="{F55B6F9B-9690-4596-96DE-89A8489EAEFC}"/>
    <hyperlink ref="G26" r:id="rId21" xr:uid="{8A5E0889-BFD0-4651-B312-C5C712E6E4C1}"/>
    <hyperlink ref="G30" r:id="rId22" xr:uid="{786AD932-5213-4B1F-98A9-720DAE4BA570}"/>
    <hyperlink ref="G12" r:id="rId23" xr:uid="{6EC23979-196F-43F9-BB0D-7D6610BCF8E3}"/>
    <hyperlink ref="J10" r:id="rId24" xr:uid="{82C1DC60-CFE9-4EC5-BB75-B9E4CD24F7F0}"/>
    <hyperlink ref="A6" r:id="rId25" xr:uid="{168470B0-CE2B-42F0-B44C-69C727261F31}"/>
    <hyperlink ref="J13" r:id="rId26" xr:uid="{A01BFECD-2EFE-4F68-9EB0-F12CA616F474}"/>
    <hyperlink ref="A11" r:id="rId27" xr:uid="{5093EC93-CD7B-4694-AA83-4D2A627CE3ED}"/>
    <hyperlink ref="J24" r:id="rId28" xr:uid="{E820FD00-AEA9-41CF-90E9-8AFA9CC019F6}"/>
    <hyperlink ref="A21" r:id="rId29" xr:uid="{1D5A356A-F6F3-4D49-97BC-F6276780E820}"/>
    <hyperlink ref="J28" r:id="rId30" xr:uid="{02EE9588-4790-498D-8FC5-7726197A982F}"/>
    <hyperlink ref="A25" r:id="rId31" xr:uid="{344CF9E5-321C-403C-B21B-059F6C41929C}"/>
    <hyperlink ref="J32" r:id="rId32" xr:uid="{16FAE069-1A9A-424F-BD6C-5C6385CFA4F4}"/>
    <hyperlink ref="A29" r:id="rId33" xr:uid="{3AFF2FEA-28F0-4770-B99B-02CD5372A6CE}"/>
    <hyperlink ref="J38" r:id="rId34" xr:uid="{6F5D1699-A1C5-4B5C-8796-08C476E08F2D}"/>
    <hyperlink ref="A33" r:id="rId35" xr:uid="{F81B6752-49CB-4AAC-B7E7-FACC7691AA61}"/>
    <hyperlink ref="J42" r:id="rId36" xr:uid="{83834A2C-ACA8-4C0B-A563-8FA602C1E8FC}"/>
    <hyperlink ref="J66" r:id="rId37" xr:uid="{67105B3F-B451-4F2B-B0AA-D46120D1B513}"/>
    <hyperlink ref="A60" r:id="rId38" xr:uid="{2E20869E-8358-4759-BD32-1D097119E72F}"/>
    <hyperlink ref="A39" r:id="rId39" xr:uid="{D572E4FC-00C1-45CC-99C3-E6DE90CE3C3F}"/>
    <hyperlink ref="I3" r:id="rId40" xr:uid="{A3E10E23-0634-44D1-98B9-09849A44DB48}"/>
    <hyperlink ref="J3" r:id="rId41" xr:uid="{8321FB83-1ED0-4888-A243-DD222AE98AFD}"/>
    <hyperlink ref="F3" r:id="rId42" xr:uid="{851C2AC4-20CA-42C2-9113-22E94C44C35A}"/>
    <hyperlink ref="G3" r:id="rId43" xr:uid="{5FAB563D-00ED-4313-B55A-74A98834CDB2}"/>
    <hyperlink ref="A3" r:id="rId44" xr:uid="{9C2A8C35-2717-4FD9-86BD-3812133FB251}"/>
    <hyperlink ref="E3" r:id="rId45" xr:uid="{27BB54FD-3B60-43C6-8F6B-BE46DA187C8F}"/>
    <hyperlink ref="E61" r:id="rId46" xr:uid="{4EDC4A57-D3D2-4C19-9005-8BCACDA34430}"/>
    <hyperlink ref="E60" r:id="rId47" xr:uid="{711C0656-5F34-4D4D-B108-117833CFD602}"/>
    <hyperlink ref="E39" r:id="rId48" xr:uid="{974A2C8C-01AF-4B46-897C-540848E01573}"/>
    <hyperlink ref="E34" r:id="rId49" xr:uid="{797D1004-523A-4F5F-BA51-B2742BFCF8A5}"/>
    <hyperlink ref="E33" r:id="rId50" xr:uid="{E671B4F2-6E82-48CF-BE02-CA244920F921}"/>
    <hyperlink ref="E30" r:id="rId51" xr:uid="{48FE63CC-0D5B-4D31-9465-E7DEAC1AE218}"/>
    <hyperlink ref="E29" r:id="rId52" xr:uid="{E4CB01CD-31F3-43C7-AFF6-ECB7DC6D7B70}"/>
    <hyperlink ref="E26" r:id="rId53" xr:uid="{41415850-0AD3-41DA-BA3C-D713E7A542B1}"/>
    <hyperlink ref="E25" r:id="rId54" xr:uid="{67BF82F9-CCDD-41E7-BB62-D43CF316ED91}"/>
    <hyperlink ref="E22" r:id="rId55" xr:uid="{A473929A-4DD0-4A03-B27C-6D22313A0BB7}"/>
    <hyperlink ref="E21" r:id="rId56" xr:uid="{299DC037-45AE-46F1-B715-F2B240AB7D8C}"/>
    <hyperlink ref="E12" r:id="rId57" xr:uid="{1B967A81-0C20-410D-B234-2AF31B8330C4}"/>
    <hyperlink ref="E11" r:id="rId58" xr:uid="{4255076A-A8AB-4101-99EC-164A32BC4E1C}"/>
    <hyperlink ref="E6" r:id="rId59" xr:uid="{7F5ACE99-B97D-49B8-A403-C9B465FC9ACE}"/>
    <hyperlink ref="I46" r:id="rId60" xr:uid="{D10F34A7-46FE-4AFF-910B-CA15CD394B05}"/>
    <hyperlink ref="F43" r:id="rId61" xr:uid="{662DADF8-D227-45E9-A311-8A3F80268492}"/>
    <hyperlink ref="G43" r:id="rId62" xr:uid="{9FC605AB-095F-4771-B2C8-71562ABBBA41}"/>
    <hyperlink ref="A43" r:id="rId63" xr:uid="{A12B48FA-2FEA-45B2-ADBF-5E6E6E999D1C}"/>
    <hyperlink ref="E43" r:id="rId64" xr:uid="{A93D7CBA-FB8D-4455-9FF3-F2CD6C2EE53E}"/>
    <hyperlink ref="J48" r:id="rId65" xr:uid="{A6CF5070-1A19-4016-B455-5DF3128D7F3D}"/>
    <hyperlink ref="I52" r:id="rId66" xr:uid="{7540EAEF-621C-499D-B985-43D9E48BB869}"/>
    <hyperlink ref="F49" r:id="rId67" xr:uid="{CC94F37E-1B50-4B32-B868-516760C06ABD}"/>
    <hyperlink ref="G49" r:id="rId68" xr:uid="{CE27C314-7289-4B1E-8719-6520FE97FFDE}"/>
    <hyperlink ref="J53" r:id="rId69" xr:uid="{6F543292-0BAD-4212-9EBB-FD9089AED9EF}"/>
    <hyperlink ref="A49" r:id="rId70" xr:uid="{EA30A31C-62A7-4764-B694-B55DD2659BCC}"/>
    <hyperlink ref="E49" r:id="rId71" xr:uid="{B9088DE8-BA93-4C75-BDCC-F9BE8CAEBBF3}"/>
    <hyperlink ref="A4" r:id="rId72" xr:uid="{74D7F01E-977C-4C13-80D6-046433C5018F}"/>
    <hyperlink ref="E4" r:id="rId73" xr:uid="{39771BEB-D369-48C0-B788-0888E5EE2FEE}"/>
    <hyperlink ref="F4" r:id="rId74" xr:uid="{8F89E0C2-9F01-40A6-BE3E-82ECF286E7BA}"/>
    <hyperlink ref="G4" r:id="rId75" xr:uid="{110023AA-020E-40EF-A6C7-128FA4589B01}"/>
    <hyperlink ref="I4" r:id="rId76" xr:uid="{FB372701-4FA2-4AAC-BB27-8271D7C0F85D}"/>
    <hyperlink ref="J4" r:id="rId77" xr:uid="{F9924E6F-76B0-4AF2-91B5-2AF0B5B0933E}"/>
    <hyperlink ref="J5" r:id="rId78" xr:uid="{969F5B3F-1B88-4124-B5A0-969CBD44BEF6}"/>
    <hyperlink ref="E5" r:id="rId79" xr:uid="{F04A8BDF-5739-4A7C-B410-7C63AB917898}"/>
    <hyperlink ref="I71" r:id="rId80" xr:uid="{0B52E0B8-C7BB-4FB7-9EAC-C0669C30548F}"/>
    <hyperlink ref="A67" r:id="rId81" xr:uid="{D1C11B79-27E4-4E99-AB03-5581E8071782}"/>
    <hyperlink ref="E67" r:id="rId82" xr:uid="{1F7AD9D6-1BA7-4D3D-958C-16120B9EC36D}"/>
    <hyperlink ref="J71" r:id="rId83" xr:uid="{ABBED0F0-5A5E-45C2-A87B-BF6344E77DC4}"/>
    <hyperlink ref="I57" r:id="rId84" xr:uid="{A6F0C990-3241-4095-8281-CC758260D96D}"/>
    <hyperlink ref="F54" r:id="rId85" xr:uid="{5EAEAB40-3B81-4E44-9EB2-262810F7B6F6}"/>
    <hyperlink ref="G54" r:id="rId86" xr:uid="{D84014FA-35C7-404B-A33A-507532306187}"/>
    <hyperlink ref="A54" r:id="rId87" xr:uid="{D11EDCB5-B83F-489C-9977-F2F41806B3A5}"/>
    <hyperlink ref="E54" r:id="rId88" xr:uid="{2641E212-8D6C-4C17-A210-308A2423ED1E}"/>
    <hyperlink ref="J59" r:id="rId89" xr:uid="{F88C8584-8F32-4252-96A5-1C62BF2767C8}"/>
    <hyperlink ref="I20" r:id="rId90" xr:uid="{EACD7A33-6D1E-4C11-806A-887A233666C9}"/>
    <hyperlink ref="J20" r:id="rId91" xr:uid="{2AB99989-2F55-4B50-9CD8-464EE4A91BAB}"/>
    <hyperlink ref="A15" r:id="rId92" xr:uid="{24DEC28E-16F3-4ECC-98D5-78243507538E}"/>
    <hyperlink ref="E15" r:id="rId93" xr:uid="{8311E69F-9594-4221-98FB-5461B5A3C16E}"/>
    <hyperlink ref="F33" r:id="rId94" xr:uid="{4D3C5C1F-EAC6-4B64-807F-F1FC0166DF7C}"/>
    <hyperlink ref="G33" r:id="rId95" xr:uid="{445381D8-C096-46CE-B3C0-BD6A3FB8D1BE}"/>
    <hyperlink ref="F15" r:id="rId96" xr:uid="{DCA39977-3D54-4FE2-B995-FCD00AC3512F}"/>
    <hyperlink ref="G15" r:id="rId97" xr:uid="{830C9B2E-D1A0-4D82-8A36-D23D4A435A0D}"/>
  </hyperlinks>
  <pageMargins left="0.7" right="0.7" top="0.75" bottom="0.75" header="0.3" footer="0.3"/>
  <pageSetup paperSize="9" orientation="portrait" horizontalDpi="0" verticalDpi="0" r:id="rId98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38">
    <tabColor theme="6"/>
  </sheetPr>
  <dimension ref="A1:K337"/>
  <sheetViews>
    <sheetView workbookViewId="0"/>
  </sheetViews>
  <sheetFormatPr defaultRowHeight="14.5" x14ac:dyDescent="0.35"/>
  <cols>
    <col min="1" max="1" width="23.6328125" customWidth="1"/>
    <col min="2" max="2" width="12.81640625" customWidth="1"/>
    <col min="3" max="3" width="23.54296875" customWidth="1"/>
    <col min="4" max="4" width="21.36328125" customWidth="1"/>
    <col min="5" max="5" width="12.81640625" customWidth="1"/>
    <col min="6" max="6" width="28" customWidth="1"/>
    <col min="7" max="7" width="25.453125" customWidth="1"/>
    <col min="8" max="8" width="19" customWidth="1"/>
    <col min="9" max="9" width="26.453125" customWidth="1"/>
    <col min="10" max="10" width="21.81640625" customWidth="1"/>
    <col min="11" max="11" width="24" customWidth="1"/>
  </cols>
  <sheetData>
    <row r="1" spans="1:11" x14ac:dyDescent="0.35">
      <c r="A1" s="34" t="s">
        <v>3196</v>
      </c>
      <c r="B1" s="16">
        <f>COUNTIF(I2:I1202,C1)+COUNTIF(I2:I1202,D1)</f>
        <v>45</v>
      </c>
      <c r="C1" s="9" t="s">
        <v>18</v>
      </c>
      <c r="D1" s="19" t="s">
        <v>1249</v>
      </c>
    </row>
    <row r="2" spans="1:11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  <c r="K2" s="10" t="s">
        <v>4252</v>
      </c>
    </row>
    <row r="3" spans="1:11" x14ac:dyDescent="0.35">
      <c r="A3" s="33" t="s">
        <v>477</v>
      </c>
      <c r="B3" t="s">
        <v>3</v>
      </c>
      <c r="C3" t="s">
        <v>43</v>
      </c>
      <c r="D3" t="s">
        <v>55</v>
      </c>
      <c r="E3" s="54" t="s">
        <v>32</v>
      </c>
      <c r="F3" s="33" t="s">
        <v>146</v>
      </c>
      <c r="G3" s="33" t="s">
        <v>147</v>
      </c>
      <c r="H3" t="s">
        <v>54</v>
      </c>
      <c r="I3" s="1" t="s">
        <v>134</v>
      </c>
      <c r="J3" s="3" t="s">
        <v>478</v>
      </c>
      <c r="K3" t="str" cm="1">
        <f t="array" ref="K3:K175">_xlfn._xlws.SORT(_xlfn.UNIQUE(J:J))</f>
        <v>Adelaide Mary Edwards</v>
      </c>
    </row>
    <row r="4" spans="1:11" x14ac:dyDescent="0.35">
      <c r="E4" s="34" t="s">
        <v>161</v>
      </c>
      <c r="I4" t="s">
        <v>141</v>
      </c>
      <c r="J4" t="s">
        <v>478</v>
      </c>
      <c r="K4" t="str">
        <v>Albert Arthur Eaton</v>
      </c>
    </row>
    <row r="5" spans="1:11" x14ac:dyDescent="0.35">
      <c r="I5" t="s">
        <v>142</v>
      </c>
      <c r="J5" t="s">
        <v>479</v>
      </c>
      <c r="K5" t="str">
        <v>Albert Gordon James</v>
      </c>
    </row>
    <row r="6" spans="1:11" x14ac:dyDescent="0.35">
      <c r="I6" t="s">
        <v>98</v>
      </c>
      <c r="J6" t="s">
        <v>480</v>
      </c>
      <c r="K6" t="str">
        <v>Alfred Gaught</v>
      </c>
    </row>
    <row r="7" spans="1:11" x14ac:dyDescent="0.35">
      <c r="I7" t="s">
        <v>100</v>
      </c>
      <c r="J7" t="s">
        <v>481</v>
      </c>
      <c r="K7" t="str">
        <v>Alfred John Ruddock</v>
      </c>
    </row>
    <row r="8" spans="1:11" x14ac:dyDescent="0.35">
      <c r="I8" t="s">
        <v>104</v>
      </c>
      <c r="J8" t="s">
        <v>481</v>
      </c>
      <c r="K8" t="str">
        <v>Alfred William Cooper</v>
      </c>
    </row>
    <row r="9" spans="1:11" x14ac:dyDescent="0.35">
      <c r="I9" s="38" t="s">
        <v>18</v>
      </c>
      <c r="J9" s="36" t="s">
        <v>477</v>
      </c>
      <c r="K9" t="str">
        <v>Alice Ruddock</v>
      </c>
    </row>
    <row r="10" spans="1:11" x14ac:dyDescent="0.35">
      <c r="A10" s="33" t="s">
        <v>1483</v>
      </c>
      <c r="B10" t="s">
        <v>3</v>
      </c>
      <c r="C10" t="s">
        <v>25</v>
      </c>
      <c r="D10" t="s">
        <v>429</v>
      </c>
      <c r="E10" s="34" t="s">
        <v>145</v>
      </c>
      <c r="F10" s="33" t="s">
        <v>146</v>
      </c>
      <c r="G10" s="33" t="s">
        <v>147</v>
      </c>
      <c r="H10" t="s">
        <v>54</v>
      </c>
      <c r="I10" s="1" t="s">
        <v>134</v>
      </c>
      <c r="J10" s="3" t="s">
        <v>154</v>
      </c>
      <c r="K10" t="str">
        <v>Amelia Ruddock</v>
      </c>
    </row>
    <row r="11" spans="1:11" x14ac:dyDescent="0.35">
      <c r="E11" s="54" t="s">
        <v>363</v>
      </c>
      <c r="I11" t="s">
        <v>141</v>
      </c>
      <c r="J11" t="s">
        <v>153</v>
      </c>
      <c r="K11" t="str">
        <v>Amy James</v>
      </c>
    </row>
    <row r="12" spans="1:11" x14ac:dyDescent="0.35">
      <c r="I12" t="s">
        <v>142</v>
      </c>
      <c r="J12" t="s">
        <v>152</v>
      </c>
      <c r="K12" t="str">
        <v>Ann Nunn</v>
      </c>
    </row>
    <row r="13" spans="1:11" x14ac:dyDescent="0.35">
      <c r="I13" t="s">
        <v>98</v>
      </c>
      <c r="J13" t="s">
        <v>151</v>
      </c>
      <c r="K13" t="str">
        <v>Anna Louise Marriott</v>
      </c>
    </row>
    <row r="14" spans="1:11" x14ac:dyDescent="0.35">
      <c r="I14" t="s">
        <v>100</v>
      </c>
      <c r="J14" t="s">
        <v>150</v>
      </c>
      <c r="K14" t="str">
        <v>Anna Wright</v>
      </c>
    </row>
    <row r="15" spans="1:11" x14ac:dyDescent="0.35">
      <c r="I15" t="s">
        <v>104</v>
      </c>
      <c r="J15" t="s">
        <v>149</v>
      </c>
      <c r="K15" t="str">
        <v>Anne Nunn</v>
      </c>
    </row>
    <row r="16" spans="1:11" x14ac:dyDescent="0.35">
      <c r="I16" s="38" t="s">
        <v>18</v>
      </c>
      <c r="J16" t="s">
        <v>148</v>
      </c>
      <c r="K16" t="str">
        <v>Annie E Porter</v>
      </c>
    </row>
    <row r="17" spans="1:11" x14ac:dyDescent="0.35">
      <c r="J17" s="36" t="s">
        <v>1484</v>
      </c>
      <c r="K17" t="str">
        <v>Arthur Hubert Ruddock</v>
      </c>
    </row>
    <row r="18" spans="1:11" x14ac:dyDescent="0.35">
      <c r="A18" t="s">
        <v>144</v>
      </c>
      <c r="B18" t="s">
        <v>3</v>
      </c>
      <c r="C18" t="s">
        <v>25</v>
      </c>
      <c r="D18" t="s">
        <v>55</v>
      </c>
      <c r="E18" s="34" t="s">
        <v>145</v>
      </c>
      <c r="F18" s="33" t="s">
        <v>146</v>
      </c>
      <c r="G18" s="33" t="s">
        <v>147</v>
      </c>
      <c r="H18" t="s">
        <v>54</v>
      </c>
      <c r="I18" s="1" t="s">
        <v>134</v>
      </c>
      <c r="J18" s="3" t="s">
        <v>154</v>
      </c>
      <c r="K18" t="str">
        <v>Arthur Leslie Ruddock</v>
      </c>
    </row>
    <row r="19" spans="1:11" x14ac:dyDescent="0.35">
      <c r="E19" s="54" t="s">
        <v>363</v>
      </c>
      <c r="I19" t="s">
        <v>141</v>
      </c>
      <c r="J19" t="s">
        <v>153</v>
      </c>
      <c r="K19" t="str">
        <v>Arthur Ramsbotham</v>
      </c>
    </row>
    <row r="20" spans="1:11" x14ac:dyDescent="0.35">
      <c r="I20" t="s">
        <v>142</v>
      </c>
      <c r="J20" t="s">
        <v>152</v>
      </c>
      <c r="K20" t="str">
        <v>Arthur William Rush</v>
      </c>
    </row>
    <row r="21" spans="1:11" x14ac:dyDescent="0.35">
      <c r="I21" t="s">
        <v>98</v>
      </c>
      <c r="J21" t="s">
        <v>151</v>
      </c>
      <c r="K21" t="str">
        <v>Caitlin Mary Ruddock</v>
      </c>
    </row>
    <row r="22" spans="1:11" x14ac:dyDescent="0.35">
      <c r="I22" t="s">
        <v>100</v>
      </c>
      <c r="J22" t="s">
        <v>150</v>
      </c>
      <c r="K22" t="str">
        <v>Caroline Ruddock</v>
      </c>
    </row>
    <row r="23" spans="1:11" x14ac:dyDescent="0.35">
      <c r="I23" t="s">
        <v>104</v>
      </c>
      <c r="J23" t="s">
        <v>149</v>
      </c>
      <c r="K23" t="str">
        <v>Catherine Salmon</v>
      </c>
    </row>
    <row r="24" spans="1:11" x14ac:dyDescent="0.35">
      <c r="I24" s="38" t="s">
        <v>18</v>
      </c>
      <c r="J24" s="36" t="s">
        <v>148</v>
      </c>
      <c r="K24" t="str">
        <v>Charlotte Priscilla Rush</v>
      </c>
    </row>
    <row r="25" spans="1:11" x14ac:dyDescent="0.35">
      <c r="A25" t="s">
        <v>1967</v>
      </c>
      <c r="B25" t="s">
        <v>3</v>
      </c>
      <c r="C25" t="s">
        <v>25</v>
      </c>
      <c r="D25" t="s">
        <v>55</v>
      </c>
      <c r="E25" s="34" t="s">
        <v>145</v>
      </c>
      <c r="F25" s="33" t="s">
        <v>146</v>
      </c>
      <c r="G25" s="33" t="s">
        <v>147</v>
      </c>
      <c r="H25" t="s">
        <v>54</v>
      </c>
      <c r="I25" s="1" t="s">
        <v>134</v>
      </c>
      <c r="J25" s="3" t="s">
        <v>154</v>
      </c>
      <c r="K25" t="str">
        <v>Cheryl Cooper</v>
      </c>
    </row>
    <row r="26" spans="1:11" x14ac:dyDescent="0.35">
      <c r="E26" s="54" t="s">
        <v>363</v>
      </c>
      <c r="I26" t="s">
        <v>141</v>
      </c>
      <c r="J26" t="s">
        <v>153</v>
      </c>
      <c r="K26" t="str">
        <v>Chester Harry Bowen</v>
      </c>
    </row>
    <row r="27" spans="1:11" x14ac:dyDescent="0.35">
      <c r="I27" t="s">
        <v>142</v>
      </c>
      <c r="J27" t="s">
        <v>152</v>
      </c>
      <c r="K27" t="str">
        <v>Clark Morris Marriott</v>
      </c>
    </row>
    <row r="28" spans="1:11" x14ac:dyDescent="0.35">
      <c r="I28" t="s">
        <v>98</v>
      </c>
      <c r="J28" t="s">
        <v>151</v>
      </c>
      <c r="K28" t="str">
        <v>Craig Potter</v>
      </c>
    </row>
    <row r="29" spans="1:11" x14ac:dyDescent="0.35">
      <c r="I29" t="s">
        <v>100</v>
      </c>
      <c r="J29" t="s">
        <v>150</v>
      </c>
      <c r="K29" t="str">
        <v>D D Munn</v>
      </c>
    </row>
    <row r="30" spans="1:11" x14ac:dyDescent="0.35">
      <c r="I30" t="s">
        <v>104</v>
      </c>
      <c r="J30" t="s">
        <v>149</v>
      </c>
      <c r="K30" t="str">
        <v>Daisy Fisher</v>
      </c>
    </row>
    <row r="31" spans="1:11" x14ac:dyDescent="0.35">
      <c r="I31" s="38" t="s">
        <v>18</v>
      </c>
      <c r="J31" s="36" t="s">
        <v>148</v>
      </c>
      <c r="K31" t="str">
        <v>Daphne F Fisher</v>
      </c>
    </row>
    <row r="32" spans="1:11" x14ac:dyDescent="0.35">
      <c r="A32" s="33" t="s">
        <v>2015</v>
      </c>
      <c r="B32" t="s">
        <v>3</v>
      </c>
      <c r="C32" t="s">
        <v>25</v>
      </c>
      <c r="D32" t="s">
        <v>699</v>
      </c>
      <c r="E32" s="34" t="s">
        <v>145</v>
      </c>
      <c r="F32" s="33" t="s">
        <v>146</v>
      </c>
      <c r="G32" s="33" t="s">
        <v>147</v>
      </c>
      <c r="H32" t="s">
        <v>54</v>
      </c>
      <c r="I32" s="1" t="s">
        <v>134</v>
      </c>
      <c r="J32" s="3" t="s">
        <v>154</v>
      </c>
      <c r="K32" t="str">
        <v>David J Moss</v>
      </c>
    </row>
    <row r="33" spans="1:11" x14ac:dyDescent="0.35">
      <c r="E33" s="40" t="s">
        <v>340</v>
      </c>
      <c r="I33" t="s">
        <v>141</v>
      </c>
      <c r="J33" t="s">
        <v>153</v>
      </c>
      <c r="K33" t="str">
        <v>David Keith Keating</v>
      </c>
    </row>
    <row r="34" spans="1:11" x14ac:dyDescent="0.35">
      <c r="I34" t="s">
        <v>142</v>
      </c>
      <c r="J34" t="s">
        <v>152</v>
      </c>
      <c r="K34" t="str">
        <v>David P Longland</v>
      </c>
    </row>
    <row r="35" spans="1:11" x14ac:dyDescent="0.35">
      <c r="I35" t="s">
        <v>98</v>
      </c>
      <c r="J35" t="s">
        <v>151</v>
      </c>
      <c r="K35" t="str">
        <v>Donald Marriott Munn</v>
      </c>
    </row>
    <row r="36" spans="1:11" x14ac:dyDescent="0.35">
      <c r="I36" t="s">
        <v>100</v>
      </c>
      <c r="J36" t="s">
        <v>150</v>
      </c>
      <c r="K36" t="str">
        <v>Dora Desscima Cooper</v>
      </c>
    </row>
    <row r="37" spans="1:11" x14ac:dyDescent="0.35">
      <c r="I37" t="s">
        <v>104</v>
      </c>
      <c r="J37" t="s">
        <v>149</v>
      </c>
      <c r="K37" t="str">
        <v>Doreen B Roberts</v>
      </c>
    </row>
    <row r="38" spans="1:11" x14ac:dyDescent="0.35">
      <c r="I38" s="38" t="s">
        <v>18</v>
      </c>
      <c r="J38" t="s">
        <v>149</v>
      </c>
      <c r="K38" t="str">
        <v>Eileen Petch</v>
      </c>
    </row>
    <row r="39" spans="1:11" x14ac:dyDescent="0.35">
      <c r="J39" t="s">
        <v>2016</v>
      </c>
      <c r="K39" t="str">
        <v>Eileen Smith</v>
      </c>
    </row>
    <row r="40" spans="1:11" x14ac:dyDescent="0.35">
      <c r="J40" s="36" t="s">
        <v>2017</v>
      </c>
      <c r="K40" t="str">
        <v>Eliza Armstrong</v>
      </c>
    </row>
    <row r="41" spans="1:11" x14ac:dyDescent="0.35">
      <c r="A41" t="s">
        <v>1447</v>
      </c>
      <c r="B41" t="s">
        <v>3</v>
      </c>
      <c r="C41" t="s">
        <v>25</v>
      </c>
      <c r="D41" t="s">
        <v>55</v>
      </c>
      <c r="E41" s="54" t="s">
        <v>363</v>
      </c>
      <c r="F41" s="33" t="s">
        <v>146</v>
      </c>
      <c r="G41" s="33" t="s">
        <v>147</v>
      </c>
      <c r="H41" t="s">
        <v>54</v>
      </c>
      <c r="I41" s="1" t="s">
        <v>134</v>
      </c>
      <c r="J41" s="3" t="s">
        <v>154</v>
      </c>
      <c r="K41" t="str">
        <v>Eliza Ruddock</v>
      </c>
    </row>
    <row r="42" spans="1:11" x14ac:dyDescent="0.35">
      <c r="E42" s="34" t="s">
        <v>340</v>
      </c>
      <c r="I42" t="s">
        <v>141</v>
      </c>
      <c r="J42" t="s">
        <v>153</v>
      </c>
      <c r="K42" t="str">
        <v>Elizabeth Emily Ruddock</v>
      </c>
    </row>
    <row r="43" spans="1:11" x14ac:dyDescent="0.35">
      <c r="I43" t="s">
        <v>142</v>
      </c>
      <c r="J43" t="s">
        <v>1448</v>
      </c>
      <c r="K43" t="str">
        <v>Elizabeth Ruddock</v>
      </c>
    </row>
    <row r="44" spans="1:11" x14ac:dyDescent="0.35">
      <c r="I44" t="s">
        <v>98</v>
      </c>
      <c r="J44" t="s">
        <v>1449</v>
      </c>
      <c r="K44" t="str">
        <v>Emily Cooper</v>
      </c>
    </row>
    <row r="45" spans="1:11" x14ac:dyDescent="0.35">
      <c r="I45" t="s">
        <v>100</v>
      </c>
      <c r="J45" t="s">
        <v>1450</v>
      </c>
      <c r="K45" t="str">
        <v>Emily Sadler</v>
      </c>
    </row>
    <row r="46" spans="1:11" x14ac:dyDescent="0.35">
      <c r="I46" t="s">
        <v>104</v>
      </c>
      <c r="J46" t="s">
        <v>1451</v>
      </c>
      <c r="K46" t="str">
        <v>Ernest William Ruddock</v>
      </c>
    </row>
    <row r="47" spans="1:11" x14ac:dyDescent="0.35">
      <c r="I47" s="38" t="s">
        <v>18</v>
      </c>
      <c r="J47" s="36" t="s">
        <v>1452</v>
      </c>
      <c r="K47" t="str">
        <v>Euston Finch</v>
      </c>
    </row>
    <row r="48" spans="1:11" x14ac:dyDescent="0.35">
      <c r="A48" s="33" t="s">
        <v>3779</v>
      </c>
      <c r="B48" t="s">
        <v>3</v>
      </c>
      <c r="C48" t="s">
        <v>25</v>
      </c>
      <c r="D48" t="s">
        <v>64</v>
      </c>
      <c r="E48" s="54" t="s">
        <v>327</v>
      </c>
      <c r="F48" s="33" t="s">
        <v>146</v>
      </c>
      <c r="G48" s="33" t="s">
        <v>147</v>
      </c>
      <c r="H48" t="s">
        <v>54</v>
      </c>
      <c r="I48" s="1" t="s">
        <v>134</v>
      </c>
      <c r="J48" s="3" t="s">
        <v>1297</v>
      </c>
      <c r="K48" t="str">
        <v>Evelyn Finch</v>
      </c>
    </row>
    <row r="49" spans="1:11" x14ac:dyDescent="0.35">
      <c r="E49" s="34"/>
      <c r="I49" t="s">
        <v>141</v>
      </c>
      <c r="J49" t="s">
        <v>1381</v>
      </c>
      <c r="K49" t="str">
        <v>Female Blakestone</v>
      </c>
    </row>
    <row r="50" spans="1:11" x14ac:dyDescent="0.35">
      <c r="I50" t="s">
        <v>142</v>
      </c>
      <c r="J50" t="s">
        <v>3775</v>
      </c>
      <c r="K50" t="str">
        <v>Female Bone</v>
      </c>
    </row>
    <row r="51" spans="1:11" x14ac:dyDescent="0.35">
      <c r="I51" t="s">
        <v>98</v>
      </c>
      <c r="J51" t="s">
        <v>3776</v>
      </c>
      <c r="K51" t="str">
        <v>Female Dennis</v>
      </c>
    </row>
    <row r="52" spans="1:11" x14ac:dyDescent="0.35">
      <c r="I52" t="s">
        <v>100</v>
      </c>
      <c r="J52" t="s">
        <v>3777</v>
      </c>
      <c r="K52" t="str">
        <v>Female Edwards</v>
      </c>
    </row>
    <row r="53" spans="1:11" x14ac:dyDescent="0.35">
      <c r="I53" t="s">
        <v>104</v>
      </c>
      <c r="J53" s="36" t="s">
        <v>3778</v>
      </c>
      <c r="K53" t="str">
        <v>Female Hill</v>
      </c>
    </row>
    <row r="54" spans="1:11" x14ac:dyDescent="0.35">
      <c r="I54" s="38" t="s">
        <v>18</v>
      </c>
      <c r="K54" t="str">
        <v>Florence Wilder</v>
      </c>
    </row>
    <row r="55" spans="1:11" x14ac:dyDescent="0.35">
      <c r="A55" s="33" t="s">
        <v>4186</v>
      </c>
      <c r="B55" t="s">
        <v>3</v>
      </c>
      <c r="C55" t="s">
        <v>25</v>
      </c>
      <c r="D55" t="s">
        <v>64</v>
      </c>
      <c r="E55" s="34" t="s">
        <v>161</v>
      </c>
      <c r="F55" s="33" t="s">
        <v>146</v>
      </c>
      <c r="G55" s="33" t="s">
        <v>147</v>
      </c>
      <c r="H55" t="s">
        <v>54</v>
      </c>
      <c r="I55" s="1" t="s">
        <v>134</v>
      </c>
      <c r="J55" s="3" t="s">
        <v>1297</v>
      </c>
      <c r="K55" t="str">
        <v>Frederick C Mead</v>
      </c>
    </row>
    <row r="56" spans="1:11" x14ac:dyDescent="0.35">
      <c r="E56" s="40"/>
      <c r="I56" t="s">
        <v>141</v>
      </c>
      <c r="J56" t="s">
        <v>4181</v>
      </c>
      <c r="K56" t="str">
        <v>Gavin David Roberts</v>
      </c>
    </row>
    <row r="57" spans="1:11" x14ac:dyDescent="0.35">
      <c r="I57" t="s">
        <v>142</v>
      </c>
      <c r="J57" t="s">
        <v>4182</v>
      </c>
      <c r="K57" t="str">
        <v>Geoffrey R Thorpe</v>
      </c>
    </row>
    <row r="58" spans="1:11" x14ac:dyDescent="0.35">
      <c r="I58" t="s">
        <v>98</v>
      </c>
      <c r="J58" t="s">
        <v>4183</v>
      </c>
      <c r="K58" t="str">
        <v>George Hubert Ruddock</v>
      </c>
    </row>
    <row r="59" spans="1:11" x14ac:dyDescent="0.35">
      <c r="I59" t="s">
        <v>100</v>
      </c>
      <c r="J59" t="s">
        <v>4184</v>
      </c>
      <c r="K59" t="str">
        <v>George Ruddock</v>
      </c>
    </row>
    <row r="60" spans="1:11" x14ac:dyDescent="0.35">
      <c r="I60" t="s">
        <v>104</v>
      </c>
      <c r="J60" s="36" t="s">
        <v>4185</v>
      </c>
      <c r="K60" t="str">
        <v>Gertrude Beatrice Fisher</v>
      </c>
    </row>
    <row r="61" spans="1:11" x14ac:dyDescent="0.35">
      <c r="I61" s="38" t="s">
        <v>18</v>
      </c>
      <c r="K61" t="str">
        <v>Gertrude Emily Gettens</v>
      </c>
    </row>
    <row r="62" spans="1:11" x14ac:dyDescent="0.35">
      <c r="A62" s="33" t="s">
        <v>3381</v>
      </c>
      <c r="B62" t="s">
        <v>3</v>
      </c>
      <c r="C62" t="s">
        <v>43</v>
      </c>
      <c r="D62" t="s">
        <v>64</v>
      </c>
      <c r="E62" s="34" t="s">
        <v>169</v>
      </c>
      <c r="F62" s="33" t="s">
        <v>146</v>
      </c>
      <c r="G62" s="33" t="s">
        <v>147</v>
      </c>
      <c r="H62" t="s">
        <v>54</v>
      </c>
      <c r="I62" s="1" t="s">
        <v>134</v>
      </c>
      <c r="J62" s="3" t="s">
        <v>1286</v>
      </c>
      <c r="K62" t="str">
        <v>Gladys Eileen Ruddock</v>
      </c>
    </row>
    <row r="63" spans="1:11" x14ac:dyDescent="0.35">
      <c r="E63" s="54" t="s">
        <v>179</v>
      </c>
      <c r="I63" t="s">
        <v>141</v>
      </c>
      <c r="J63" t="s">
        <v>154</v>
      </c>
      <c r="K63" t="str">
        <v>Gladys Hilda May Finch</v>
      </c>
    </row>
    <row r="64" spans="1:11" x14ac:dyDescent="0.35">
      <c r="I64" t="s">
        <v>142</v>
      </c>
      <c r="J64" t="s">
        <v>1287</v>
      </c>
      <c r="K64" t="str">
        <v>Gladys Wieland</v>
      </c>
    </row>
    <row r="65" spans="1:11" x14ac:dyDescent="0.35">
      <c r="I65" t="s">
        <v>98</v>
      </c>
      <c r="J65" t="s">
        <v>1288</v>
      </c>
      <c r="K65" t="str">
        <v>Gloria Zinzan</v>
      </c>
    </row>
    <row r="66" spans="1:11" x14ac:dyDescent="0.35">
      <c r="I66" t="s">
        <v>100</v>
      </c>
      <c r="J66" t="s">
        <v>1289</v>
      </c>
      <c r="K66" t="str">
        <v>Gordon Robert Dennis</v>
      </c>
    </row>
    <row r="67" spans="1:11" x14ac:dyDescent="0.35">
      <c r="I67" t="s">
        <v>104</v>
      </c>
      <c r="J67" s="36" t="s">
        <v>3380</v>
      </c>
      <c r="K67" t="str">
        <v>Hannah Nunn</v>
      </c>
    </row>
    <row r="68" spans="1:11" x14ac:dyDescent="0.35">
      <c r="I68" s="38" t="s">
        <v>1249</v>
      </c>
      <c r="J68" s="37"/>
      <c r="K68" t="str">
        <v>Hannah Ruddock</v>
      </c>
    </row>
    <row r="69" spans="1:11" x14ac:dyDescent="0.35">
      <c r="A69" s="33" t="s">
        <v>1904</v>
      </c>
      <c r="B69" t="s">
        <v>3</v>
      </c>
      <c r="C69" t="s">
        <v>43</v>
      </c>
      <c r="D69" t="s">
        <v>55</v>
      </c>
      <c r="E69" s="34" t="s">
        <v>340</v>
      </c>
      <c r="F69" s="33" t="s">
        <v>146</v>
      </c>
      <c r="G69" s="33" t="s">
        <v>147</v>
      </c>
      <c r="H69" t="s">
        <v>54</v>
      </c>
      <c r="I69" s="1" t="s">
        <v>134</v>
      </c>
      <c r="J69" s="3" t="s">
        <v>1286</v>
      </c>
      <c r="K69" t="str">
        <v>Harriet Ruddock</v>
      </c>
    </row>
    <row r="70" spans="1:11" x14ac:dyDescent="0.35">
      <c r="E70" s="54" t="s">
        <v>189</v>
      </c>
      <c r="I70" t="s">
        <v>141</v>
      </c>
      <c r="J70" t="s">
        <v>1486</v>
      </c>
      <c r="K70" t="str">
        <v>Harry Pleasance</v>
      </c>
    </row>
    <row r="71" spans="1:11" x14ac:dyDescent="0.35">
      <c r="I71" t="s">
        <v>142</v>
      </c>
      <c r="J71" t="s">
        <v>1487</v>
      </c>
      <c r="K71" t="str">
        <v>Harry Potter</v>
      </c>
    </row>
    <row r="72" spans="1:11" x14ac:dyDescent="0.35">
      <c r="I72" t="s">
        <v>98</v>
      </c>
      <c r="J72" t="s">
        <v>1488</v>
      </c>
      <c r="K72" t="str">
        <v>Henry Gaught</v>
      </c>
    </row>
    <row r="73" spans="1:11" x14ac:dyDescent="0.35">
      <c r="I73" t="s">
        <v>100</v>
      </c>
      <c r="J73" t="s">
        <v>1905</v>
      </c>
      <c r="K73" t="str">
        <v>Henry William Gaught</v>
      </c>
    </row>
    <row r="74" spans="1:11" x14ac:dyDescent="0.35">
      <c r="I74" t="s">
        <v>104</v>
      </c>
      <c r="J74" t="s">
        <v>1906</v>
      </c>
      <c r="K74" t="str">
        <v>Herbert Arthur Ruddock</v>
      </c>
    </row>
    <row r="75" spans="1:11" x14ac:dyDescent="0.35">
      <c r="I75" s="38" t="s">
        <v>1249</v>
      </c>
      <c r="J75" s="36" t="s">
        <v>1907</v>
      </c>
      <c r="K75" t="str">
        <v>Herbert Elvin Marriott</v>
      </c>
    </row>
    <row r="76" spans="1:11" x14ac:dyDescent="0.35">
      <c r="A76" s="33" t="s">
        <v>2752</v>
      </c>
      <c r="B76" t="s">
        <v>3</v>
      </c>
      <c r="C76" t="s">
        <v>43</v>
      </c>
      <c r="D76" t="s">
        <v>951</v>
      </c>
      <c r="E76" s="34" t="s">
        <v>340</v>
      </c>
      <c r="F76" s="33" t="s">
        <v>478</v>
      </c>
      <c r="G76" s="33" t="s">
        <v>1600</v>
      </c>
      <c r="H76" t="s">
        <v>413</v>
      </c>
      <c r="I76" s="1" t="s">
        <v>146</v>
      </c>
      <c r="J76" s="3" t="s">
        <v>4446</v>
      </c>
      <c r="K76" t="str">
        <v>Isabel Craig</v>
      </c>
    </row>
    <row r="77" spans="1:11" x14ac:dyDescent="0.35">
      <c r="E77" s="19"/>
      <c r="I77" t="s">
        <v>134</v>
      </c>
      <c r="J77" t="s">
        <v>478</v>
      </c>
      <c r="K77" t="str">
        <v>Jack Michael Jeanes</v>
      </c>
    </row>
    <row r="78" spans="1:11" x14ac:dyDescent="0.35">
      <c r="I78" t="s">
        <v>141</v>
      </c>
      <c r="J78" t="s">
        <v>134</v>
      </c>
      <c r="K78" t="str">
        <v>James Roy Relf</v>
      </c>
    </row>
    <row r="79" spans="1:11" x14ac:dyDescent="0.35">
      <c r="I79" t="s">
        <v>142</v>
      </c>
      <c r="J79" t="s">
        <v>4447</v>
      </c>
      <c r="K79" t="str">
        <v>James Ruddock</v>
      </c>
    </row>
    <row r="80" spans="1:11" x14ac:dyDescent="0.35">
      <c r="I80" t="s">
        <v>98</v>
      </c>
      <c r="J80" t="s">
        <v>4448</v>
      </c>
      <c r="K80" t="str">
        <v>Jean A Ruddock</v>
      </c>
    </row>
    <row r="81" spans="1:11" x14ac:dyDescent="0.35">
      <c r="I81" t="s">
        <v>100</v>
      </c>
      <c r="J81" t="s">
        <v>4449</v>
      </c>
      <c r="K81" t="str">
        <v>Jean S Barnard</v>
      </c>
    </row>
    <row r="82" spans="1:11" x14ac:dyDescent="0.35">
      <c r="I82" t="s">
        <v>104</v>
      </c>
      <c r="J82" t="s">
        <v>4450</v>
      </c>
      <c r="K82" t="str">
        <v>Jemima Ruddock</v>
      </c>
    </row>
    <row r="83" spans="1:11" x14ac:dyDescent="0.35">
      <c r="I83" s="38" t="s">
        <v>18</v>
      </c>
      <c r="J83" t="s">
        <v>2754</v>
      </c>
      <c r="K83" t="str">
        <v>Jennie Velliquette</v>
      </c>
    </row>
    <row r="84" spans="1:11" x14ac:dyDescent="0.35">
      <c r="I84" s="37"/>
      <c r="J84" s="36" t="s">
        <v>4451</v>
      </c>
      <c r="K84" t="str">
        <v>Jessie A C Cowland</v>
      </c>
    </row>
    <row r="85" spans="1:11" x14ac:dyDescent="0.35">
      <c r="A85" s="33" t="s">
        <v>4285</v>
      </c>
      <c r="B85" t="s">
        <v>3</v>
      </c>
      <c r="C85" t="s">
        <v>43</v>
      </c>
      <c r="D85" t="s">
        <v>64</v>
      </c>
      <c r="E85" s="40" t="s">
        <v>340</v>
      </c>
      <c r="F85" s="33" t="s">
        <v>146</v>
      </c>
      <c r="G85" s="33" t="s">
        <v>147</v>
      </c>
      <c r="H85" t="s">
        <v>54</v>
      </c>
      <c r="I85" s="1" t="s">
        <v>134</v>
      </c>
      <c r="J85" s="3" t="s">
        <v>1297</v>
      </c>
      <c r="K85" t="str">
        <v>Jessie Ramsbotham</v>
      </c>
    </row>
    <row r="86" spans="1:11" x14ac:dyDescent="0.35">
      <c r="E86" s="34" t="s">
        <v>189</v>
      </c>
      <c r="I86" t="s">
        <v>141</v>
      </c>
      <c r="J86" t="s">
        <v>4286</v>
      </c>
      <c r="K86" t="str">
        <v>Joanna T Moss</v>
      </c>
    </row>
    <row r="87" spans="1:11" x14ac:dyDescent="0.35">
      <c r="I87" t="s">
        <v>142</v>
      </c>
      <c r="J87" t="s">
        <v>4287</v>
      </c>
      <c r="K87" t="str">
        <v>John Clears</v>
      </c>
    </row>
    <row r="88" spans="1:11" x14ac:dyDescent="0.35">
      <c r="I88" t="s">
        <v>98</v>
      </c>
      <c r="J88" t="s">
        <v>4288</v>
      </c>
      <c r="K88" t="str">
        <v>John James Cooper</v>
      </c>
    </row>
    <row r="89" spans="1:11" x14ac:dyDescent="0.35">
      <c r="I89" t="s">
        <v>100</v>
      </c>
      <c r="J89" t="s">
        <v>4289</v>
      </c>
      <c r="K89" t="str">
        <v>John M Marriott</v>
      </c>
    </row>
    <row r="90" spans="1:11" x14ac:dyDescent="0.35">
      <c r="I90" t="s">
        <v>104</v>
      </c>
      <c r="J90" s="36" t="s">
        <v>4290</v>
      </c>
      <c r="K90" t="str">
        <v>John Ruddock</v>
      </c>
    </row>
    <row r="91" spans="1:11" x14ac:dyDescent="0.35">
      <c r="I91" s="38" t="s">
        <v>1249</v>
      </c>
      <c r="K91" t="str">
        <v>Jonathon Ruddock</v>
      </c>
    </row>
    <row r="92" spans="1:11" x14ac:dyDescent="0.35">
      <c r="A92" s="33" t="s">
        <v>3389</v>
      </c>
      <c r="B92" t="s">
        <v>3</v>
      </c>
      <c r="C92" t="s">
        <v>25</v>
      </c>
      <c r="D92" t="s">
        <v>55</v>
      </c>
      <c r="E92" s="54" t="s">
        <v>909</v>
      </c>
      <c r="F92" s="33" t="s">
        <v>146</v>
      </c>
      <c r="G92" s="33" t="s">
        <v>147</v>
      </c>
      <c r="H92" t="s">
        <v>54</v>
      </c>
      <c r="I92" s="1" t="s">
        <v>134</v>
      </c>
      <c r="J92" s="3" t="s">
        <v>1297</v>
      </c>
      <c r="K92" t="str">
        <v>Justine Longland</v>
      </c>
    </row>
    <row r="93" spans="1:11" x14ac:dyDescent="0.35">
      <c r="E93" s="34"/>
      <c r="I93" t="s">
        <v>141</v>
      </c>
      <c r="J93" t="s">
        <v>1297</v>
      </c>
      <c r="K93" t="str">
        <v>Karen Smith</v>
      </c>
    </row>
    <row r="94" spans="1:11" x14ac:dyDescent="0.35">
      <c r="I94" t="s">
        <v>142</v>
      </c>
      <c r="J94" t="s">
        <v>478</v>
      </c>
      <c r="K94" t="str">
        <v>Katherine McMahon</v>
      </c>
    </row>
    <row r="95" spans="1:11" x14ac:dyDescent="0.35">
      <c r="I95" t="s">
        <v>98</v>
      </c>
      <c r="J95" t="s">
        <v>1348</v>
      </c>
      <c r="K95" t="str">
        <v>Kristin Debus</v>
      </c>
    </row>
    <row r="96" spans="1:11" x14ac:dyDescent="0.35">
      <c r="I96" t="s">
        <v>100</v>
      </c>
      <c r="J96" t="s">
        <v>1349</v>
      </c>
      <c r="K96" t="str">
        <v>Lealand Potter</v>
      </c>
    </row>
    <row r="97" spans="1:11" x14ac:dyDescent="0.35">
      <c r="I97" t="s">
        <v>104</v>
      </c>
      <c r="J97" t="s">
        <v>1350</v>
      </c>
      <c r="K97" t="str">
        <v>Leanne Joy</v>
      </c>
    </row>
    <row r="98" spans="1:11" x14ac:dyDescent="0.35">
      <c r="I98" s="38" t="s">
        <v>1249</v>
      </c>
      <c r="J98" s="36" t="s">
        <v>2549</v>
      </c>
      <c r="K98" t="str">
        <v>Lillian Susanna Finch</v>
      </c>
    </row>
    <row r="99" spans="1:11" x14ac:dyDescent="0.35">
      <c r="A99" s="33" t="s">
        <v>1485</v>
      </c>
      <c r="B99" t="s">
        <v>3</v>
      </c>
      <c r="C99" t="s">
        <v>25</v>
      </c>
      <c r="D99" t="s">
        <v>55</v>
      </c>
      <c r="E99" s="34" t="s">
        <v>909</v>
      </c>
      <c r="F99" s="33" t="s">
        <v>146</v>
      </c>
      <c r="G99" s="33" t="s">
        <v>147</v>
      </c>
      <c r="H99" t="s">
        <v>54</v>
      </c>
      <c r="I99" s="1" t="s">
        <v>134</v>
      </c>
      <c r="J99" s="3" t="s">
        <v>1286</v>
      </c>
      <c r="K99" t="str">
        <v>Lloyd C Stanley</v>
      </c>
    </row>
    <row r="100" spans="1:11" x14ac:dyDescent="0.35">
      <c r="E100" s="54" t="s">
        <v>201</v>
      </c>
      <c r="I100" t="s">
        <v>141</v>
      </c>
      <c r="J100" t="s">
        <v>1486</v>
      </c>
      <c r="K100" t="str">
        <v>M Longland</v>
      </c>
    </row>
    <row r="101" spans="1:11" x14ac:dyDescent="0.35">
      <c r="I101" t="s">
        <v>142</v>
      </c>
      <c r="J101" t="s">
        <v>1487</v>
      </c>
      <c r="K101" t="str">
        <v>Male Cooper</v>
      </c>
    </row>
    <row r="102" spans="1:11" x14ac:dyDescent="0.35">
      <c r="I102" t="s">
        <v>98</v>
      </c>
      <c r="J102" t="s">
        <v>1488</v>
      </c>
      <c r="K102" t="str">
        <v>Male James</v>
      </c>
    </row>
    <row r="103" spans="1:11" x14ac:dyDescent="0.35">
      <c r="I103" t="s">
        <v>100</v>
      </c>
      <c r="J103" t="s">
        <v>1489</v>
      </c>
      <c r="K103" t="str">
        <v>Male Marriott</v>
      </c>
    </row>
    <row r="104" spans="1:11" x14ac:dyDescent="0.35">
      <c r="I104" t="s">
        <v>104</v>
      </c>
      <c r="J104" t="s">
        <v>1490</v>
      </c>
      <c r="K104" t="str">
        <v>Margerite Gaught</v>
      </c>
    </row>
    <row r="105" spans="1:11" x14ac:dyDescent="0.35">
      <c r="I105" s="38" t="s">
        <v>18</v>
      </c>
      <c r="J105" s="36" t="s">
        <v>1491</v>
      </c>
      <c r="K105" t="str">
        <v>Maria Mansfield</v>
      </c>
    </row>
    <row r="106" spans="1:11" x14ac:dyDescent="0.35">
      <c r="A106" s="33" t="s">
        <v>1210</v>
      </c>
      <c r="B106" t="s">
        <v>3</v>
      </c>
      <c r="C106" t="s">
        <v>43</v>
      </c>
      <c r="D106" t="s">
        <v>64</v>
      </c>
      <c r="E106" s="34" t="s">
        <v>608</v>
      </c>
      <c r="F106" s="33" t="s">
        <v>146</v>
      </c>
      <c r="G106" s="33" t="s">
        <v>147</v>
      </c>
      <c r="H106" t="s">
        <v>54</v>
      </c>
      <c r="I106" s="1" t="s">
        <v>134</v>
      </c>
      <c r="J106" s="3" t="s">
        <v>478</v>
      </c>
      <c r="K106" t="str">
        <v>Maria Ruddock</v>
      </c>
    </row>
    <row r="107" spans="1:11" x14ac:dyDescent="0.35">
      <c r="E107" s="54" t="s">
        <v>189</v>
      </c>
      <c r="I107" t="s">
        <v>141</v>
      </c>
      <c r="J107" t="s">
        <v>1211</v>
      </c>
      <c r="K107" t="str">
        <v>Marjorie Edith Ruddock</v>
      </c>
    </row>
    <row r="108" spans="1:11" x14ac:dyDescent="0.35">
      <c r="I108" t="s">
        <v>142</v>
      </c>
      <c r="J108" t="s">
        <v>1212</v>
      </c>
      <c r="K108" t="str">
        <v>Martha Ruddock</v>
      </c>
    </row>
    <row r="109" spans="1:11" x14ac:dyDescent="0.35">
      <c r="I109" t="s">
        <v>98</v>
      </c>
      <c r="J109" t="s">
        <v>1213</v>
      </c>
      <c r="K109" t="str">
        <v>Martin Marriott</v>
      </c>
    </row>
    <row r="110" spans="1:11" x14ac:dyDescent="0.35">
      <c r="I110" t="s">
        <v>100</v>
      </c>
      <c r="J110" t="s">
        <v>1214</v>
      </c>
      <c r="K110" t="str">
        <v>Mary Ann Calver</v>
      </c>
    </row>
    <row r="111" spans="1:11" x14ac:dyDescent="0.35">
      <c r="I111" t="s">
        <v>104</v>
      </c>
      <c r="J111" s="36" t="s">
        <v>1215</v>
      </c>
      <c r="K111" t="str">
        <v>Mary Anne Ruddock</v>
      </c>
    </row>
    <row r="112" spans="1:11" x14ac:dyDescent="0.35">
      <c r="I112" s="38" t="s">
        <v>18</v>
      </c>
      <c r="K112" t="str">
        <v>Mary J Moss</v>
      </c>
    </row>
    <row r="113" spans="1:11" x14ac:dyDescent="0.35">
      <c r="A113" s="33" t="s">
        <v>3568</v>
      </c>
      <c r="B113" t="s">
        <v>3</v>
      </c>
      <c r="C113" t="s">
        <v>43</v>
      </c>
      <c r="D113" t="s">
        <v>55</v>
      </c>
      <c r="E113" s="34" t="s">
        <v>189</v>
      </c>
      <c r="F113" s="33" t="s">
        <v>146</v>
      </c>
      <c r="G113" s="33" t="s">
        <v>147</v>
      </c>
      <c r="H113" t="s">
        <v>54</v>
      </c>
      <c r="I113" s="1" t="s">
        <v>134</v>
      </c>
      <c r="J113" s="3" t="s">
        <v>1286</v>
      </c>
      <c r="K113" t="str">
        <v>Mary Pearce</v>
      </c>
    </row>
    <row r="114" spans="1:11" x14ac:dyDescent="0.35">
      <c r="E114" s="54" t="s">
        <v>216</v>
      </c>
      <c r="I114" t="s">
        <v>141</v>
      </c>
      <c r="J114" t="s">
        <v>1313</v>
      </c>
      <c r="K114" t="str">
        <v>Mary Ruddock</v>
      </c>
    </row>
    <row r="115" spans="1:11" x14ac:dyDescent="0.35">
      <c r="I115" t="s">
        <v>142</v>
      </c>
      <c r="J115" t="s">
        <v>1314</v>
      </c>
      <c r="K115" t="str">
        <v>Matched Ancestry</v>
      </c>
    </row>
    <row r="116" spans="1:11" x14ac:dyDescent="0.35">
      <c r="I116" t="s">
        <v>98</v>
      </c>
      <c r="J116" t="s">
        <v>1315</v>
      </c>
      <c r="K116" t="str">
        <v>Mathew Edmund Taylor</v>
      </c>
    </row>
    <row r="117" spans="1:11" x14ac:dyDescent="0.35">
      <c r="I117" t="s">
        <v>100</v>
      </c>
      <c r="J117" t="s">
        <v>3569</v>
      </c>
      <c r="K117" t="str">
        <v>Mercie Bone</v>
      </c>
    </row>
    <row r="118" spans="1:11" x14ac:dyDescent="0.35">
      <c r="I118" t="s">
        <v>104</v>
      </c>
      <c r="J118" t="s">
        <v>3570</v>
      </c>
      <c r="K118" t="str">
        <v>Mervyn D Roberts</v>
      </c>
    </row>
    <row r="119" spans="1:11" x14ac:dyDescent="0.35">
      <c r="I119" s="38" t="s">
        <v>18</v>
      </c>
      <c r="J119" s="36" t="s">
        <v>3568</v>
      </c>
      <c r="K119" t="str">
        <v>Michael A Ruddock</v>
      </c>
    </row>
    <row r="120" spans="1:11" x14ac:dyDescent="0.35">
      <c r="A120" s="33" t="s">
        <v>3889</v>
      </c>
      <c r="B120" t="s">
        <v>3</v>
      </c>
      <c r="C120" t="s">
        <v>43</v>
      </c>
      <c r="D120" t="s">
        <v>55</v>
      </c>
      <c r="E120" s="34" t="s">
        <v>189</v>
      </c>
      <c r="F120" s="33" t="s">
        <v>146</v>
      </c>
      <c r="G120" s="33" t="s">
        <v>147</v>
      </c>
      <c r="H120" t="s">
        <v>54</v>
      </c>
      <c r="I120" s="1" t="s">
        <v>134</v>
      </c>
      <c r="J120" s="3" t="s">
        <v>154</v>
      </c>
      <c r="K120" t="str">
        <v>Michael E Ruddock</v>
      </c>
    </row>
    <row r="121" spans="1:11" x14ac:dyDescent="0.35">
      <c r="E121" s="54"/>
      <c r="I121" t="s">
        <v>141</v>
      </c>
      <c r="J121" t="s">
        <v>3890</v>
      </c>
      <c r="K121" t="str">
        <v>Michael H Brett</v>
      </c>
    </row>
    <row r="122" spans="1:11" x14ac:dyDescent="0.35">
      <c r="I122" t="s">
        <v>142</v>
      </c>
      <c r="J122" t="s">
        <v>152</v>
      </c>
      <c r="K122" t="str">
        <v>Morris Elvin Marriott</v>
      </c>
    </row>
    <row r="123" spans="1:11" x14ac:dyDescent="0.35">
      <c r="I123" t="s">
        <v>98</v>
      </c>
      <c r="J123" t="s">
        <v>151</v>
      </c>
      <c r="K123" t="str">
        <v>Nellie McCandless</v>
      </c>
    </row>
    <row r="124" spans="1:11" x14ac:dyDescent="0.35">
      <c r="I124" t="s">
        <v>100</v>
      </c>
      <c r="J124" t="s">
        <v>150</v>
      </c>
      <c r="K124" t="str">
        <v>Patricia Blakestone</v>
      </c>
    </row>
    <row r="125" spans="1:11" x14ac:dyDescent="0.35">
      <c r="I125" t="s">
        <v>104</v>
      </c>
      <c r="J125" t="s">
        <v>149</v>
      </c>
      <c r="K125" t="str">
        <v>Penelope Jeanes</v>
      </c>
    </row>
    <row r="126" spans="1:11" x14ac:dyDescent="0.35">
      <c r="I126" s="38" t="s">
        <v>18</v>
      </c>
      <c r="J126" t="s">
        <v>148</v>
      </c>
      <c r="K126" t="str">
        <v>Penny Baker</v>
      </c>
    </row>
    <row r="127" spans="1:11" x14ac:dyDescent="0.35">
      <c r="I127" s="37"/>
      <c r="J127" t="s">
        <v>1484</v>
      </c>
      <c r="K127" t="str">
        <v>Percy Brett</v>
      </c>
    </row>
    <row r="128" spans="1:11" x14ac:dyDescent="0.35">
      <c r="I128" s="37"/>
      <c r="J128" s="36" t="s">
        <v>3889</v>
      </c>
      <c r="K128" t="str">
        <v>Peru Marriott</v>
      </c>
    </row>
    <row r="129" spans="1:11" x14ac:dyDescent="0.35">
      <c r="A129" s="33" t="s">
        <v>1340</v>
      </c>
      <c r="B129" t="s">
        <v>3</v>
      </c>
      <c r="C129" t="s">
        <v>43</v>
      </c>
      <c r="D129" t="s">
        <v>1346</v>
      </c>
      <c r="E129" s="54" t="s">
        <v>201</v>
      </c>
      <c r="F129" s="33" t="s">
        <v>146</v>
      </c>
      <c r="G129" s="33" t="s">
        <v>147</v>
      </c>
      <c r="H129" t="s">
        <v>54</v>
      </c>
      <c r="I129" s="1" t="s">
        <v>134</v>
      </c>
      <c r="J129" s="3" t="s">
        <v>478</v>
      </c>
      <c r="K129" t="str">
        <v>Peter J Jury</v>
      </c>
    </row>
    <row r="130" spans="1:11" x14ac:dyDescent="0.35">
      <c r="E130" s="15"/>
      <c r="I130" t="s">
        <v>141</v>
      </c>
      <c r="J130" t="s">
        <v>154</v>
      </c>
      <c r="K130" t="str">
        <v>Peter J Mead</v>
      </c>
    </row>
    <row r="131" spans="1:11" x14ac:dyDescent="0.35">
      <c r="I131" t="s">
        <v>142</v>
      </c>
      <c r="J131" t="s">
        <v>1341</v>
      </c>
      <c r="K131" t="str">
        <v>Rachel E Thorpe</v>
      </c>
    </row>
    <row r="132" spans="1:11" x14ac:dyDescent="0.35">
      <c r="I132" t="s">
        <v>98</v>
      </c>
      <c r="J132" t="s">
        <v>1342</v>
      </c>
      <c r="K132" t="str">
        <v>Rachel Leanne Simson</v>
      </c>
    </row>
    <row r="133" spans="1:11" x14ac:dyDescent="0.35">
      <c r="I133" t="s">
        <v>100</v>
      </c>
      <c r="J133" t="s">
        <v>1343</v>
      </c>
      <c r="K133" t="str">
        <v>Richard Ruddock</v>
      </c>
    </row>
    <row r="134" spans="1:11" x14ac:dyDescent="0.35">
      <c r="I134" t="s">
        <v>104</v>
      </c>
      <c r="J134" t="s">
        <v>1344</v>
      </c>
      <c r="K134" t="str">
        <v>Rick Bluhm</v>
      </c>
    </row>
    <row r="135" spans="1:11" x14ac:dyDescent="0.35">
      <c r="I135" s="38" t="s">
        <v>1249</v>
      </c>
      <c r="J135" s="36" t="s">
        <v>1345</v>
      </c>
      <c r="K135" t="str">
        <v>Robert Eaton</v>
      </c>
    </row>
    <row r="136" spans="1:11" x14ac:dyDescent="0.35">
      <c r="A136" s="33" t="s">
        <v>4273</v>
      </c>
      <c r="B136" t="s">
        <v>3</v>
      </c>
      <c r="C136" t="s">
        <v>43</v>
      </c>
      <c r="D136" t="s">
        <v>1346</v>
      </c>
      <c r="E136" s="54" t="s">
        <v>201</v>
      </c>
      <c r="F136" s="33" t="s">
        <v>146</v>
      </c>
      <c r="G136" s="33" t="s">
        <v>147</v>
      </c>
      <c r="H136" t="s">
        <v>54</v>
      </c>
      <c r="I136" s="1" t="s">
        <v>134</v>
      </c>
      <c r="J136" s="3" t="s">
        <v>146</v>
      </c>
      <c r="K136" t="str">
        <v>Robert George W Eaton</v>
      </c>
    </row>
    <row r="137" spans="1:11" x14ac:dyDescent="0.35">
      <c r="E137" s="15"/>
      <c r="I137" t="s">
        <v>141</v>
      </c>
      <c r="J137" t="s">
        <v>146</v>
      </c>
      <c r="K137" t="str">
        <v>Robert Ruddock</v>
      </c>
    </row>
    <row r="138" spans="1:11" x14ac:dyDescent="0.35">
      <c r="I138" t="s">
        <v>142</v>
      </c>
      <c r="J138" t="s">
        <v>3728</v>
      </c>
      <c r="K138" t="str">
        <v>Robert S Gaught</v>
      </c>
    </row>
    <row r="139" spans="1:11" x14ac:dyDescent="0.35">
      <c r="I139" t="s">
        <v>98</v>
      </c>
      <c r="J139" t="s">
        <v>3729</v>
      </c>
      <c r="K139" t="str">
        <v>Robyn Dennis</v>
      </c>
    </row>
    <row r="140" spans="1:11" x14ac:dyDescent="0.35">
      <c r="I140" t="s">
        <v>100</v>
      </c>
      <c r="J140" t="s">
        <v>3730</v>
      </c>
      <c r="K140" t="str">
        <v>Ronald Patrick Jury</v>
      </c>
    </row>
    <row r="141" spans="1:11" x14ac:dyDescent="0.35">
      <c r="I141" t="s">
        <v>104</v>
      </c>
      <c r="J141" t="s">
        <v>4271</v>
      </c>
      <c r="K141" t="str">
        <v>Ryan J Marriott</v>
      </c>
    </row>
    <row r="142" spans="1:11" x14ac:dyDescent="0.35">
      <c r="I142" s="38" t="s">
        <v>1249</v>
      </c>
      <c r="J142" s="36" t="s">
        <v>4272</v>
      </c>
      <c r="K142" t="str">
        <v>Ryan Wilson</v>
      </c>
    </row>
    <row r="143" spans="1:11" x14ac:dyDescent="0.35">
      <c r="A143" s="33" t="s">
        <v>3474</v>
      </c>
      <c r="B143" t="s">
        <v>3</v>
      </c>
      <c r="C143" t="s">
        <v>43</v>
      </c>
      <c r="D143" t="s">
        <v>64</v>
      </c>
      <c r="E143" s="54" t="s">
        <v>201</v>
      </c>
      <c r="F143" s="33" t="s">
        <v>146</v>
      </c>
      <c r="G143" s="33" t="s">
        <v>147</v>
      </c>
      <c r="H143" t="s">
        <v>54</v>
      </c>
      <c r="I143" s="1" t="s">
        <v>134</v>
      </c>
      <c r="J143" s="3" t="s">
        <v>1286</v>
      </c>
      <c r="K143" t="str">
        <v>Samuel Ruddock</v>
      </c>
    </row>
    <row r="144" spans="1:11" x14ac:dyDescent="0.35">
      <c r="E144" s="15"/>
      <c r="I144" t="s">
        <v>141</v>
      </c>
      <c r="J144" t="s">
        <v>1313</v>
      </c>
      <c r="K144" t="str">
        <v>Sandra Joy Hazelwood</v>
      </c>
    </row>
    <row r="145" spans="1:11" x14ac:dyDescent="0.35">
      <c r="I145" t="s">
        <v>142</v>
      </c>
      <c r="J145" t="s">
        <v>3475</v>
      </c>
      <c r="K145" t="str">
        <v>Sandy Relf</v>
      </c>
    </row>
    <row r="146" spans="1:11" x14ac:dyDescent="0.35">
      <c r="I146" t="s">
        <v>98</v>
      </c>
      <c r="J146" t="s">
        <v>3476</v>
      </c>
      <c r="K146" t="str">
        <v>Scott Stanley</v>
      </c>
    </row>
    <row r="147" spans="1:11" x14ac:dyDescent="0.35">
      <c r="I147" t="s">
        <v>100</v>
      </c>
      <c r="J147" t="s">
        <v>3477</v>
      </c>
      <c r="K147" t="str">
        <v>Seaforth Potter</v>
      </c>
    </row>
    <row r="148" spans="1:11" x14ac:dyDescent="0.35">
      <c r="I148" t="s">
        <v>104</v>
      </c>
      <c r="J148" s="36" t="s">
        <v>3478</v>
      </c>
      <c r="K148" t="str">
        <v>Shirley R Pentelow</v>
      </c>
    </row>
    <row r="149" spans="1:11" x14ac:dyDescent="0.35">
      <c r="I149" s="38" t="s">
        <v>1249</v>
      </c>
      <c r="K149" t="str">
        <v>Sophia Ruddock</v>
      </c>
    </row>
    <row r="150" spans="1:11" x14ac:dyDescent="0.35">
      <c r="A150" s="33" t="s">
        <v>3545</v>
      </c>
      <c r="B150" t="s">
        <v>3</v>
      </c>
      <c r="C150" t="s">
        <v>43</v>
      </c>
      <c r="D150" t="s">
        <v>699</v>
      </c>
      <c r="E150" s="54" t="s">
        <v>201</v>
      </c>
      <c r="F150" s="33" t="s">
        <v>146</v>
      </c>
      <c r="G150" s="33" t="s">
        <v>147</v>
      </c>
      <c r="H150" t="s">
        <v>54</v>
      </c>
      <c r="I150" s="1" t="s">
        <v>134</v>
      </c>
      <c r="J150" s="3" t="s">
        <v>478</v>
      </c>
      <c r="K150" t="str">
        <v>Stanley Orbel Gaught</v>
      </c>
    </row>
    <row r="151" spans="1:11" x14ac:dyDescent="0.35">
      <c r="E151" s="15"/>
      <c r="I151" t="s">
        <v>141</v>
      </c>
      <c r="J151" t="s">
        <v>1334</v>
      </c>
      <c r="K151" t="str">
        <v>Stephen P Brett</v>
      </c>
    </row>
    <row r="152" spans="1:11" x14ac:dyDescent="0.35">
      <c r="I152" t="s">
        <v>142</v>
      </c>
      <c r="J152" t="s">
        <v>1335</v>
      </c>
      <c r="K152" t="str">
        <v>Stuart John Smith</v>
      </c>
    </row>
    <row r="153" spans="1:11" x14ac:dyDescent="0.35">
      <c r="I153" t="s">
        <v>98</v>
      </c>
      <c r="J153" t="s">
        <v>1336</v>
      </c>
      <c r="K153" t="str">
        <v>Stuart Warren Munn</v>
      </c>
    </row>
    <row r="154" spans="1:11" x14ac:dyDescent="0.35">
      <c r="I154" t="s">
        <v>100</v>
      </c>
      <c r="J154" t="s">
        <v>1337</v>
      </c>
      <c r="K154" t="str">
        <v>Susan Hall</v>
      </c>
    </row>
    <row r="155" spans="1:11" x14ac:dyDescent="0.35">
      <c r="I155" t="s">
        <v>104</v>
      </c>
      <c r="J155" t="s">
        <v>1338</v>
      </c>
      <c r="K155" t="str">
        <v>Susan Ruddock</v>
      </c>
    </row>
    <row r="156" spans="1:11" x14ac:dyDescent="0.35">
      <c r="I156" s="38" t="s">
        <v>1249</v>
      </c>
      <c r="J156" t="s">
        <v>3543</v>
      </c>
      <c r="K156" t="str">
        <v>Susanna Ruddock</v>
      </c>
    </row>
    <row r="157" spans="1:11" x14ac:dyDescent="0.35">
      <c r="I157" s="37"/>
      <c r="J157" t="s">
        <v>3544</v>
      </c>
      <c r="K157" t="str">
        <v>Susannah Ruddock</v>
      </c>
    </row>
    <row r="158" spans="1:11" ht="15" customHeight="1" x14ac:dyDescent="0.35">
      <c r="J158" s="36" t="s">
        <v>3542</v>
      </c>
      <c r="K158" t="str">
        <v>Thamas Frank Fisher</v>
      </c>
    </row>
    <row r="159" spans="1:11" x14ac:dyDescent="0.35">
      <c r="A159" s="33" t="s">
        <v>1599</v>
      </c>
      <c r="B159" t="s">
        <v>3</v>
      </c>
      <c r="C159" t="s">
        <v>43</v>
      </c>
      <c r="D159" t="s">
        <v>429</v>
      </c>
      <c r="E159" s="54" t="s">
        <v>201</v>
      </c>
      <c r="F159" s="33" t="s">
        <v>478</v>
      </c>
      <c r="G159" s="33" t="s">
        <v>1600</v>
      </c>
      <c r="H159" t="s">
        <v>54</v>
      </c>
      <c r="I159" s="1" t="s">
        <v>146</v>
      </c>
      <c r="J159" s="3" t="s">
        <v>1286</v>
      </c>
      <c r="K159" t="str">
        <v>Thomas Ruddock</v>
      </c>
    </row>
    <row r="160" spans="1:11" x14ac:dyDescent="0.35">
      <c r="E160" s="15"/>
      <c r="I160" t="s">
        <v>134</v>
      </c>
      <c r="J160" t="s">
        <v>478</v>
      </c>
      <c r="K160" t="str">
        <v>Vera J Eaton</v>
      </c>
    </row>
    <row r="161" spans="1:11" x14ac:dyDescent="0.35">
      <c r="I161" t="s">
        <v>141</v>
      </c>
      <c r="J161" t="s">
        <v>1601</v>
      </c>
      <c r="K161" t="str">
        <v>Violet Pleasance</v>
      </c>
    </row>
    <row r="162" spans="1:11" x14ac:dyDescent="0.35">
      <c r="I162" t="s">
        <v>142</v>
      </c>
      <c r="J162" t="s">
        <v>1602</v>
      </c>
      <c r="K162" t="str">
        <v>W Wilson</v>
      </c>
    </row>
    <row r="163" spans="1:11" x14ac:dyDescent="0.35">
      <c r="I163" t="s">
        <v>98</v>
      </c>
      <c r="J163" t="s">
        <v>1603</v>
      </c>
      <c r="K163" t="str">
        <v>Wallace Leonard Bone</v>
      </c>
    </row>
    <row r="164" spans="1:11" x14ac:dyDescent="0.35">
      <c r="I164" t="s">
        <v>100</v>
      </c>
      <c r="J164" t="s">
        <v>1604</v>
      </c>
      <c r="K164" t="str">
        <v>Walter William Cooper</v>
      </c>
    </row>
    <row r="165" spans="1:11" x14ac:dyDescent="0.35">
      <c r="I165" t="s">
        <v>104</v>
      </c>
      <c r="J165" t="s">
        <v>1605</v>
      </c>
      <c r="K165" t="str">
        <v>Wilfred Barnard</v>
      </c>
    </row>
    <row r="166" spans="1:11" x14ac:dyDescent="0.35">
      <c r="I166" s="38" t="s">
        <v>1249</v>
      </c>
      <c r="J166" t="s">
        <v>1606</v>
      </c>
      <c r="K166" t="str">
        <v>William Armstrong</v>
      </c>
    </row>
    <row r="167" spans="1:11" ht="15" customHeight="1" x14ac:dyDescent="0.35">
      <c r="J167" s="36" t="s">
        <v>1607</v>
      </c>
      <c r="K167" t="str">
        <v>William Cooper</v>
      </c>
    </row>
    <row r="168" spans="1:11" x14ac:dyDescent="0.35">
      <c r="A168" s="33" t="s">
        <v>1667</v>
      </c>
      <c r="B168" t="s">
        <v>3</v>
      </c>
      <c r="C168" t="s">
        <v>25</v>
      </c>
      <c r="D168" t="s">
        <v>55</v>
      </c>
      <c r="E168" s="34" t="s">
        <v>201</v>
      </c>
      <c r="F168" s="33" t="s">
        <v>146</v>
      </c>
      <c r="G168" s="33" t="s">
        <v>147</v>
      </c>
      <c r="H168" t="s">
        <v>54</v>
      </c>
      <c r="I168" s="1" t="s">
        <v>134</v>
      </c>
      <c r="J168" s="3" t="s">
        <v>1286</v>
      </c>
      <c r="K168" t="str">
        <v>William J N Moss</v>
      </c>
    </row>
    <row r="169" spans="1:11" x14ac:dyDescent="0.35">
      <c r="E169" s="54" t="s">
        <v>216</v>
      </c>
      <c r="I169" t="s">
        <v>141</v>
      </c>
      <c r="J169" t="s">
        <v>1486</v>
      </c>
      <c r="K169" t="str">
        <v>William John Moss</v>
      </c>
    </row>
    <row r="170" spans="1:11" x14ac:dyDescent="0.35">
      <c r="I170" t="s">
        <v>142</v>
      </c>
      <c r="J170" t="s">
        <v>1487</v>
      </c>
      <c r="K170" t="str">
        <v>William John Ruddock</v>
      </c>
    </row>
    <row r="171" spans="1:11" x14ac:dyDescent="0.35">
      <c r="I171" t="s">
        <v>98</v>
      </c>
      <c r="J171" t="s">
        <v>1488</v>
      </c>
      <c r="K171" t="str">
        <v>William M Fisher</v>
      </c>
    </row>
    <row r="172" spans="1:11" x14ac:dyDescent="0.35">
      <c r="I172" t="s">
        <v>100</v>
      </c>
      <c r="J172" t="s">
        <v>1668</v>
      </c>
      <c r="K172" t="str">
        <v>William Newman Moss</v>
      </c>
    </row>
    <row r="173" spans="1:11" x14ac:dyDescent="0.35">
      <c r="I173" t="s">
        <v>104</v>
      </c>
      <c r="J173" t="s">
        <v>1669</v>
      </c>
      <c r="K173" t="str">
        <v>William Ruddock</v>
      </c>
    </row>
    <row r="174" spans="1:11" x14ac:dyDescent="0.35">
      <c r="I174" s="38" t="s">
        <v>18</v>
      </c>
      <c r="J174" s="36" t="s">
        <v>1667</v>
      </c>
      <c r="K174" t="str">
        <v>Winifred Finch</v>
      </c>
    </row>
    <row r="175" spans="1:11" x14ac:dyDescent="0.35">
      <c r="A175" s="33" t="s">
        <v>1599</v>
      </c>
      <c r="B175" t="s">
        <v>3</v>
      </c>
      <c r="C175" t="s">
        <v>43</v>
      </c>
      <c r="D175" t="s">
        <v>951</v>
      </c>
      <c r="E175" s="34" t="s">
        <v>201</v>
      </c>
      <c r="F175" s="33" t="s">
        <v>478</v>
      </c>
      <c r="G175" s="33" t="s">
        <v>1600</v>
      </c>
      <c r="H175" t="s">
        <v>413</v>
      </c>
      <c r="I175" s="1" t="s">
        <v>146</v>
      </c>
      <c r="J175" s="3" t="s">
        <v>1286</v>
      </c>
      <c r="K175">
        <v>0</v>
      </c>
    </row>
    <row r="176" spans="1:11" x14ac:dyDescent="0.35">
      <c r="E176" s="54" t="s">
        <v>216</v>
      </c>
      <c r="I176" t="s">
        <v>134</v>
      </c>
      <c r="J176" t="s">
        <v>478</v>
      </c>
    </row>
    <row r="177" spans="1:10" x14ac:dyDescent="0.35">
      <c r="I177" t="s">
        <v>141</v>
      </c>
      <c r="J177" t="s">
        <v>1601</v>
      </c>
    </row>
    <row r="178" spans="1:10" x14ac:dyDescent="0.35">
      <c r="I178" t="s">
        <v>142</v>
      </c>
      <c r="J178" t="s">
        <v>1602</v>
      </c>
    </row>
    <row r="179" spans="1:10" x14ac:dyDescent="0.35">
      <c r="I179" t="s">
        <v>98</v>
      </c>
      <c r="J179" t="s">
        <v>1603</v>
      </c>
    </row>
    <row r="180" spans="1:10" x14ac:dyDescent="0.35">
      <c r="I180" t="s">
        <v>100</v>
      </c>
      <c r="J180" t="s">
        <v>1604</v>
      </c>
    </row>
    <row r="181" spans="1:10" x14ac:dyDescent="0.35">
      <c r="I181" t="s">
        <v>104</v>
      </c>
      <c r="J181" t="s">
        <v>1605</v>
      </c>
    </row>
    <row r="182" spans="1:10" x14ac:dyDescent="0.35">
      <c r="I182" s="38" t="s">
        <v>1249</v>
      </c>
      <c r="J182" t="s">
        <v>1606</v>
      </c>
    </row>
    <row r="183" spans="1:10" x14ac:dyDescent="0.35">
      <c r="J183" s="36" t="s">
        <v>1607</v>
      </c>
    </row>
    <row r="184" spans="1:10" x14ac:dyDescent="0.35">
      <c r="A184" s="33" t="s">
        <v>1285</v>
      </c>
      <c r="B184" t="s">
        <v>3</v>
      </c>
      <c r="C184" t="s">
        <v>43</v>
      </c>
      <c r="D184" t="s">
        <v>64</v>
      </c>
      <c r="E184" s="54" t="s">
        <v>216</v>
      </c>
      <c r="F184" s="33" t="s">
        <v>146</v>
      </c>
      <c r="G184" s="33" t="s">
        <v>147</v>
      </c>
      <c r="H184" t="s">
        <v>54</v>
      </c>
      <c r="I184" s="1" t="s">
        <v>134</v>
      </c>
      <c r="J184" s="3" t="s">
        <v>1286</v>
      </c>
    </row>
    <row r="185" spans="1:10" x14ac:dyDescent="0.35">
      <c r="E185" s="15"/>
      <c r="I185" t="s">
        <v>141</v>
      </c>
      <c r="J185" t="s">
        <v>154</v>
      </c>
    </row>
    <row r="186" spans="1:10" x14ac:dyDescent="0.35">
      <c r="I186" t="s">
        <v>142</v>
      </c>
      <c r="J186" t="s">
        <v>1287</v>
      </c>
    </row>
    <row r="187" spans="1:10" x14ac:dyDescent="0.35">
      <c r="I187" t="s">
        <v>98</v>
      </c>
      <c r="J187" t="s">
        <v>1288</v>
      </c>
    </row>
    <row r="188" spans="1:10" x14ac:dyDescent="0.35">
      <c r="I188" t="s">
        <v>100</v>
      </c>
      <c r="J188" t="s">
        <v>1289</v>
      </c>
    </row>
    <row r="189" spans="1:10" x14ac:dyDescent="0.35">
      <c r="I189" t="s">
        <v>104</v>
      </c>
      <c r="J189" s="36" t="s">
        <v>2548</v>
      </c>
    </row>
    <row r="190" spans="1:10" x14ac:dyDescent="0.35">
      <c r="I190" s="38" t="s">
        <v>1249</v>
      </c>
    </row>
    <row r="191" spans="1:10" x14ac:dyDescent="0.35">
      <c r="A191" s="33" t="s">
        <v>4291</v>
      </c>
      <c r="B191" t="s">
        <v>3</v>
      </c>
      <c r="C191" t="s">
        <v>43</v>
      </c>
      <c r="D191" t="s">
        <v>55</v>
      </c>
      <c r="E191" s="54" t="s">
        <v>216</v>
      </c>
      <c r="F191" s="33" t="s">
        <v>146</v>
      </c>
      <c r="G191" s="33" t="s">
        <v>147</v>
      </c>
      <c r="H191" t="s">
        <v>54</v>
      </c>
      <c r="I191" s="1" t="s">
        <v>134</v>
      </c>
      <c r="J191" s="3" t="s">
        <v>3383</v>
      </c>
    </row>
    <row r="192" spans="1:10" x14ac:dyDescent="0.35">
      <c r="E192" s="15"/>
      <c r="I192" t="s">
        <v>141</v>
      </c>
      <c r="J192" t="s">
        <v>1299</v>
      </c>
    </row>
    <row r="193" spans="1:10" x14ac:dyDescent="0.35">
      <c r="I193" t="s">
        <v>142</v>
      </c>
      <c r="J193" t="s">
        <v>3384</v>
      </c>
    </row>
    <row r="194" spans="1:10" x14ac:dyDescent="0.35">
      <c r="I194" t="s">
        <v>98</v>
      </c>
      <c r="J194" t="s">
        <v>4292</v>
      </c>
    </row>
    <row r="195" spans="1:10" x14ac:dyDescent="0.35">
      <c r="I195" t="s">
        <v>100</v>
      </c>
      <c r="J195" t="s">
        <v>4293</v>
      </c>
    </row>
    <row r="196" spans="1:10" x14ac:dyDescent="0.35">
      <c r="I196" t="s">
        <v>104</v>
      </c>
      <c r="J196" t="s">
        <v>4294</v>
      </c>
    </row>
    <row r="197" spans="1:10" x14ac:dyDescent="0.35">
      <c r="I197" s="38" t="s">
        <v>1249</v>
      </c>
      <c r="J197" s="36" t="s">
        <v>4291</v>
      </c>
    </row>
    <row r="198" spans="1:10" x14ac:dyDescent="0.35">
      <c r="A198" s="33" t="s">
        <v>2548</v>
      </c>
      <c r="B198" s="1" t="s">
        <v>315</v>
      </c>
      <c r="C198" t="s">
        <v>43</v>
      </c>
      <c r="D198" t="s">
        <v>64</v>
      </c>
      <c r="E198" s="54" t="s">
        <v>216</v>
      </c>
      <c r="F198" s="33" t="s">
        <v>146</v>
      </c>
      <c r="G198" s="33" t="s">
        <v>147</v>
      </c>
      <c r="H198" t="s">
        <v>54</v>
      </c>
      <c r="I198" s="1" t="s">
        <v>134</v>
      </c>
      <c r="J198" s="3" t="s">
        <v>1286</v>
      </c>
    </row>
    <row r="199" spans="1:10" x14ac:dyDescent="0.35">
      <c r="E199" s="15"/>
      <c r="I199" t="s">
        <v>141</v>
      </c>
      <c r="J199" t="s">
        <v>154</v>
      </c>
    </row>
    <row r="200" spans="1:10" x14ac:dyDescent="0.35">
      <c r="I200" t="s">
        <v>142</v>
      </c>
      <c r="J200" t="s">
        <v>1287</v>
      </c>
    </row>
    <row r="201" spans="1:10" x14ac:dyDescent="0.35">
      <c r="I201" t="s">
        <v>98</v>
      </c>
      <c r="J201" t="s">
        <v>1288</v>
      </c>
    </row>
    <row r="202" spans="1:10" x14ac:dyDescent="0.35">
      <c r="I202" t="s">
        <v>100</v>
      </c>
      <c r="J202" t="s">
        <v>1289</v>
      </c>
    </row>
    <row r="203" spans="1:10" x14ac:dyDescent="0.35">
      <c r="I203" t="s">
        <v>104</v>
      </c>
      <c r="J203" s="36" t="s">
        <v>2548</v>
      </c>
    </row>
    <row r="204" spans="1:10" x14ac:dyDescent="0.35">
      <c r="I204" s="38" t="s">
        <v>1249</v>
      </c>
    </row>
    <row r="205" spans="1:10" x14ac:dyDescent="0.35">
      <c r="A205" s="33" t="s">
        <v>1296</v>
      </c>
      <c r="B205" t="s">
        <v>3</v>
      </c>
      <c r="C205" t="s">
        <v>43</v>
      </c>
      <c r="D205" t="s">
        <v>64</v>
      </c>
      <c r="E205" s="54" t="s">
        <v>216</v>
      </c>
      <c r="F205" s="33" t="s">
        <v>146</v>
      </c>
      <c r="G205" s="33" t="s">
        <v>147</v>
      </c>
      <c r="H205" t="s">
        <v>54</v>
      </c>
      <c r="I205" s="1" t="s">
        <v>134</v>
      </c>
      <c r="J205" s="3" t="s">
        <v>1297</v>
      </c>
    </row>
    <row r="206" spans="1:10" x14ac:dyDescent="0.35">
      <c r="E206" s="15"/>
      <c r="I206" t="s">
        <v>141</v>
      </c>
      <c r="J206" t="s">
        <v>1298</v>
      </c>
    </row>
    <row r="207" spans="1:10" x14ac:dyDescent="0.35">
      <c r="I207" t="s">
        <v>142</v>
      </c>
      <c r="J207" t="s">
        <v>1299</v>
      </c>
    </row>
    <row r="208" spans="1:10" x14ac:dyDescent="0.35">
      <c r="I208" t="s">
        <v>98</v>
      </c>
      <c r="J208" t="s">
        <v>1300</v>
      </c>
    </row>
    <row r="209" spans="1:10" x14ac:dyDescent="0.35">
      <c r="I209" t="s">
        <v>100</v>
      </c>
      <c r="J209" t="s">
        <v>1301</v>
      </c>
    </row>
    <row r="210" spans="1:10" x14ac:dyDescent="0.35">
      <c r="I210" t="s">
        <v>104</v>
      </c>
      <c r="J210" s="36" t="s">
        <v>1302</v>
      </c>
    </row>
    <row r="211" spans="1:10" x14ac:dyDescent="0.35">
      <c r="I211" s="38" t="s">
        <v>1249</v>
      </c>
    </row>
    <row r="212" spans="1:10" x14ac:dyDescent="0.35">
      <c r="A212" s="33" t="s">
        <v>1967</v>
      </c>
      <c r="B212" t="s">
        <v>3</v>
      </c>
      <c r="C212" t="s">
        <v>43</v>
      </c>
      <c r="D212" t="s">
        <v>55</v>
      </c>
      <c r="E212" s="54" t="s">
        <v>216</v>
      </c>
      <c r="F212" s="33" t="s">
        <v>146</v>
      </c>
      <c r="G212" s="33" t="s">
        <v>147</v>
      </c>
      <c r="H212" t="s">
        <v>54</v>
      </c>
      <c r="I212" s="1" t="s">
        <v>134</v>
      </c>
      <c r="J212" s="3" t="s">
        <v>1297</v>
      </c>
    </row>
    <row r="213" spans="1:10" x14ac:dyDescent="0.35">
      <c r="E213" s="15"/>
      <c r="I213" t="s">
        <v>141</v>
      </c>
      <c r="J213" t="s">
        <v>1314</v>
      </c>
    </row>
    <row r="214" spans="1:10" x14ac:dyDescent="0.35">
      <c r="I214" t="s">
        <v>142</v>
      </c>
      <c r="J214" t="s">
        <v>1969</v>
      </c>
    </row>
    <row r="215" spans="1:10" x14ac:dyDescent="0.35">
      <c r="I215" t="s">
        <v>98</v>
      </c>
      <c r="J215" t="s">
        <v>1970</v>
      </c>
    </row>
    <row r="216" spans="1:10" x14ac:dyDescent="0.35">
      <c r="I216" t="s">
        <v>100</v>
      </c>
      <c r="J216" t="s">
        <v>1971</v>
      </c>
    </row>
    <row r="217" spans="1:10" x14ac:dyDescent="0.35">
      <c r="I217" t="s">
        <v>104</v>
      </c>
      <c r="J217" t="s">
        <v>1972</v>
      </c>
    </row>
    <row r="218" spans="1:10" x14ac:dyDescent="0.35">
      <c r="I218" s="38" t="s">
        <v>1249</v>
      </c>
      <c r="J218" s="36" t="s">
        <v>1967</v>
      </c>
    </row>
    <row r="219" spans="1:10" x14ac:dyDescent="0.35">
      <c r="A219" s="33" t="s">
        <v>1379</v>
      </c>
      <c r="B219" s="1" t="s">
        <v>315</v>
      </c>
      <c r="C219" t="s">
        <v>1380</v>
      </c>
      <c r="D219" t="s">
        <v>429</v>
      </c>
      <c r="E219" s="54" t="s">
        <v>216</v>
      </c>
      <c r="F219" s="33" t="s">
        <v>146</v>
      </c>
      <c r="G219" s="33" t="s">
        <v>147</v>
      </c>
      <c r="H219" t="s">
        <v>54</v>
      </c>
      <c r="I219" s="1" t="s">
        <v>134</v>
      </c>
      <c r="J219" s="3" t="s">
        <v>1297</v>
      </c>
    </row>
    <row r="220" spans="1:10" x14ac:dyDescent="0.35">
      <c r="E220" s="15"/>
      <c r="I220" t="s">
        <v>141</v>
      </c>
      <c r="J220" t="s">
        <v>1381</v>
      </c>
    </row>
    <row r="221" spans="1:10" x14ac:dyDescent="0.35">
      <c r="I221" t="s">
        <v>142</v>
      </c>
      <c r="J221" t="s">
        <v>1382</v>
      </c>
    </row>
    <row r="222" spans="1:10" x14ac:dyDescent="0.35">
      <c r="I222" t="s">
        <v>98</v>
      </c>
      <c r="J222" t="s">
        <v>1383</v>
      </c>
    </row>
    <row r="223" spans="1:10" x14ac:dyDescent="0.35">
      <c r="I223" t="s">
        <v>100</v>
      </c>
      <c r="J223" t="s">
        <v>1384</v>
      </c>
    </row>
    <row r="224" spans="1:10" x14ac:dyDescent="0.35">
      <c r="I224" t="s">
        <v>104</v>
      </c>
      <c r="J224" t="s">
        <v>1385</v>
      </c>
    </row>
    <row r="225" spans="1:10" x14ac:dyDescent="0.35">
      <c r="I225" s="38" t="s">
        <v>1249</v>
      </c>
      <c r="J225" t="s">
        <v>1386</v>
      </c>
    </row>
    <row r="226" spans="1:10" x14ac:dyDescent="0.35">
      <c r="J226" s="36" t="s">
        <v>1387</v>
      </c>
    </row>
    <row r="227" spans="1:10" x14ac:dyDescent="0.35">
      <c r="A227" s="33" t="s">
        <v>1296</v>
      </c>
      <c r="B227" t="s">
        <v>3</v>
      </c>
      <c r="C227" t="s">
        <v>43</v>
      </c>
      <c r="D227" t="s">
        <v>64</v>
      </c>
      <c r="E227" s="54" t="s">
        <v>72</v>
      </c>
      <c r="F227" s="33" t="s">
        <v>146</v>
      </c>
      <c r="G227" s="33" t="s">
        <v>147</v>
      </c>
      <c r="H227" t="s">
        <v>54</v>
      </c>
      <c r="I227" s="1" t="s">
        <v>134</v>
      </c>
      <c r="J227" s="3" t="s">
        <v>1297</v>
      </c>
    </row>
    <row r="228" spans="1:10" x14ac:dyDescent="0.35">
      <c r="E228" s="15"/>
      <c r="I228" t="s">
        <v>141</v>
      </c>
      <c r="J228" t="s">
        <v>1968</v>
      </c>
    </row>
    <row r="229" spans="1:10" x14ac:dyDescent="0.35">
      <c r="I229" t="s">
        <v>142</v>
      </c>
      <c r="J229" t="s">
        <v>1969</v>
      </c>
    </row>
    <row r="230" spans="1:10" x14ac:dyDescent="0.35">
      <c r="I230" t="s">
        <v>98</v>
      </c>
      <c r="J230" t="s">
        <v>1970</v>
      </c>
    </row>
    <row r="231" spans="1:10" x14ac:dyDescent="0.35">
      <c r="I231" t="s">
        <v>100</v>
      </c>
      <c r="J231" t="s">
        <v>1971</v>
      </c>
    </row>
    <row r="232" spans="1:10" x14ac:dyDescent="0.35">
      <c r="I232" t="s">
        <v>104</v>
      </c>
      <c r="J232" t="s">
        <v>1972</v>
      </c>
    </row>
    <row r="233" spans="1:10" x14ac:dyDescent="0.35">
      <c r="I233" s="38" t="s">
        <v>1249</v>
      </c>
      <c r="J233" s="36" t="s">
        <v>1967</v>
      </c>
    </row>
    <row r="234" spans="1:10" x14ac:dyDescent="0.35">
      <c r="A234" s="33" t="s">
        <v>4295</v>
      </c>
      <c r="B234" t="s">
        <v>3</v>
      </c>
      <c r="C234" t="s">
        <v>43</v>
      </c>
      <c r="D234" t="s">
        <v>64</v>
      </c>
      <c r="E234" s="54" t="s">
        <v>72</v>
      </c>
      <c r="F234" s="33" t="s">
        <v>146</v>
      </c>
      <c r="G234" s="33" t="s">
        <v>147</v>
      </c>
      <c r="H234" t="s">
        <v>54</v>
      </c>
      <c r="I234" s="1" t="s">
        <v>134</v>
      </c>
      <c r="J234" s="3" t="s">
        <v>3383</v>
      </c>
    </row>
    <row r="235" spans="1:10" x14ac:dyDescent="0.35">
      <c r="E235" s="15"/>
      <c r="I235" t="s">
        <v>141</v>
      </c>
      <c r="J235" t="s">
        <v>1299</v>
      </c>
    </row>
    <row r="236" spans="1:10" x14ac:dyDescent="0.35">
      <c r="I236" t="s">
        <v>142</v>
      </c>
      <c r="J236" t="s">
        <v>3384</v>
      </c>
    </row>
    <row r="237" spans="1:10" x14ac:dyDescent="0.35">
      <c r="I237" t="s">
        <v>98</v>
      </c>
      <c r="J237" t="s">
        <v>4296</v>
      </c>
    </row>
    <row r="238" spans="1:10" x14ac:dyDescent="0.35">
      <c r="I238" t="s">
        <v>100</v>
      </c>
      <c r="J238" t="s">
        <v>4297</v>
      </c>
    </row>
    <row r="239" spans="1:10" x14ac:dyDescent="0.35">
      <c r="I239" t="s">
        <v>104</v>
      </c>
      <c r="J239" t="s">
        <v>4298</v>
      </c>
    </row>
    <row r="240" spans="1:10" x14ac:dyDescent="0.35">
      <c r="I240" s="38" t="s">
        <v>1249</v>
      </c>
      <c r="J240" s="36" t="s">
        <v>4299</v>
      </c>
    </row>
    <row r="241" spans="1:10" x14ac:dyDescent="0.35">
      <c r="A241" s="33" t="s">
        <v>3382</v>
      </c>
      <c r="B241" t="s">
        <v>3</v>
      </c>
      <c r="C241" t="s">
        <v>43</v>
      </c>
      <c r="D241" t="s">
        <v>55</v>
      </c>
      <c r="E241" s="54" t="s">
        <v>72</v>
      </c>
      <c r="F241" s="33" t="s">
        <v>146</v>
      </c>
      <c r="G241" s="33" t="s">
        <v>147</v>
      </c>
      <c r="H241" t="s">
        <v>54</v>
      </c>
      <c r="I241" s="1" t="s">
        <v>134</v>
      </c>
      <c r="J241" s="3" t="s">
        <v>3383</v>
      </c>
    </row>
    <row r="242" spans="1:10" x14ac:dyDescent="0.35">
      <c r="E242" s="15"/>
      <c r="I242" t="s">
        <v>141</v>
      </c>
      <c r="J242" t="s">
        <v>1299</v>
      </c>
    </row>
    <row r="243" spans="1:10" x14ac:dyDescent="0.35">
      <c r="I243" t="s">
        <v>142</v>
      </c>
      <c r="J243" t="s">
        <v>3384</v>
      </c>
    </row>
    <row r="244" spans="1:10" x14ac:dyDescent="0.35">
      <c r="I244" t="s">
        <v>98</v>
      </c>
      <c r="J244" t="s">
        <v>3385</v>
      </c>
    </row>
    <row r="245" spans="1:10" x14ac:dyDescent="0.35">
      <c r="I245" t="s">
        <v>100</v>
      </c>
      <c r="J245" t="s">
        <v>3386</v>
      </c>
    </row>
    <row r="246" spans="1:10" x14ac:dyDescent="0.35">
      <c r="I246" t="s">
        <v>104</v>
      </c>
      <c r="J246" t="s">
        <v>3387</v>
      </c>
    </row>
    <row r="247" spans="1:10" x14ac:dyDescent="0.35">
      <c r="I247" s="38" t="s">
        <v>1249</v>
      </c>
      <c r="J247" s="36" t="s">
        <v>3388</v>
      </c>
    </row>
    <row r="248" spans="1:10" x14ac:dyDescent="0.35">
      <c r="A248" s="33" t="s">
        <v>1312</v>
      </c>
      <c r="B248" t="s">
        <v>3</v>
      </c>
      <c r="C248" t="s">
        <v>43</v>
      </c>
      <c r="D248" t="s">
        <v>55</v>
      </c>
      <c r="E248" s="54" t="s">
        <v>72</v>
      </c>
      <c r="F248" s="33" t="s">
        <v>146</v>
      </c>
      <c r="G248" s="33" t="s">
        <v>147</v>
      </c>
      <c r="H248" t="s">
        <v>54</v>
      </c>
      <c r="I248" s="1" t="s">
        <v>134</v>
      </c>
      <c r="J248" s="3" t="s">
        <v>1286</v>
      </c>
    </row>
    <row r="249" spans="1:10" x14ac:dyDescent="0.35">
      <c r="E249" s="15"/>
      <c r="I249" t="s">
        <v>141</v>
      </c>
      <c r="J249" t="s">
        <v>1313</v>
      </c>
    </row>
    <row r="250" spans="1:10" x14ac:dyDescent="0.35">
      <c r="I250" t="s">
        <v>142</v>
      </c>
      <c r="J250" t="s">
        <v>1314</v>
      </c>
    </row>
    <row r="251" spans="1:10" x14ac:dyDescent="0.35">
      <c r="I251" t="s">
        <v>98</v>
      </c>
      <c r="J251" t="s">
        <v>1315</v>
      </c>
    </row>
    <row r="252" spans="1:10" x14ac:dyDescent="0.35">
      <c r="I252" t="s">
        <v>100</v>
      </c>
      <c r="J252" t="s">
        <v>1316</v>
      </c>
    </row>
    <row r="253" spans="1:10" x14ac:dyDescent="0.35">
      <c r="I253" t="s">
        <v>104</v>
      </c>
      <c r="J253" t="s">
        <v>1317</v>
      </c>
    </row>
    <row r="254" spans="1:10" x14ac:dyDescent="0.35">
      <c r="I254" s="38" t="s">
        <v>1249</v>
      </c>
      <c r="J254" s="36" t="s">
        <v>2982</v>
      </c>
    </row>
    <row r="255" spans="1:10" x14ac:dyDescent="0.35">
      <c r="A255" s="33" t="s">
        <v>3732</v>
      </c>
      <c r="B255" t="s">
        <v>3</v>
      </c>
      <c r="C255" t="s">
        <v>43</v>
      </c>
      <c r="D255" t="s">
        <v>64</v>
      </c>
      <c r="E255" s="54" t="s">
        <v>72</v>
      </c>
      <c r="F255" s="33" t="s">
        <v>146</v>
      </c>
      <c r="G255" s="33" t="s">
        <v>147</v>
      </c>
      <c r="H255" t="s">
        <v>54</v>
      </c>
      <c r="I255" s="1" t="s">
        <v>134</v>
      </c>
      <c r="J255" s="3" t="s">
        <v>146</v>
      </c>
    </row>
    <row r="256" spans="1:10" x14ac:dyDescent="0.35">
      <c r="E256" s="15"/>
      <c r="I256" t="s">
        <v>141</v>
      </c>
      <c r="J256" t="s">
        <v>146</v>
      </c>
    </row>
    <row r="257" spans="1:10" x14ac:dyDescent="0.35">
      <c r="I257" t="s">
        <v>142</v>
      </c>
      <c r="J257" t="s">
        <v>3728</v>
      </c>
    </row>
    <row r="258" spans="1:10" x14ac:dyDescent="0.35">
      <c r="I258" t="s">
        <v>98</v>
      </c>
      <c r="J258" t="s">
        <v>3729</v>
      </c>
    </row>
    <row r="259" spans="1:10" x14ac:dyDescent="0.35">
      <c r="I259" t="s">
        <v>100</v>
      </c>
      <c r="J259" t="s">
        <v>3730</v>
      </c>
    </row>
    <row r="260" spans="1:10" x14ac:dyDescent="0.35">
      <c r="I260" t="s">
        <v>104</v>
      </c>
      <c r="J260" s="36" t="s">
        <v>3731</v>
      </c>
    </row>
    <row r="261" spans="1:10" x14ac:dyDescent="0.35">
      <c r="I261" s="38" t="s">
        <v>1249</v>
      </c>
    </row>
    <row r="262" spans="1:10" x14ac:dyDescent="0.35">
      <c r="A262" s="33" t="s">
        <v>1333</v>
      </c>
      <c r="B262" t="s">
        <v>3</v>
      </c>
      <c r="C262" t="s">
        <v>43</v>
      </c>
      <c r="D262" t="s">
        <v>429</v>
      </c>
      <c r="E262" s="54" t="s">
        <v>72</v>
      </c>
      <c r="F262" s="33" t="s">
        <v>146</v>
      </c>
      <c r="G262" s="33" t="s">
        <v>147</v>
      </c>
      <c r="H262" t="s">
        <v>54</v>
      </c>
      <c r="I262" s="1" t="s">
        <v>134</v>
      </c>
      <c r="J262" s="3" t="s">
        <v>478</v>
      </c>
    </row>
    <row r="263" spans="1:10" x14ac:dyDescent="0.35">
      <c r="A263" t="s">
        <v>2559</v>
      </c>
      <c r="B263" s="1" t="s">
        <v>315</v>
      </c>
      <c r="E263" s="15"/>
      <c r="I263" t="s">
        <v>141</v>
      </c>
      <c r="J263" t="s">
        <v>1334</v>
      </c>
    </row>
    <row r="264" spans="1:10" x14ac:dyDescent="0.35">
      <c r="I264" t="s">
        <v>142</v>
      </c>
      <c r="J264" t="s">
        <v>1335</v>
      </c>
    </row>
    <row r="265" spans="1:10" x14ac:dyDescent="0.35">
      <c r="I265" t="s">
        <v>98</v>
      </c>
      <c r="J265" t="s">
        <v>1336</v>
      </c>
    </row>
    <row r="266" spans="1:10" x14ac:dyDescent="0.35">
      <c r="I266" t="s">
        <v>100</v>
      </c>
      <c r="J266" t="s">
        <v>1337</v>
      </c>
    </row>
    <row r="267" spans="1:10" x14ac:dyDescent="0.35">
      <c r="I267" t="s">
        <v>104</v>
      </c>
      <c r="J267" t="s">
        <v>1338</v>
      </c>
    </row>
    <row r="268" spans="1:10" x14ac:dyDescent="0.35">
      <c r="I268" s="38" t="s">
        <v>1249</v>
      </c>
      <c r="J268" t="s">
        <v>2560</v>
      </c>
    </row>
    <row r="269" spans="1:10" x14ac:dyDescent="0.35">
      <c r="J269" s="36" t="s">
        <v>1339</v>
      </c>
    </row>
    <row r="270" spans="1:10" x14ac:dyDescent="0.35">
      <c r="A270" s="33" t="s">
        <v>1347</v>
      </c>
      <c r="B270" t="s">
        <v>3</v>
      </c>
      <c r="C270" t="s">
        <v>43</v>
      </c>
      <c r="D270" t="s">
        <v>429</v>
      </c>
      <c r="E270" s="54" t="s">
        <v>72</v>
      </c>
      <c r="F270" s="33" t="s">
        <v>146</v>
      </c>
      <c r="G270" s="33" t="s">
        <v>147</v>
      </c>
      <c r="H270" t="s">
        <v>54</v>
      </c>
      <c r="I270" s="1" t="s">
        <v>134</v>
      </c>
      <c r="J270" s="3" t="s">
        <v>1297</v>
      </c>
    </row>
    <row r="271" spans="1:10" x14ac:dyDescent="0.35">
      <c r="A271" s="33" t="s">
        <v>1347</v>
      </c>
      <c r="B271" s="1" t="s">
        <v>315</v>
      </c>
      <c r="E271" s="15"/>
      <c r="I271" t="s">
        <v>141</v>
      </c>
      <c r="J271" t="s">
        <v>1297</v>
      </c>
    </row>
    <row r="272" spans="1:10" x14ac:dyDescent="0.35">
      <c r="I272" t="s">
        <v>142</v>
      </c>
      <c r="J272" t="s">
        <v>478</v>
      </c>
    </row>
    <row r="273" spans="1:10" x14ac:dyDescent="0.35">
      <c r="I273" t="s">
        <v>98</v>
      </c>
      <c r="J273" t="s">
        <v>1348</v>
      </c>
    </row>
    <row r="274" spans="1:10" x14ac:dyDescent="0.35">
      <c r="I274" t="s">
        <v>100</v>
      </c>
      <c r="J274" t="s">
        <v>1349</v>
      </c>
    </row>
    <row r="275" spans="1:10" x14ac:dyDescent="0.35">
      <c r="I275" t="s">
        <v>104</v>
      </c>
      <c r="J275" t="s">
        <v>1350</v>
      </c>
    </row>
    <row r="276" spans="1:10" x14ac:dyDescent="0.35">
      <c r="I276" s="38" t="s">
        <v>1249</v>
      </c>
      <c r="J276" t="s">
        <v>2549</v>
      </c>
    </row>
    <row r="277" spans="1:10" x14ac:dyDescent="0.35">
      <c r="J277" s="36" t="s">
        <v>2550</v>
      </c>
    </row>
    <row r="278" spans="1:10" x14ac:dyDescent="0.35">
      <c r="A278" s="33" t="s">
        <v>1352</v>
      </c>
      <c r="B278" t="s">
        <v>3</v>
      </c>
      <c r="C278" t="s">
        <v>43</v>
      </c>
      <c r="D278" t="s">
        <v>429</v>
      </c>
      <c r="E278" s="54" t="s">
        <v>72</v>
      </c>
      <c r="F278" s="33" t="s">
        <v>146</v>
      </c>
      <c r="G278" s="33" t="s">
        <v>147</v>
      </c>
      <c r="H278" t="s">
        <v>54</v>
      </c>
      <c r="I278" s="1" t="s">
        <v>134</v>
      </c>
      <c r="J278" s="3" t="s">
        <v>1297</v>
      </c>
    </row>
    <row r="279" spans="1:10" x14ac:dyDescent="0.35">
      <c r="E279" s="15"/>
      <c r="I279" t="s">
        <v>141</v>
      </c>
      <c r="J279" t="s">
        <v>1297</v>
      </c>
    </row>
    <row r="280" spans="1:10" x14ac:dyDescent="0.35">
      <c r="I280" t="s">
        <v>142</v>
      </c>
      <c r="J280" t="s">
        <v>478</v>
      </c>
    </row>
    <row r="281" spans="1:10" x14ac:dyDescent="0.35">
      <c r="I281" t="s">
        <v>98</v>
      </c>
      <c r="J281" t="s">
        <v>1348</v>
      </c>
    </row>
    <row r="282" spans="1:10" x14ac:dyDescent="0.35">
      <c r="I282" t="s">
        <v>100</v>
      </c>
      <c r="J282" t="s">
        <v>1349</v>
      </c>
    </row>
    <row r="283" spans="1:10" x14ac:dyDescent="0.35">
      <c r="I283" t="s">
        <v>104</v>
      </c>
      <c r="J283" t="s">
        <v>1350</v>
      </c>
    </row>
    <row r="284" spans="1:10" x14ac:dyDescent="0.35">
      <c r="I284" s="38" t="s">
        <v>1249</v>
      </c>
      <c r="J284" t="s">
        <v>1351</v>
      </c>
    </row>
    <row r="285" spans="1:10" x14ac:dyDescent="0.35">
      <c r="J285" s="36" t="s">
        <v>1353</v>
      </c>
    </row>
    <row r="286" spans="1:10" x14ac:dyDescent="0.35">
      <c r="A286" s="33" t="s">
        <v>3430</v>
      </c>
      <c r="B286" t="s">
        <v>3</v>
      </c>
      <c r="C286" t="s">
        <v>43</v>
      </c>
      <c r="D286" t="s">
        <v>429</v>
      </c>
      <c r="E286" s="34" t="s">
        <v>72</v>
      </c>
      <c r="F286" s="33" t="s">
        <v>146</v>
      </c>
      <c r="G286" s="33" t="s">
        <v>147</v>
      </c>
      <c r="H286" t="s">
        <v>54</v>
      </c>
      <c r="I286" s="1" t="s">
        <v>134</v>
      </c>
      <c r="J286" s="3" t="s">
        <v>154</v>
      </c>
    </row>
    <row r="287" spans="1:10" x14ac:dyDescent="0.35">
      <c r="E287" s="17"/>
      <c r="I287" t="s">
        <v>141</v>
      </c>
      <c r="J287" t="s">
        <v>3424</v>
      </c>
    </row>
    <row r="288" spans="1:10" x14ac:dyDescent="0.35">
      <c r="I288" t="s">
        <v>142</v>
      </c>
      <c r="J288" t="s">
        <v>3425</v>
      </c>
    </row>
    <row r="289" spans="1:10" x14ac:dyDescent="0.35">
      <c r="I289" t="s">
        <v>98</v>
      </c>
      <c r="J289" t="s">
        <v>3426</v>
      </c>
    </row>
    <row r="290" spans="1:10" x14ac:dyDescent="0.35">
      <c r="I290" t="s">
        <v>100</v>
      </c>
      <c r="J290" t="s">
        <v>3426</v>
      </c>
    </row>
    <row r="291" spans="1:10" x14ac:dyDescent="0.35">
      <c r="I291" t="s">
        <v>104</v>
      </c>
      <c r="J291" t="s">
        <v>3427</v>
      </c>
    </row>
    <row r="292" spans="1:10" x14ac:dyDescent="0.35">
      <c r="I292" s="38" t="s">
        <v>1249</v>
      </c>
      <c r="J292" t="s">
        <v>3428</v>
      </c>
    </row>
    <row r="293" spans="1:10" x14ac:dyDescent="0.35">
      <c r="J293" s="36" t="s">
        <v>3429</v>
      </c>
    </row>
    <row r="294" spans="1:10" x14ac:dyDescent="0.35">
      <c r="A294" s="33" t="s">
        <v>2561</v>
      </c>
      <c r="B294" t="s">
        <v>3</v>
      </c>
      <c r="C294" t="s">
        <v>43</v>
      </c>
      <c r="D294" t="s">
        <v>55</v>
      </c>
      <c r="E294" s="54" t="s">
        <v>65</v>
      </c>
      <c r="F294" s="33" t="s">
        <v>146</v>
      </c>
      <c r="G294" s="33" t="s">
        <v>147</v>
      </c>
      <c r="H294" t="s">
        <v>54</v>
      </c>
      <c r="I294" s="1" t="s">
        <v>134</v>
      </c>
      <c r="J294" s="3" t="s">
        <v>1297</v>
      </c>
    </row>
    <row r="295" spans="1:10" x14ac:dyDescent="0.35">
      <c r="E295" s="15"/>
      <c r="I295" t="s">
        <v>141</v>
      </c>
      <c r="J295" t="s">
        <v>1298</v>
      </c>
    </row>
    <row r="296" spans="1:10" x14ac:dyDescent="0.35">
      <c r="I296" t="s">
        <v>142</v>
      </c>
      <c r="J296" t="s">
        <v>2562</v>
      </c>
    </row>
    <row r="297" spans="1:10" x14ac:dyDescent="0.35">
      <c r="I297" t="s">
        <v>98</v>
      </c>
      <c r="J297" t="s">
        <v>2563</v>
      </c>
    </row>
    <row r="298" spans="1:10" x14ac:dyDescent="0.35">
      <c r="I298" t="s">
        <v>100</v>
      </c>
      <c r="J298" t="s">
        <v>2564</v>
      </c>
    </row>
    <row r="299" spans="1:10" x14ac:dyDescent="0.35">
      <c r="I299" t="s">
        <v>104</v>
      </c>
      <c r="J299" t="s">
        <v>2565</v>
      </c>
    </row>
    <row r="300" spans="1:10" x14ac:dyDescent="0.35">
      <c r="I300" s="38" t="s">
        <v>1249</v>
      </c>
      <c r="J300" s="36" t="s">
        <v>2566</v>
      </c>
    </row>
    <row r="301" spans="1:10" x14ac:dyDescent="0.35">
      <c r="A301" s="33" t="s">
        <v>4418</v>
      </c>
      <c r="B301" t="s">
        <v>3</v>
      </c>
      <c r="C301" t="s">
        <v>43</v>
      </c>
      <c r="D301" t="s">
        <v>55</v>
      </c>
      <c r="E301" s="54" t="s">
        <v>65</v>
      </c>
      <c r="F301" s="33" t="s">
        <v>146</v>
      </c>
      <c r="G301" s="33" t="s">
        <v>147</v>
      </c>
      <c r="H301" t="s">
        <v>54</v>
      </c>
      <c r="I301" s="1" t="s">
        <v>134</v>
      </c>
      <c r="J301" s="3" t="s">
        <v>1286</v>
      </c>
    </row>
    <row r="302" spans="1:10" x14ac:dyDescent="0.35">
      <c r="E302" s="15"/>
      <c r="I302" t="s">
        <v>141</v>
      </c>
      <c r="J302" t="s">
        <v>1313</v>
      </c>
    </row>
    <row r="303" spans="1:10" x14ac:dyDescent="0.35">
      <c r="I303" t="s">
        <v>142</v>
      </c>
      <c r="J303" t="s">
        <v>1314</v>
      </c>
    </row>
    <row r="304" spans="1:10" x14ac:dyDescent="0.35">
      <c r="I304" t="s">
        <v>98</v>
      </c>
      <c r="J304" t="s">
        <v>4419</v>
      </c>
    </row>
    <row r="305" spans="1:10" x14ac:dyDescent="0.35">
      <c r="I305" t="s">
        <v>100</v>
      </c>
      <c r="J305" t="s">
        <v>4420</v>
      </c>
    </row>
    <row r="306" spans="1:10" x14ac:dyDescent="0.35">
      <c r="I306" t="s">
        <v>104</v>
      </c>
      <c r="J306" t="s">
        <v>4421</v>
      </c>
    </row>
    <row r="307" spans="1:10" x14ac:dyDescent="0.35">
      <c r="I307" s="38" t="s">
        <v>1249</v>
      </c>
      <c r="J307" s="36" t="s">
        <v>4422</v>
      </c>
    </row>
    <row r="308" spans="1:10" x14ac:dyDescent="0.35">
      <c r="A308" s="33" t="s">
        <v>3812</v>
      </c>
      <c r="B308" t="s">
        <v>3</v>
      </c>
      <c r="C308" t="s">
        <v>43</v>
      </c>
      <c r="D308" t="s">
        <v>429</v>
      </c>
      <c r="E308" s="54" t="s">
        <v>65</v>
      </c>
      <c r="F308" s="33" t="s">
        <v>146</v>
      </c>
      <c r="G308" s="33" t="s">
        <v>147</v>
      </c>
      <c r="H308" t="s">
        <v>54</v>
      </c>
      <c r="I308" s="1" t="s">
        <v>134</v>
      </c>
      <c r="J308" s="3" t="s">
        <v>3383</v>
      </c>
    </row>
    <row r="309" spans="1:10" x14ac:dyDescent="0.35">
      <c r="E309" s="15"/>
      <c r="I309" t="s">
        <v>141</v>
      </c>
      <c r="J309" t="s">
        <v>1299</v>
      </c>
    </row>
    <row r="310" spans="1:10" x14ac:dyDescent="0.35">
      <c r="I310" t="s">
        <v>142</v>
      </c>
      <c r="J310" t="s">
        <v>3384</v>
      </c>
    </row>
    <row r="311" spans="1:10" x14ac:dyDescent="0.35">
      <c r="I311" t="s">
        <v>98</v>
      </c>
      <c r="J311" t="s">
        <v>3385</v>
      </c>
    </row>
    <row r="312" spans="1:10" x14ac:dyDescent="0.35">
      <c r="I312" t="s">
        <v>100</v>
      </c>
      <c r="J312" t="s">
        <v>3386</v>
      </c>
    </row>
    <row r="313" spans="1:10" x14ac:dyDescent="0.35">
      <c r="I313" t="s">
        <v>104</v>
      </c>
      <c r="J313" t="s">
        <v>3387</v>
      </c>
    </row>
    <row r="314" spans="1:10" x14ac:dyDescent="0.35">
      <c r="I314" s="38" t="s">
        <v>1249</v>
      </c>
      <c r="J314" t="s">
        <v>3813</v>
      </c>
    </row>
    <row r="315" spans="1:10" x14ac:dyDescent="0.35">
      <c r="J315" s="36" t="s">
        <v>3814</v>
      </c>
    </row>
    <row r="316" spans="1:10" x14ac:dyDescent="0.35">
      <c r="A316" s="33" t="s">
        <v>3815</v>
      </c>
      <c r="B316" t="s">
        <v>3</v>
      </c>
      <c r="C316" t="s">
        <v>43</v>
      </c>
      <c r="D316" t="s">
        <v>951</v>
      </c>
      <c r="E316" s="54" t="s">
        <v>65</v>
      </c>
      <c r="F316" s="33" t="s">
        <v>478</v>
      </c>
      <c r="G316" s="33" t="s">
        <v>1600</v>
      </c>
      <c r="H316" t="s">
        <v>413</v>
      </c>
      <c r="I316" s="1" t="s">
        <v>146</v>
      </c>
      <c r="J316" s="3" t="s">
        <v>1286</v>
      </c>
    </row>
    <row r="317" spans="1:10" x14ac:dyDescent="0.35">
      <c r="E317" s="15"/>
      <c r="I317" t="s">
        <v>134</v>
      </c>
      <c r="J317" t="s">
        <v>478</v>
      </c>
    </row>
    <row r="318" spans="1:10" x14ac:dyDescent="0.35">
      <c r="I318" t="s">
        <v>141</v>
      </c>
      <c r="J318" t="s">
        <v>1601</v>
      </c>
    </row>
    <row r="319" spans="1:10" x14ac:dyDescent="0.35">
      <c r="I319" t="s">
        <v>142</v>
      </c>
      <c r="J319" t="s">
        <v>1602</v>
      </c>
    </row>
    <row r="320" spans="1:10" x14ac:dyDescent="0.35">
      <c r="I320" t="s">
        <v>98</v>
      </c>
      <c r="J320" t="s">
        <v>3816</v>
      </c>
    </row>
    <row r="321" spans="1:10" x14ac:dyDescent="0.35">
      <c r="I321" t="s">
        <v>100</v>
      </c>
      <c r="J321" t="s">
        <v>3817</v>
      </c>
    </row>
    <row r="322" spans="1:10" x14ac:dyDescent="0.35">
      <c r="I322" t="s">
        <v>104</v>
      </c>
      <c r="J322" s="36" t="s">
        <v>3818</v>
      </c>
    </row>
    <row r="323" spans="1:10" x14ac:dyDescent="0.35">
      <c r="I323" s="38" t="s">
        <v>1249</v>
      </c>
    </row>
    <row r="324" spans="1:10" x14ac:dyDescent="0.35">
      <c r="A324" s="33" t="s">
        <v>3819</v>
      </c>
      <c r="B324" t="s">
        <v>3</v>
      </c>
      <c r="C324" t="s">
        <v>43</v>
      </c>
      <c r="D324" t="s">
        <v>55</v>
      </c>
      <c r="E324" s="54" t="s">
        <v>65</v>
      </c>
      <c r="F324" s="33" t="s">
        <v>146</v>
      </c>
      <c r="G324" s="33" t="s">
        <v>147</v>
      </c>
      <c r="H324" t="s">
        <v>54</v>
      </c>
      <c r="I324" s="1" t="s">
        <v>134</v>
      </c>
      <c r="J324" s="3" t="s">
        <v>1297</v>
      </c>
    </row>
    <row r="325" spans="1:10" x14ac:dyDescent="0.35">
      <c r="E325" s="15"/>
      <c r="I325" t="s">
        <v>141</v>
      </c>
      <c r="J325" t="s">
        <v>1381</v>
      </c>
    </row>
    <row r="326" spans="1:10" x14ac:dyDescent="0.35">
      <c r="I326" t="s">
        <v>142</v>
      </c>
      <c r="J326" t="s">
        <v>3775</v>
      </c>
    </row>
    <row r="327" spans="1:10" x14ac:dyDescent="0.35">
      <c r="I327" t="s">
        <v>98</v>
      </c>
      <c r="J327" t="s">
        <v>3776</v>
      </c>
    </row>
    <row r="328" spans="1:10" x14ac:dyDescent="0.35">
      <c r="I328" t="s">
        <v>100</v>
      </c>
      <c r="J328" t="s">
        <v>3777</v>
      </c>
    </row>
    <row r="329" spans="1:10" x14ac:dyDescent="0.35">
      <c r="I329" t="s">
        <v>104</v>
      </c>
      <c r="J329" t="s">
        <v>3778</v>
      </c>
    </row>
    <row r="330" spans="1:10" x14ac:dyDescent="0.35">
      <c r="I330" s="38" t="s">
        <v>1249</v>
      </c>
      <c r="J330" s="36" t="s">
        <v>3819</v>
      </c>
    </row>
    <row r="331" spans="1:10" x14ac:dyDescent="0.35">
      <c r="A331" s="33" t="s">
        <v>3820</v>
      </c>
      <c r="B331" t="s">
        <v>3</v>
      </c>
      <c r="C331" t="s">
        <v>43</v>
      </c>
      <c r="D331" t="s">
        <v>55</v>
      </c>
      <c r="E331" s="54" t="s">
        <v>65</v>
      </c>
      <c r="F331" s="33" t="s">
        <v>146</v>
      </c>
      <c r="G331" s="33" t="s">
        <v>147</v>
      </c>
      <c r="H331" t="s">
        <v>54</v>
      </c>
      <c r="I331" s="1" t="s">
        <v>134</v>
      </c>
      <c r="J331" s="3" t="s">
        <v>1297</v>
      </c>
    </row>
    <row r="332" spans="1:10" x14ac:dyDescent="0.35">
      <c r="E332" s="15"/>
      <c r="I332" t="s">
        <v>141</v>
      </c>
      <c r="J332" t="s">
        <v>1381</v>
      </c>
    </row>
    <row r="333" spans="1:10" x14ac:dyDescent="0.35">
      <c r="I333" t="s">
        <v>142</v>
      </c>
      <c r="J333" t="s">
        <v>3775</v>
      </c>
    </row>
    <row r="334" spans="1:10" x14ac:dyDescent="0.35">
      <c r="I334" t="s">
        <v>98</v>
      </c>
      <c r="J334" t="s">
        <v>3776</v>
      </c>
    </row>
    <row r="335" spans="1:10" x14ac:dyDescent="0.35">
      <c r="I335" t="s">
        <v>100</v>
      </c>
      <c r="J335" t="s">
        <v>3777</v>
      </c>
    </row>
    <row r="336" spans="1:10" x14ac:dyDescent="0.35">
      <c r="I336" t="s">
        <v>104</v>
      </c>
      <c r="J336" t="s">
        <v>3778</v>
      </c>
    </row>
    <row r="337" spans="9:10" x14ac:dyDescent="0.35">
      <c r="I337" s="38" t="s">
        <v>1249</v>
      </c>
      <c r="J337" s="36" t="s">
        <v>3821</v>
      </c>
    </row>
  </sheetData>
  <autoFilter ref="A1:A337" xr:uid="{00000000-0001-0000-1B00-000000000000}"/>
  <hyperlinks>
    <hyperlink ref="A1" location="Summary!A1" tooltip="Return to Totals" display="Back to Totals" xr:uid="{D5249595-3B94-414B-98C7-1E13F824EAA9}"/>
    <hyperlink ref="I9" r:id="rId1" xr:uid="{B9D7AEC2-074E-4FA6-8274-F7EBCBD3E503}"/>
    <hyperlink ref="I16" r:id="rId2" xr:uid="{6F27BDD0-5881-42E1-8E17-74D8673628EC}"/>
    <hyperlink ref="I24" r:id="rId3" xr:uid="{E792773C-76AE-4823-88E1-C2B978CE34B0}"/>
    <hyperlink ref="I31" r:id="rId4" xr:uid="{AB964B4B-0F8A-4018-B549-62F42E78238C}"/>
    <hyperlink ref="I38" r:id="rId5" xr:uid="{ADD51396-5662-49DF-947F-3AE44EE2ED7B}"/>
    <hyperlink ref="I47" r:id="rId6" xr:uid="{237E681A-34E3-4590-A3A5-D23E818008E9}"/>
    <hyperlink ref="I112" r:id="rId7" xr:uid="{A2F99398-7F6D-4A09-933C-9A3FCDB687D3}"/>
    <hyperlink ref="I174" r:id="rId8" xr:uid="{7CE71148-CB4B-486B-A00F-CA4FDEF3C556}"/>
    <hyperlink ref="I75" r:id="rId9" xr:uid="{C82DE181-1AA2-4501-901A-94EB4A3F5096}"/>
    <hyperlink ref="I135" r:id="rId10" xr:uid="{67ABD866-73BB-4BC8-A5E2-D16C72031514}"/>
    <hyperlink ref="I182" r:id="rId11" xr:uid="{3EFBCF34-766E-472B-973F-75AC9EA655E4}"/>
    <hyperlink ref="I190" r:id="rId12" xr:uid="{9DA82118-69BA-4F23-9A72-B028D9FC1FAE}"/>
    <hyperlink ref="I204" r:id="rId13" xr:uid="{60AF32E5-13FC-4798-9219-B31D14B92AEB}"/>
    <hyperlink ref="I211" r:id="rId14" xr:uid="{A767C1A9-AC6B-4C22-BEE2-6FE5DC541510}"/>
    <hyperlink ref="I218" r:id="rId15" xr:uid="{CDDEBA19-F69C-4E11-8594-2D9BECC4728B}"/>
    <hyperlink ref="I225" r:id="rId16" xr:uid="{E8DA0DDF-C662-4117-8A2A-4D62A6275F59}"/>
    <hyperlink ref="I233" r:id="rId17" xr:uid="{2AACA673-4C11-4BA0-BA00-0B479A265219}"/>
    <hyperlink ref="I254" r:id="rId18" xr:uid="{625D61B8-5429-4E83-94F1-C84D290A4574}"/>
    <hyperlink ref="I268" r:id="rId19" xr:uid="{8DD15722-4E84-4336-BFA5-68CC9FEDA114}"/>
    <hyperlink ref="I276" r:id="rId20" xr:uid="{E322F16B-C58D-4361-AAFF-EB7C870DB0F4}"/>
    <hyperlink ref="I284" r:id="rId21" xr:uid="{DD92470B-531F-4AEB-8C20-A7D0F92A5448}"/>
    <hyperlink ref="I300" r:id="rId22" xr:uid="{519FD0D7-B7FF-4A92-83D1-A042E352B545}"/>
    <hyperlink ref="F3" r:id="rId23" xr:uid="{B2188183-AB45-476D-AECD-267504C89680}"/>
    <hyperlink ref="F10" r:id="rId24" xr:uid="{44201B1C-12ED-47AC-B816-509CB0CF4A5D}"/>
    <hyperlink ref="F18" r:id="rId25" xr:uid="{44703B8D-A2C5-4367-B8A7-E63AE8AF6ACB}"/>
    <hyperlink ref="F25" r:id="rId26" xr:uid="{AF24630D-CFE5-42A7-A3A0-D3D27866558B}"/>
    <hyperlink ref="F32" r:id="rId27" xr:uid="{C5BEA5BD-C20D-4405-913A-66B163B748BF}"/>
    <hyperlink ref="F41" r:id="rId28" xr:uid="{C0473B09-4027-4AE4-8A00-9C95BAA79B64}"/>
    <hyperlink ref="F69" r:id="rId29" xr:uid="{83893380-4ADE-466D-AD50-767CEFD813FF}"/>
    <hyperlink ref="F92" r:id="rId30" xr:uid="{80C86D45-B0A3-4B56-A7D4-BD540987EB6A}"/>
    <hyperlink ref="F106" r:id="rId31" xr:uid="{6FB1F07E-90FE-4537-9FBB-90D8A18B85D7}"/>
    <hyperlink ref="F129" r:id="rId32" xr:uid="{ACB9C3B7-72BE-4751-BEDA-8469E7A94F6F}"/>
    <hyperlink ref="F168" r:id="rId33" xr:uid="{E6370EA0-2447-4F7C-A3B4-461D4E819356}"/>
    <hyperlink ref="F184" r:id="rId34" xr:uid="{2AD12E12-145C-4659-9DA2-71F430443B1B}"/>
    <hyperlink ref="F198" r:id="rId35" xr:uid="{EC27B65E-C7F3-4733-ABAA-4AB6548A2E67}"/>
    <hyperlink ref="F205" r:id="rId36" xr:uid="{A1BDAB69-B998-4537-A78E-865B25D78285}"/>
    <hyperlink ref="F212" r:id="rId37" xr:uid="{E380A1D8-CF85-476D-AD6E-F8B3ACC0DCB7}"/>
    <hyperlink ref="F219" r:id="rId38" xr:uid="{2B605F19-3317-4CB3-B30E-D2C99079BFE1}"/>
    <hyperlink ref="F227" r:id="rId39" xr:uid="{4D342C22-2944-45A0-9B15-EEB201F1AC5A}"/>
    <hyperlink ref="F248" r:id="rId40" xr:uid="{30DA5F77-0DF7-4E51-81B2-3C0C76979B81}"/>
    <hyperlink ref="F262" r:id="rId41" xr:uid="{12D86D01-C2CA-4459-8C74-6F189151DEA0}"/>
    <hyperlink ref="F270" r:id="rId42" xr:uid="{2B71061D-32B6-4E6C-98A4-A92C4C4F24DF}"/>
    <hyperlink ref="F278" r:id="rId43" xr:uid="{6AD92D53-5528-4C41-87E6-261EDCFFBF61}"/>
    <hyperlink ref="F294" r:id="rId44" xr:uid="{9CD1DB15-10D7-4194-912C-73538B79DDEA}"/>
    <hyperlink ref="G294" r:id="rId45" xr:uid="{FD8DF56A-6FF3-4FCA-82F4-135280AA577D}"/>
    <hyperlink ref="G278" r:id="rId46" xr:uid="{4FAF8AE4-9CAA-4CD8-855C-FC8F2C4C2EAF}"/>
    <hyperlink ref="G270" r:id="rId47" xr:uid="{FDC1DA0D-EDFE-45B5-B710-7A619096B770}"/>
    <hyperlink ref="G262" r:id="rId48" xr:uid="{3DFD2E48-C4BE-4EAA-8EF6-941727ABA027}"/>
    <hyperlink ref="G248" r:id="rId49" xr:uid="{832C8EAC-96D9-4D67-98B9-008CFAF140C0}"/>
    <hyperlink ref="G227" r:id="rId50" xr:uid="{C46A0D14-A459-4586-87B4-23D325692B55}"/>
    <hyperlink ref="G219" r:id="rId51" xr:uid="{B550DF5F-39EB-4831-A7B9-9DC5C74F9846}"/>
    <hyperlink ref="G212" r:id="rId52" xr:uid="{AE4C7831-03EE-4EF7-9104-DBCF40348ABE}"/>
    <hyperlink ref="G205" r:id="rId53" xr:uid="{393CDD2B-67F6-4102-8D4A-F2B41CE36BE3}"/>
    <hyperlink ref="G198" r:id="rId54" xr:uid="{17B9EE7D-F62A-48A0-B42B-4B47550333CC}"/>
    <hyperlink ref="G184" r:id="rId55" xr:uid="{F25D1E6D-E432-4A43-A40B-C8BC190816C1}"/>
    <hyperlink ref="G168" r:id="rId56" xr:uid="{E5AC7681-DB96-42E9-B12D-0A126AA963F9}"/>
    <hyperlink ref="G129" r:id="rId57" xr:uid="{750AAF45-0B76-4B46-BBEC-5907A7B2FA47}"/>
    <hyperlink ref="G106" r:id="rId58" xr:uid="{1B338866-E8FD-405D-8837-5F36CC1DD974}"/>
    <hyperlink ref="G92" r:id="rId59" xr:uid="{34A7E943-B315-4219-9FAA-7349973621C6}"/>
    <hyperlink ref="G69" r:id="rId60" xr:uid="{FBC6A2E9-44A1-4A2B-B14E-500B2931BD9A}"/>
    <hyperlink ref="G41" r:id="rId61" xr:uid="{D5B96490-1136-4D94-AA7E-8F168FE9E771}"/>
    <hyperlink ref="G32" r:id="rId62" xr:uid="{4FDAF163-4E59-4604-9973-CFBCB4F7FC8B}"/>
    <hyperlink ref="G25" r:id="rId63" xr:uid="{0A4D3124-3DC1-463C-A73B-1E1A56CFDFEE}"/>
    <hyperlink ref="G18" r:id="rId64" xr:uid="{0E273FDA-1262-4FE0-A821-3812CF433C3F}"/>
    <hyperlink ref="G10" r:id="rId65" xr:uid="{DCE0361E-6DAB-407E-B803-2AA3368BA273}"/>
    <hyperlink ref="G3" r:id="rId66" xr:uid="{808ACDF5-485E-4790-A87A-2644B32CD98B}"/>
    <hyperlink ref="F175" r:id="rId67" xr:uid="{86C8CBD1-666D-4AB6-9517-B6340BC498AF}"/>
    <hyperlink ref="G175" r:id="rId68" xr:uid="{6D8D5D05-2B00-4935-812F-5AC6FDBA558C}"/>
    <hyperlink ref="J9" r:id="rId69" xr:uid="{1D8B8626-A6DF-4B91-9708-93F6F88B801C}"/>
    <hyperlink ref="A3" r:id="rId70" xr:uid="{EF7CC3CA-87A4-4C3C-8690-7708910C47FE}"/>
    <hyperlink ref="J17" r:id="rId71" xr:uid="{D802BFBF-4F9C-41DE-BB53-E2CC90125291}"/>
    <hyperlink ref="A10" r:id="rId72" xr:uid="{37901730-2320-4C31-AC05-D27C1B5C0C0B}"/>
    <hyperlink ref="J24" r:id="rId73" xr:uid="{95257B30-78D2-4012-A335-57EDB7E43F2C}"/>
    <hyperlink ref="J31" r:id="rId74" xr:uid="{1A144194-C64D-45D5-A596-C29FCFF6CC22}"/>
    <hyperlink ref="J40" r:id="rId75" xr:uid="{63C85347-B41A-4578-B387-B86C58288D7C}"/>
    <hyperlink ref="A32" r:id="rId76" xr:uid="{21BD580D-2628-4275-B8A8-94BB5618826E}"/>
    <hyperlink ref="J47" r:id="rId77" xr:uid="{C5BF9182-9C40-47B9-8B09-D6BCF546E26B}"/>
    <hyperlink ref="J75" r:id="rId78" xr:uid="{EA23677B-A0AE-41ED-B637-E695AA351476}"/>
    <hyperlink ref="J98" r:id="rId79" xr:uid="{E33990F8-A022-4CFE-9064-9E600649400B}"/>
    <hyperlink ref="J111" r:id="rId80" xr:uid="{A4D55F2D-F9CF-49A3-B530-E8EF9C326881}"/>
    <hyperlink ref="J135" r:id="rId81" xr:uid="{6988B5E7-EC0B-4502-B347-86F558431C5F}"/>
    <hyperlink ref="J174" r:id="rId82" xr:uid="{0A610922-A5B6-40E6-8A4E-1A05EDF17324}"/>
    <hyperlink ref="J183" r:id="rId83" xr:uid="{C6A75016-C5C4-4CD3-B6DA-7ADB1F83718B}"/>
    <hyperlink ref="J203" r:id="rId84" xr:uid="{151FB714-CC87-4369-A041-B2C22A96F616}"/>
    <hyperlink ref="J210" r:id="rId85" xr:uid="{695590D6-82A5-48E9-B7D7-C49889025623}"/>
    <hyperlink ref="J218" r:id="rId86" xr:uid="{80FEF32B-D998-49B2-99AE-1E62633AC5CE}"/>
    <hyperlink ref="J226" r:id="rId87" xr:uid="{A4D5728A-DF60-417C-9F6C-E445C7218B3C}"/>
    <hyperlink ref="J233" r:id="rId88" xr:uid="{17B142AE-EDF1-4B2E-9DEC-05E02554A74C}"/>
    <hyperlink ref="J254" r:id="rId89" xr:uid="{635A6617-49FD-4FDB-A9F9-7DA4644625FE}"/>
    <hyperlink ref="A248" r:id="rId90" xr:uid="{021B4032-25B0-46F4-ACD2-35BFF19F234C}"/>
    <hyperlink ref="J269" r:id="rId91" xr:uid="{7A3887DD-A2E3-49F0-A60F-D614E091865A}"/>
    <hyperlink ref="J277" r:id="rId92" xr:uid="{03D8B9B6-A18D-4A71-A2AE-32737A18FC09}"/>
    <hyperlink ref="J285" r:id="rId93" xr:uid="{C9EB3D85-5E70-42CF-9C81-F50DA9F4AE18}"/>
    <hyperlink ref="J300" r:id="rId94" xr:uid="{6CF2BDAF-9170-4174-A83B-C76A35A8CE68}"/>
    <hyperlink ref="A294" r:id="rId95" xr:uid="{C7FC80D8-A418-4774-9030-9D0CCBE79181}"/>
    <hyperlink ref="A278" r:id="rId96" xr:uid="{C2B571ED-CBC9-48E8-8393-3DB5429063DC}"/>
    <hyperlink ref="A270" r:id="rId97" xr:uid="{FD6AC7E2-345B-42F8-9192-F5E9F730E545}"/>
    <hyperlink ref="A262" r:id="rId98" xr:uid="{B1C6F783-6325-4B53-B3C3-C3510298788D}"/>
    <hyperlink ref="A271" r:id="rId99" xr:uid="{B24FC418-0642-4B44-B5DB-778CE2AE7481}"/>
    <hyperlink ref="A227" r:id="rId100" xr:uid="{D82CF28B-A675-4B76-A234-90C70CEDBBA3}"/>
    <hyperlink ref="A219" r:id="rId101" xr:uid="{10251DF7-6E2B-441A-9822-970461C39833}"/>
    <hyperlink ref="A212" r:id="rId102" xr:uid="{024C00E9-CF19-4ABB-83E1-2DEC09A2B8DA}"/>
    <hyperlink ref="A184" r:id="rId103" xr:uid="{441FF908-E539-4A76-B1CB-F3AE4A2A9CC1}"/>
    <hyperlink ref="A175" r:id="rId104" xr:uid="{1B3FCBBB-4425-4079-82F6-42B9E01CE9AB}"/>
    <hyperlink ref="A168" r:id="rId105" xr:uid="{42D31602-0791-4FCD-AC45-331A88CBD5E0}"/>
    <hyperlink ref="A129" r:id="rId106" xr:uid="{C424F070-28EC-4A07-B8DA-D29B2C1C13D9}"/>
    <hyperlink ref="A69" r:id="rId107" xr:uid="{41FE3121-4D15-4B82-85C5-AB3E143F3AA8}"/>
    <hyperlink ref="A92" r:id="rId108" xr:uid="{A7870BC2-5EE4-45BF-8DE7-ADACEE857FB3}"/>
    <hyperlink ref="A106" r:id="rId109" xr:uid="{E27120C6-20E2-47E7-B6BA-289956F2CE26}"/>
    <hyperlink ref="A198" r:id="rId110" xr:uid="{98005AD7-6023-49BC-83BB-22F046487FEE}"/>
    <hyperlink ref="A205" r:id="rId111" xr:uid="{F4461324-19CD-4D89-95B3-60BCC525EF06}"/>
    <hyperlink ref="E294" r:id="rId112" xr:uid="{5AAE5B2F-004B-4FE3-AC48-962EDD49F04E}"/>
    <hyperlink ref="E278" r:id="rId113" xr:uid="{22161B79-7756-4314-B9DB-3D9D32298DEE}"/>
    <hyperlink ref="E270" r:id="rId114" xr:uid="{F80BFB30-C38A-4DE3-8D69-D42C73B12F57}"/>
    <hyperlink ref="E262" r:id="rId115" xr:uid="{C4E5DB77-D543-46DE-AAE2-E05A2AFD43BB}"/>
    <hyperlink ref="E248" r:id="rId116" xr:uid="{59F4A66D-BD99-4906-9B8B-BD9E03E9A394}"/>
    <hyperlink ref="E227" r:id="rId117" xr:uid="{9B1E37A5-EB35-4751-8462-8B00C1BDC1E6}"/>
    <hyperlink ref="E219" r:id="rId118" xr:uid="{F214A64C-4313-4B93-8D8E-A6E1EEAD5F38}"/>
    <hyperlink ref="E212" r:id="rId119" xr:uid="{ED7F3B9E-F5A8-4DA1-9750-06D54BC25E06}"/>
    <hyperlink ref="E205" r:id="rId120" xr:uid="{4B032590-06E2-42E5-99C2-85B89341FFE3}"/>
    <hyperlink ref="E198" r:id="rId121" xr:uid="{7D6A50D9-0436-4562-BDE0-17021B726159}"/>
    <hyperlink ref="E184" r:id="rId122" xr:uid="{846517C3-91C0-46CF-A9A6-6B686B47376C}"/>
    <hyperlink ref="E176" r:id="rId123" xr:uid="{1E8CCA9F-DE21-4520-85AD-03326A405680}"/>
    <hyperlink ref="E169" r:id="rId124" xr:uid="{F995C7C5-7557-4498-B532-A7A12353AA5D}"/>
    <hyperlink ref="E175" r:id="rId125" xr:uid="{04483500-BD50-4803-BC13-A3B344C456FD}"/>
    <hyperlink ref="E168" r:id="rId126" xr:uid="{92A8CEB9-DB67-451D-B5B6-644E79618AB5}"/>
    <hyperlink ref="E129" r:id="rId127" xr:uid="{6D82E449-3170-4C5D-8C79-ED57478468A0}"/>
    <hyperlink ref="E107" r:id="rId128" xr:uid="{48C786B1-7772-40CC-8A61-D5E26C83F5F5}"/>
    <hyperlink ref="E70" r:id="rId129" xr:uid="{37CE4F6E-E7A4-4EC3-9656-A6CFA6823FD7}"/>
    <hyperlink ref="E106" r:id="rId130" xr:uid="{C987C1F8-B43F-4118-B966-5E245A93FB25}"/>
    <hyperlink ref="E92" r:id="rId131" xr:uid="{FA800D63-B043-4976-8E0C-82C01843E699}"/>
    <hyperlink ref="E69" r:id="rId132" xr:uid="{3FFB356F-9C9C-4473-A92C-179FE19A8B09}"/>
    <hyperlink ref="E42" r:id="rId133" xr:uid="{5BD340AC-0C69-4AF0-BAB2-81954342CA53}"/>
    <hyperlink ref="E33" r:id="rId134" xr:uid="{B62B34B9-C31A-47E1-9AE7-1B4F00C109B9}"/>
    <hyperlink ref="E41" r:id="rId135" xr:uid="{93536736-6AEA-41A4-90F3-D1B3A8C1BBDB}"/>
    <hyperlink ref="E11" r:id="rId136" xr:uid="{43104786-0598-4B81-BAE1-8A30CACEDBAE}"/>
    <hyperlink ref="E19" r:id="rId137" xr:uid="{8F818340-CE98-45F1-9AA0-C60FF7A32613}"/>
    <hyperlink ref="E26" r:id="rId138" xr:uid="{442AD639-90C1-4EC5-8F2F-097C12F59F02}"/>
    <hyperlink ref="E32" r:id="rId139" xr:uid="{BE7B4E45-751E-47BC-83D5-561D296A3466}"/>
    <hyperlink ref="E25" r:id="rId140" xr:uid="{F9891012-D232-4027-8488-F142675BA876}"/>
    <hyperlink ref="E18" r:id="rId141" xr:uid="{E03FC453-72DF-4B6E-B311-739E75C16F8C}"/>
    <hyperlink ref="E10" r:id="rId142" xr:uid="{2AE0FD11-2C69-459E-9648-54C5DF92F9A7}"/>
    <hyperlink ref="E3" r:id="rId143" xr:uid="{82509880-B94D-41A6-8E39-6A81ADD32CCF}"/>
    <hyperlink ref="E4" r:id="rId144" xr:uid="{681F8015-7F4A-4174-A6DC-F08CB0404FB1}"/>
    <hyperlink ref="I68" r:id="rId145" xr:uid="{A94576A6-A112-48DD-B318-81E607965C75}"/>
    <hyperlink ref="F62" r:id="rId146" xr:uid="{F9057454-1E3D-4520-A78B-B8680D9EFCCB}"/>
    <hyperlink ref="G62" r:id="rId147" xr:uid="{600CB35E-827E-4567-81C1-8EC73E70AA4A}"/>
    <hyperlink ref="A62" r:id="rId148" xr:uid="{94668D1D-41E7-4A12-8D31-EAE99A96E8EE}"/>
    <hyperlink ref="E62" r:id="rId149" xr:uid="{48A3F2E5-4D13-4277-B67A-A5CE45B48E75}"/>
    <hyperlink ref="J67" r:id="rId150" xr:uid="{7268987E-4DAB-496E-AB99-277330B70063}"/>
    <hyperlink ref="E63" r:id="rId151" xr:uid="{ADB4A7C5-AC44-4562-8BF3-02D67891701F}"/>
    <hyperlink ref="I247" r:id="rId152" xr:uid="{D75B268C-D3C6-4F27-A525-591D19A771D4}"/>
    <hyperlink ref="F241" r:id="rId153" xr:uid="{D37E3CDD-A599-42FA-8A80-EA70ECCDBEF1}"/>
    <hyperlink ref="G241" r:id="rId154" xr:uid="{3FBB2E90-EB04-48A5-972C-0F90D5933A3D}"/>
    <hyperlink ref="J247" r:id="rId155" xr:uid="{507EA46D-E5B1-44F5-BEAF-FA9D3E71A25A}"/>
    <hyperlink ref="A241" r:id="rId156" xr:uid="{27EE58B4-206B-4862-8504-BBDF2F778306}"/>
    <hyperlink ref="E241" r:id="rId157" xr:uid="{9EFF0778-21D3-45E2-834C-B4061701AB9A}"/>
    <hyperlink ref="I105" r:id="rId158" xr:uid="{195B7842-5483-4D82-93AD-15AF81A8952D}"/>
    <hyperlink ref="F99" r:id="rId159" xr:uid="{BA52B49F-3596-480C-ACE3-D75E10534719}"/>
    <hyperlink ref="G99" r:id="rId160" xr:uid="{32BCD9A3-968A-4A83-B55A-072B5DFBF5D5}"/>
    <hyperlink ref="J105" r:id="rId161" xr:uid="{1CC92269-3527-4197-9260-E04A747D2A05}"/>
    <hyperlink ref="A99" r:id="rId162" xr:uid="{7ED20974-764B-49A3-B9F4-91957E49C598}"/>
    <hyperlink ref="E100" r:id="rId163" xr:uid="{FD6AFA9D-30CD-4787-BC99-5D3FCEE891E6}"/>
    <hyperlink ref="E99" r:id="rId164" xr:uid="{7C4BEA22-0CCF-4D9F-8907-D957D45348EC}"/>
    <hyperlink ref="I98" r:id="rId165" xr:uid="{16B733CC-C318-4971-BF9A-750692ABBD77}"/>
    <hyperlink ref="I292" r:id="rId166" xr:uid="{74B84BA0-99D7-458D-BC82-4C2C2D26DA7C}"/>
    <hyperlink ref="F286" r:id="rId167" xr:uid="{7D93AA4D-8491-4DCD-8CBB-71366E250283}"/>
    <hyperlink ref="G286" r:id="rId168" xr:uid="{88DE6171-DBB0-4FD5-AC83-A5DADE07E63E}"/>
    <hyperlink ref="J293" r:id="rId169" xr:uid="{DFDB887F-DC1F-4019-8062-762225068C73}"/>
    <hyperlink ref="A286" r:id="rId170" xr:uid="{1AD396D6-0948-4326-9913-3580BDD52622}"/>
    <hyperlink ref="E286" r:id="rId171" xr:uid="{D57FC7C6-A994-4580-9254-1CB63E84FA61}"/>
    <hyperlink ref="I149" r:id="rId172" xr:uid="{200FB5D6-7677-4560-A865-890ACEBF512B}"/>
    <hyperlink ref="F143" r:id="rId173" xr:uid="{0680D546-A7BD-4988-A0B1-3D5603F1727A}"/>
    <hyperlink ref="G143" r:id="rId174" xr:uid="{E7B4E054-1698-4424-B291-37345E36DD59}"/>
    <hyperlink ref="A143" r:id="rId175" xr:uid="{775C04FD-EACD-4C02-ADE5-E9C7130BC445}"/>
    <hyperlink ref="E143" r:id="rId176" xr:uid="{B167CB6B-D857-4117-A187-2CD834A33B37}"/>
    <hyperlink ref="J148" r:id="rId177" xr:uid="{639A91FB-CF06-4C99-A831-3A183E724ACF}"/>
    <hyperlink ref="I156" r:id="rId178" xr:uid="{8B82AD06-C1A2-4D30-9A92-F3CCC075F269}"/>
    <hyperlink ref="F150" r:id="rId179" xr:uid="{441C5F1C-86F9-44EE-B67A-1E46A2F7425F}"/>
    <hyperlink ref="G150" r:id="rId180" xr:uid="{3CC42869-61C4-4F6D-A700-29640FBE76E2}"/>
    <hyperlink ref="J158" r:id="rId181" xr:uid="{55F15C36-065F-4B36-A5AE-62C292C5A04F}"/>
    <hyperlink ref="A150" r:id="rId182" xr:uid="{B8C800C3-163E-4E40-9EF8-1B27FEC05D73}"/>
    <hyperlink ref="E150" r:id="rId183" xr:uid="{CCD07142-D1B7-4BF8-9D70-ACF5C1D47BA3}"/>
    <hyperlink ref="I119" r:id="rId184" xr:uid="{A959BC9B-5AAC-4439-875F-EC4A88331E16}"/>
    <hyperlink ref="F113" r:id="rId185" xr:uid="{3BC01FE1-B350-44AE-81B3-426AC4E2C1BA}"/>
    <hyperlink ref="G113" r:id="rId186" xr:uid="{A17135AD-FC52-478F-9860-DD081B44CECD}"/>
    <hyperlink ref="A113" r:id="rId187" xr:uid="{4BFEBB46-C2B5-484C-BA0A-B6F266F0BA1D}"/>
    <hyperlink ref="E113" r:id="rId188" xr:uid="{F68A3AE8-4CE1-4049-823F-69A947193F61}"/>
    <hyperlink ref="J119" r:id="rId189" xr:uid="{BCF2B814-554A-4A14-AF07-0ECD5B3EB5A0}"/>
    <hyperlink ref="E114" r:id="rId190" xr:uid="{55470CD9-8063-4CA2-809A-D3F38AC0C8D5}"/>
    <hyperlink ref="I261" r:id="rId191" xr:uid="{049E4AC4-D8FA-461B-A73D-20D14959A0EA}"/>
    <hyperlink ref="F255" r:id="rId192" xr:uid="{57ED0AF9-EFE5-4553-A8C6-D364FF95198C}"/>
    <hyperlink ref="G255" r:id="rId193" xr:uid="{8C6485C8-1821-4DCB-823C-FC63E4F89F00}"/>
    <hyperlink ref="A255" r:id="rId194" display="Doddy Clarke" xr:uid="{5566DD95-D131-46C5-B8A7-9DE04D2B7253}"/>
    <hyperlink ref="E255" r:id="rId195" xr:uid="{20BC2FEF-10F8-4992-B992-DA96E43053CC}"/>
    <hyperlink ref="J260" r:id="rId196" xr:uid="{4DF246E3-81ED-4BFA-9B61-66C0329FF3E0}"/>
    <hyperlink ref="I54" r:id="rId197" xr:uid="{5DA75ADB-C3FE-4942-919F-CAA8A2693927}"/>
    <hyperlink ref="F48" r:id="rId198" xr:uid="{1B461DF2-5E99-41CF-81C0-25B1D6691B48}"/>
    <hyperlink ref="G48" r:id="rId199" xr:uid="{39FD0CCC-2BE7-441C-8126-44BC161EBD7C}"/>
    <hyperlink ref="E48" r:id="rId200" xr:uid="{D1C76E02-934C-43B5-AFB2-7CB7AF3C1B78}"/>
    <hyperlink ref="J53" r:id="rId201" xr:uid="{88A0819B-E77C-4F21-89C4-D50AD91DB6E2}"/>
    <hyperlink ref="A48" r:id="rId202" xr:uid="{19F94CE4-3240-46BF-BD38-FE019F5DD0C2}"/>
    <hyperlink ref="I314" r:id="rId203" xr:uid="{55028610-8658-44FE-AB42-71B60DC95FDE}"/>
    <hyperlink ref="F308" r:id="rId204" xr:uid="{A4025160-AE63-41D0-9A7E-366676E7D26E}"/>
    <hyperlink ref="G308" r:id="rId205" xr:uid="{3B7F4A3B-D578-4032-8AD4-45B90CBECDFE}"/>
    <hyperlink ref="A308" r:id="rId206" xr:uid="{BA20ADBA-7704-48C5-9AE9-CAA09076972D}"/>
    <hyperlink ref="E308" r:id="rId207" xr:uid="{F1D7A9C4-6DDB-4CD2-AFF5-E38E71AE3B3D}"/>
    <hyperlink ref="J315" r:id="rId208" xr:uid="{B00EE88C-6C76-4D41-8000-77814DAB1F90}"/>
    <hyperlink ref="F316" r:id="rId209" xr:uid="{5FB054FF-8FC2-42E1-BCEE-835FE1618749}"/>
    <hyperlink ref="G316" r:id="rId210" xr:uid="{A83A22AA-79E0-4F92-B75A-AC008F25AABB}"/>
    <hyperlink ref="A316" r:id="rId211" xr:uid="{C7D81FBE-20CD-4A19-89E0-9C2C4EAE506B}"/>
    <hyperlink ref="E316" r:id="rId212" xr:uid="{0E164E73-F3F7-46EA-AA05-B4B32F492C13}"/>
    <hyperlink ref="J322" r:id="rId213" xr:uid="{8E9AA122-3733-4317-B07E-E4429BD2D036}"/>
    <hyperlink ref="I323" r:id="rId214" xr:uid="{0EA6E92B-8B9A-4D9C-AB7E-1FE3C87C3B9E}"/>
    <hyperlink ref="I330" r:id="rId215" xr:uid="{1A464D11-BAC3-4042-9034-20013B6014F7}"/>
    <hyperlink ref="F324" r:id="rId216" xr:uid="{6C89D45F-960C-471F-95B1-118E96A88BC9}"/>
    <hyperlink ref="G324" r:id="rId217" xr:uid="{21FB7175-D8B6-4661-968A-B4351057C7BB}"/>
    <hyperlink ref="J330" r:id="rId218" xr:uid="{6ACB6A93-45DC-4D75-B208-DB6661F1331F}"/>
    <hyperlink ref="A324" r:id="rId219" xr:uid="{DC86378E-04BF-4713-96AA-62D49A04FDA6}"/>
    <hyperlink ref="E324" r:id="rId220" xr:uid="{DFADB352-2BFA-4E91-BAEA-1D1961498AC4}"/>
    <hyperlink ref="I337" r:id="rId221" xr:uid="{D9E11EC8-C80B-4464-8C05-C34A416FFE21}"/>
    <hyperlink ref="F331" r:id="rId222" xr:uid="{23795928-AA72-4703-A028-C9D9223A2A5A}"/>
    <hyperlink ref="G331" r:id="rId223" xr:uid="{EF4150B6-5306-493E-B10C-9782F667AB5E}"/>
    <hyperlink ref="J337" r:id="rId224" xr:uid="{EB9712C1-9455-4240-8182-79836BFCBC53}"/>
    <hyperlink ref="A331" r:id="rId225" display="Justine Longland" xr:uid="{16EF34B7-8266-4194-91D7-AA55B946A5A7}"/>
    <hyperlink ref="E331" r:id="rId226" xr:uid="{E6407422-130A-4A88-A5C9-F0F069FBF0BA}"/>
    <hyperlink ref="I126" r:id="rId227" xr:uid="{87FFBC0D-89A8-4A8F-BA51-2EB42873F0EB}"/>
    <hyperlink ref="F120" r:id="rId228" xr:uid="{2D95BFAE-0C1B-4E71-9593-E501DB59426E}"/>
    <hyperlink ref="G120" r:id="rId229" xr:uid="{6A0876C1-6BE6-41C0-B0DB-B548184A9F11}"/>
    <hyperlink ref="A120" r:id="rId230" display="Leanne Joy" xr:uid="{8C1294E8-6044-400A-AF2C-28029C4A8969}"/>
    <hyperlink ref="E120" r:id="rId231" xr:uid="{3931ED8B-8B30-45EF-BAC7-529D819A1E4E}"/>
    <hyperlink ref="J128" r:id="rId232" xr:uid="{F9FCD72E-E88A-4574-82C2-0DCD7A3893B8}"/>
    <hyperlink ref="I61" r:id="rId233" xr:uid="{20D4DAA8-23FE-447C-8DCB-23D1566CC73F}"/>
    <hyperlink ref="F55" r:id="rId234" xr:uid="{4C2B257C-B3E6-4C4A-8FFD-826C6B49638A}"/>
    <hyperlink ref="G55" r:id="rId235" xr:uid="{B60F7425-739F-4E3F-864F-2761756DFCE9}"/>
    <hyperlink ref="E55" r:id="rId236" xr:uid="{607C2A16-0C93-4847-A883-B94C37CC56A0}"/>
    <hyperlink ref="J60" r:id="rId237" xr:uid="{26099E4E-6D18-4066-B835-5F54B199B93D}"/>
    <hyperlink ref="A55" r:id="rId238" display="dp39j55" xr:uid="{37EC930D-A0F4-494F-8895-178BF4FC0866}"/>
    <hyperlink ref="I142" r:id="rId239" xr:uid="{7D6EF0D0-0A6E-4BE3-92F8-0A434316E608}"/>
    <hyperlink ref="F136" r:id="rId240" xr:uid="{EE3F1936-F81D-4568-92AE-E0DF249029ED}"/>
    <hyperlink ref="G136" r:id="rId241" xr:uid="{E3E697AC-6CC6-44B0-BBDD-049FCDAA08F7}"/>
    <hyperlink ref="J142" r:id="rId242" xr:uid="{A88203DD-B164-4F90-A923-165F96D5974A}"/>
    <hyperlink ref="A136" r:id="rId243" display="penelopewhite_1" xr:uid="{17957843-5F84-4B1E-AE02-517F9BC731FD}"/>
    <hyperlink ref="E136" r:id="rId244" xr:uid="{8253C0FF-C476-4A0C-A448-CCE70C1BA526}"/>
    <hyperlink ref="I91" r:id="rId245" xr:uid="{418D95D2-424F-42DF-8495-AC7B56AD554E}"/>
    <hyperlink ref="F85" r:id="rId246" xr:uid="{3B169DB5-CFEB-4721-8CA6-F007D9CFDDB8}"/>
    <hyperlink ref="G85" r:id="rId247" xr:uid="{B3DCA4A4-CD71-4927-BF46-3C066EC97486}"/>
    <hyperlink ref="A85" r:id="rId248" xr:uid="{810EA9E0-CDDE-47F3-BCEE-2B99E5A62ED5}"/>
    <hyperlink ref="E86" r:id="rId249" xr:uid="{A5FC7B2C-07DD-4EDB-B9A2-A5D71FF68CB6}"/>
    <hyperlink ref="E85" r:id="rId250" xr:uid="{F74F464A-65CC-47AF-94D9-9622707B14A5}"/>
    <hyperlink ref="J90" r:id="rId251" xr:uid="{5041C02F-29BA-48D2-855D-018B236FA919}"/>
    <hyperlink ref="I197" r:id="rId252" xr:uid="{35E25ECC-F3E5-48B8-9ABB-BB45E31B0ECE}"/>
    <hyperlink ref="F191" r:id="rId253" xr:uid="{86CC8D61-A212-4B1E-9B13-03AE28D45BCE}"/>
    <hyperlink ref="G191" r:id="rId254" xr:uid="{78987131-B838-46BE-9D3F-16A7BDD5B185}"/>
    <hyperlink ref="A191" r:id="rId255" xr:uid="{ECC62FF7-D1D4-4879-9672-42C4BAFC0BCE}"/>
    <hyperlink ref="E191" r:id="rId256" xr:uid="{71D42DE2-3508-4B21-BFD1-4F8061A76DDA}"/>
    <hyperlink ref="J197" r:id="rId257" xr:uid="{275B4CC5-E714-4495-8ECD-D50E16A5AB5E}"/>
    <hyperlink ref="J189" r:id="rId258" display="Male Brett" xr:uid="{0A9A3C3F-990D-4912-B082-ACA29EB01C88}"/>
    <hyperlink ref="I240" r:id="rId259" xr:uid="{D2678EEA-78FD-43F7-98DD-F1C3C2BF782D}"/>
    <hyperlink ref="F234" r:id="rId260" xr:uid="{EE91F8EC-3CFB-4519-82D0-53AB13069814}"/>
    <hyperlink ref="G234" r:id="rId261" xr:uid="{9D8A519D-8F4C-47FA-A5DE-65294EAEB5AB}"/>
    <hyperlink ref="J240" r:id="rId262" xr:uid="{CE578045-FCD7-4CFE-A6D9-695B45B3471D}"/>
    <hyperlink ref="A234" r:id="rId263" xr:uid="{4CAD39A6-1DB4-47D4-9842-D39ED6ABC780}"/>
    <hyperlink ref="E234" r:id="rId264" xr:uid="{790EF8D7-04F5-432A-A2FF-8189A62C36FC}"/>
    <hyperlink ref="J167" r:id="rId265" xr:uid="{D8D96929-4480-4916-B352-8C1574C8DE4D}"/>
    <hyperlink ref="A159" r:id="rId266" xr:uid="{2C8BD87F-7BF6-4B9B-8443-A5F5825FFC45}"/>
    <hyperlink ref="E159" r:id="rId267" xr:uid="{E1B5BAE8-E913-4D1C-B60A-2C3E33B00016}"/>
    <hyperlink ref="F159" r:id="rId268" xr:uid="{E1605240-4405-46E7-829A-ECD20F994480}"/>
    <hyperlink ref="G159" r:id="rId269" xr:uid="{422BEC72-9BBB-45C6-B7EB-8DA9AA3D6D96}"/>
    <hyperlink ref="I166" r:id="rId270" xr:uid="{1BA1EC37-0D6F-490B-93FE-A20282A55BDA}"/>
    <hyperlink ref="I307" r:id="rId271" xr:uid="{7B0BD228-B6D9-4189-8043-8016C879AB77}"/>
    <hyperlink ref="F301" r:id="rId272" xr:uid="{4FC21253-FDCE-415D-AADA-6CE501F0EEE8}"/>
    <hyperlink ref="G301" r:id="rId273" xr:uid="{31DB4F2F-70E8-4C76-BAAF-C2E877A789CE}"/>
    <hyperlink ref="J307" r:id="rId274" xr:uid="{2622A809-5BB4-4F7E-9259-8F65D18CF868}"/>
    <hyperlink ref="A301" r:id="rId275" xr:uid="{A53285C5-6E8A-4664-B6E3-6F183BEE5194}"/>
    <hyperlink ref="E301" r:id="rId276" xr:uid="{BBFD31AD-1E4E-4A57-861D-2093E791EA37}"/>
    <hyperlink ref="A76" r:id="rId277" xr:uid="{8708D631-AEB9-47D2-AA76-426A296BEEE2}"/>
    <hyperlink ref="E76" r:id="rId278" xr:uid="{533968B4-1013-49B1-A452-FD616AD13B0D}"/>
    <hyperlink ref="F76" r:id="rId279" xr:uid="{1E4D7A3D-9907-4529-9642-17D0FF7F9E80}"/>
    <hyperlink ref="G76" r:id="rId280" xr:uid="{CD834D3A-2C5D-4773-B268-A7F9C726264C}"/>
    <hyperlink ref="I83" r:id="rId281" xr:uid="{E75CBB9E-834A-47FA-A2C7-C55CF764E2FE}"/>
    <hyperlink ref="J84" r:id="rId282" xr:uid="{618F90BB-0687-47CC-A6DE-8300EFD2962B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9">
    <tabColor theme="5"/>
  </sheetPr>
  <dimension ref="A1:J93"/>
  <sheetViews>
    <sheetView workbookViewId="0"/>
  </sheetViews>
  <sheetFormatPr defaultRowHeight="14.5" x14ac:dyDescent="0.35"/>
  <cols>
    <col min="1" max="1" width="22.7265625" customWidth="1"/>
    <col min="2" max="2" width="13.7265625" customWidth="1"/>
    <col min="3" max="3" width="21.54296875" customWidth="1"/>
    <col min="4" max="4" width="22.7265625" customWidth="1"/>
    <col min="5" max="5" width="11.81640625" customWidth="1"/>
    <col min="6" max="6" width="23.90625" customWidth="1"/>
    <col min="7" max="7" width="25.54296875" customWidth="1"/>
    <col min="8" max="8" width="23.90625" customWidth="1"/>
    <col min="9" max="9" width="24.453125" customWidth="1"/>
    <col min="10" max="10" width="23.36328125" customWidth="1"/>
  </cols>
  <sheetData>
    <row r="1" spans="1:10" x14ac:dyDescent="0.35">
      <c r="A1" s="34" t="s">
        <v>3196</v>
      </c>
      <c r="B1" s="16">
        <f>COUNTIF(I2:I1131,C1)+COUNTIF(I2:I1131,D1)</f>
        <v>11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3197</v>
      </c>
      <c r="B3" t="s">
        <v>3</v>
      </c>
      <c r="C3" t="s">
        <v>25</v>
      </c>
      <c r="D3" t="s">
        <v>429</v>
      </c>
      <c r="E3" s="34" t="s">
        <v>1234</v>
      </c>
      <c r="F3" s="33" t="s">
        <v>491</v>
      </c>
      <c r="G3" s="33" t="s">
        <v>492</v>
      </c>
      <c r="H3" t="s">
        <v>54</v>
      </c>
      <c r="I3" s="1" t="s">
        <v>493</v>
      </c>
      <c r="J3" s="3" t="s">
        <v>494</v>
      </c>
    </row>
    <row r="4" spans="1:10" x14ac:dyDescent="0.35">
      <c r="E4" s="40" t="s">
        <v>1234</v>
      </c>
      <c r="I4" t="s">
        <v>57</v>
      </c>
      <c r="J4" t="s">
        <v>56</v>
      </c>
    </row>
    <row r="5" spans="1:10" ht="15.75" customHeight="1" x14ac:dyDescent="0.35">
      <c r="I5" t="s">
        <v>63</v>
      </c>
      <c r="J5" t="s">
        <v>3198</v>
      </c>
    </row>
    <row r="6" spans="1:10" x14ac:dyDescent="0.35">
      <c r="I6" t="s">
        <v>36</v>
      </c>
      <c r="J6" t="s">
        <v>3199</v>
      </c>
    </row>
    <row r="7" spans="1:10" x14ac:dyDescent="0.35">
      <c r="I7" t="s">
        <v>16</v>
      </c>
      <c r="J7" t="s">
        <v>3200</v>
      </c>
    </row>
    <row r="8" spans="1:10" x14ac:dyDescent="0.35">
      <c r="I8" t="s">
        <v>17</v>
      </c>
      <c r="J8" t="s">
        <v>3201</v>
      </c>
    </row>
    <row r="9" spans="1:10" x14ac:dyDescent="0.35">
      <c r="I9" s="38" t="s">
        <v>18</v>
      </c>
      <c r="J9" t="s">
        <v>3202</v>
      </c>
    </row>
    <row r="10" spans="1:10" x14ac:dyDescent="0.35">
      <c r="I10" s="37"/>
      <c r="J10" s="43" t="s">
        <v>3203</v>
      </c>
    </row>
    <row r="11" spans="1:10" x14ac:dyDescent="0.35">
      <c r="A11" s="33" t="s">
        <v>490</v>
      </c>
      <c r="B11" t="s">
        <v>3</v>
      </c>
      <c r="C11" t="s">
        <v>25</v>
      </c>
      <c r="D11" t="s">
        <v>282</v>
      </c>
      <c r="E11" s="34" t="s">
        <v>156</v>
      </c>
      <c r="F11" s="33" t="s">
        <v>491</v>
      </c>
      <c r="G11" s="33" t="s">
        <v>492</v>
      </c>
      <c r="H11" t="s">
        <v>54</v>
      </c>
      <c r="I11" s="1" t="s">
        <v>493</v>
      </c>
      <c r="J11" s="3" t="s">
        <v>494</v>
      </c>
    </row>
    <row r="12" spans="1:10" x14ac:dyDescent="0.35">
      <c r="E12" s="40" t="s">
        <v>156</v>
      </c>
      <c r="I12" t="s">
        <v>57</v>
      </c>
      <c r="J12" t="s">
        <v>57</v>
      </c>
    </row>
    <row r="13" spans="1:10" ht="15.75" customHeight="1" x14ac:dyDescent="0.35">
      <c r="I13" t="s">
        <v>63</v>
      </c>
      <c r="J13" t="s">
        <v>495</v>
      </c>
    </row>
    <row r="14" spans="1:10" x14ac:dyDescent="0.35">
      <c r="I14" t="s">
        <v>36</v>
      </c>
      <c r="J14" t="s">
        <v>496</v>
      </c>
    </row>
    <row r="15" spans="1:10" x14ac:dyDescent="0.35">
      <c r="I15" t="s">
        <v>16</v>
      </c>
      <c r="J15" s="36" t="s">
        <v>490</v>
      </c>
    </row>
    <row r="16" spans="1:10" x14ac:dyDescent="0.35">
      <c r="I16" t="s">
        <v>17</v>
      </c>
    </row>
    <row r="17" spans="1:10" x14ac:dyDescent="0.35">
      <c r="I17" s="38" t="s">
        <v>18</v>
      </c>
    </row>
    <row r="18" spans="1:10" x14ac:dyDescent="0.35">
      <c r="A18" s="33" t="s">
        <v>3322</v>
      </c>
      <c r="B18" t="s">
        <v>3</v>
      </c>
      <c r="C18" t="s">
        <v>25</v>
      </c>
      <c r="D18" t="s">
        <v>55</v>
      </c>
      <c r="E18" s="104" t="s">
        <v>327</v>
      </c>
      <c r="F18" s="33" t="s">
        <v>491</v>
      </c>
      <c r="G18" s="33" t="s">
        <v>492</v>
      </c>
      <c r="H18" t="s">
        <v>54</v>
      </c>
      <c r="I18" s="1" t="s">
        <v>493</v>
      </c>
      <c r="J18" s="3" t="s">
        <v>2719</v>
      </c>
    </row>
    <row r="19" spans="1:10" x14ac:dyDescent="0.35">
      <c r="I19" t="s">
        <v>57</v>
      </c>
      <c r="J19" t="s">
        <v>494</v>
      </c>
    </row>
    <row r="20" spans="1:10" ht="15.75" customHeight="1" x14ac:dyDescent="0.35">
      <c r="I20" t="s">
        <v>63</v>
      </c>
      <c r="J20" t="s">
        <v>3317</v>
      </c>
    </row>
    <row r="21" spans="1:10" x14ac:dyDescent="0.35">
      <c r="I21" t="s">
        <v>36</v>
      </c>
      <c r="J21" t="s">
        <v>3318</v>
      </c>
    </row>
    <row r="22" spans="1:10" x14ac:dyDescent="0.35">
      <c r="I22" t="s">
        <v>16</v>
      </c>
      <c r="J22" t="s">
        <v>3320</v>
      </c>
    </row>
    <row r="23" spans="1:10" x14ac:dyDescent="0.35">
      <c r="I23" t="s">
        <v>17</v>
      </c>
      <c r="J23" t="s">
        <v>3319</v>
      </c>
    </row>
    <row r="24" spans="1:10" x14ac:dyDescent="0.35">
      <c r="I24" s="38" t="s">
        <v>3307</v>
      </c>
      <c r="J24" s="36" t="s">
        <v>3321</v>
      </c>
    </row>
    <row r="25" spans="1:10" x14ac:dyDescent="0.35">
      <c r="A25" s="33" t="s">
        <v>4300</v>
      </c>
      <c r="B25" t="s">
        <v>3</v>
      </c>
      <c r="C25" t="s">
        <v>25</v>
      </c>
      <c r="D25" t="s">
        <v>55</v>
      </c>
      <c r="E25" s="34" t="s">
        <v>169</v>
      </c>
      <c r="F25" s="33" t="s">
        <v>491</v>
      </c>
      <c r="G25" s="33" t="s">
        <v>492</v>
      </c>
      <c r="H25" t="s">
        <v>54</v>
      </c>
      <c r="I25" s="1" t="s">
        <v>493</v>
      </c>
      <c r="J25" s="3" t="s">
        <v>494</v>
      </c>
    </row>
    <row r="26" spans="1:10" x14ac:dyDescent="0.35">
      <c r="E26" s="40" t="s">
        <v>169</v>
      </c>
      <c r="I26" t="s">
        <v>57</v>
      </c>
      <c r="J26" t="s">
        <v>57</v>
      </c>
    </row>
    <row r="27" spans="1:10" ht="15.75" customHeight="1" x14ac:dyDescent="0.35">
      <c r="I27" t="s">
        <v>63</v>
      </c>
      <c r="J27" t="s">
        <v>2726</v>
      </c>
    </row>
    <row r="28" spans="1:10" x14ac:dyDescent="0.35">
      <c r="I28" t="s">
        <v>36</v>
      </c>
      <c r="J28" t="s">
        <v>2727</v>
      </c>
    </row>
    <row r="29" spans="1:10" x14ac:dyDescent="0.35">
      <c r="I29" t="s">
        <v>16</v>
      </c>
      <c r="J29" t="s">
        <v>4301</v>
      </c>
    </row>
    <row r="30" spans="1:10" x14ac:dyDescent="0.35">
      <c r="I30" t="s">
        <v>17</v>
      </c>
      <c r="J30" t="s">
        <v>4302</v>
      </c>
    </row>
    <row r="31" spans="1:10" x14ac:dyDescent="0.35">
      <c r="I31" s="38" t="s">
        <v>18</v>
      </c>
      <c r="J31" s="36" t="s">
        <v>4303</v>
      </c>
    </row>
    <row r="32" spans="1:10" x14ac:dyDescent="0.35">
      <c r="A32" s="33" t="s">
        <v>2725</v>
      </c>
      <c r="B32" t="s">
        <v>3</v>
      </c>
      <c r="C32" t="s">
        <v>25</v>
      </c>
      <c r="D32" t="s">
        <v>55</v>
      </c>
      <c r="E32" s="40" t="s">
        <v>340</v>
      </c>
      <c r="F32" s="33" t="s">
        <v>491</v>
      </c>
      <c r="G32" s="33" t="s">
        <v>492</v>
      </c>
      <c r="H32" t="s">
        <v>54</v>
      </c>
      <c r="I32" s="1" t="s">
        <v>493</v>
      </c>
      <c r="J32" s="3" t="s">
        <v>494</v>
      </c>
    </row>
    <row r="33" spans="1:10" x14ac:dyDescent="0.35">
      <c r="E33" s="15"/>
      <c r="I33" t="s">
        <v>57</v>
      </c>
      <c r="J33" t="s">
        <v>57</v>
      </c>
    </row>
    <row r="34" spans="1:10" ht="15.75" customHeight="1" x14ac:dyDescent="0.35">
      <c r="I34" t="s">
        <v>63</v>
      </c>
      <c r="J34" t="s">
        <v>2726</v>
      </c>
    </row>
    <row r="35" spans="1:10" x14ac:dyDescent="0.35">
      <c r="I35" t="s">
        <v>36</v>
      </c>
      <c r="J35" t="s">
        <v>2727</v>
      </c>
    </row>
    <row r="36" spans="1:10" x14ac:dyDescent="0.35">
      <c r="I36" t="s">
        <v>16</v>
      </c>
      <c r="J36" t="s">
        <v>2728</v>
      </c>
    </row>
    <row r="37" spans="1:10" x14ac:dyDescent="0.35">
      <c r="I37" t="s">
        <v>17</v>
      </c>
      <c r="J37" t="s">
        <v>2729</v>
      </c>
    </row>
    <row r="38" spans="1:10" x14ac:dyDescent="0.35">
      <c r="I38" s="38" t="s">
        <v>1249</v>
      </c>
      <c r="J38" s="36" t="s">
        <v>2730</v>
      </c>
    </row>
    <row r="39" spans="1:10" x14ac:dyDescent="0.35">
      <c r="A39" s="33" t="s">
        <v>3323</v>
      </c>
      <c r="B39" t="s">
        <v>3</v>
      </c>
      <c r="C39" t="s">
        <v>25</v>
      </c>
      <c r="D39" t="s">
        <v>159</v>
      </c>
      <c r="E39" s="104" t="s">
        <v>909</v>
      </c>
      <c r="F39" s="33" t="s">
        <v>493</v>
      </c>
      <c r="G39" s="33" t="s">
        <v>66</v>
      </c>
      <c r="H39" t="s">
        <v>130</v>
      </c>
      <c r="I39" s="1" t="s">
        <v>57</v>
      </c>
      <c r="J39" s="3" t="s">
        <v>56</v>
      </c>
    </row>
    <row r="40" spans="1:10" x14ac:dyDescent="0.35">
      <c r="I40" t="s">
        <v>63</v>
      </c>
      <c r="J40" t="s">
        <v>58</v>
      </c>
    </row>
    <row r="41" spans="1:10" ht="15.75" customHeight="1" x14ac:dyDescent="0.35">
      <c r="I41" t="s">
        <v>36</v>
      </c>
      <c r="J41" t="s">
        <v>3314</v>
      </c>
    </row>
    <row r="42" spans="1:10" x14ac:dyDescent="0.35">
      <c r="I42" t="s">
        <v>16</v>
      </c>
      <c r="J42" t="s">
        <v>3315</v>
      </c>
    </row>
    <row r="43" spans="1:10" x14ac:dyDescent="0.35">
      <c r="I43" t="s">
        <v>17</v>
      </c>
      <c r="J43" s="36" t="s">
        <v>3316</v>
      </c>
    </row>
    <row r="44" spans="1:10" x14ac:dyDescent="0.35">
      <c r="I44" s="38" t="s">
        <v>3307</v>
      </c>
    </row>
    <row r="45" spans="1:10" x14ac:dyDescent="0.35">
      <c r="A45" s="33" t="s">
        <v>3756</v>
      </c>
      <c r="B45" t="s">
        <v>3</v>
      </c>
      <c r="C45" t="s">
        <v>25</v>
      </c>
      <c r="D45" t="s">
        <v>64</v>
      </c>
      <c r="E45" s="34" t="s">
        <v>608</v>
      </c>
      <c r="F45" s="33" t="s">
        <v>491</v>
      </c>
      <c r="G45" s="33" t="s">
        <v>492</v>
      </c>
      <c r="H45" t="s">
        <v>54</v>
      </c>
      <c r="I45" s="1" t="s">
        <v>493</v>
      </c>
      <c r="J45" s="3" t="s">
        <v>494</v>
      </c>
    </row>
    <row r="46" spans="1:10" x14ac:dyDescent="0.35">
      <c r="E46" s="17"/>
      <c r="I46" t="s">
        <v>57</v>
      </c>
      <c r="J46" t="s">
        <v>3757</v>
      </c>
    </row>
    <row r="47" spans="1:10" ht="15.75" customHeight="1" x14ac:dyDescent="0.35">
      <c r="I47" t="s">
        <v>63</v>
      </c>
      <c r="J47" t="s">
        <v>3758</v>
      </c>
    </row>
    <row r="48" spans="1:10" x14ac:dyDescent="0.35">
      <c r="I48" t="s">
        <v>36</v>
      </c>
      <c r="J48" t="s">
        <v>3759</v>
      </c>
    </row>
    <row r="49" spans="1:10" x14ac:dyDescent="0.35">
      <c r="I49" t="s">
        <v>16</v>
      </c>
      <c r="J49" t="s">
        <v>3760</v>
      </c>
    </row>
    <row r="50" spans="1:10" x14ac:dyDescent="0.35">
      <c r="I50" t="s">
        <v>17</v>
      </c>
      <c r="J50" s="36" t="s">
        <v>3756</v>
      </c>
    </row>
    <row r="51" spans="1:10" x14ac:dyDescent="0.35">
      <c r="I51" s="38" t="s">
        <v>18</v>
      </c>
    </row>
    <row r="52" spans="1:10" x14ac:dyDescent="0.35">
      <c r="A52" s="33" t="s">
        <v>3668</v>
      </c>
      <c r="B52" t="s">
        <v>3</v>
      </c>
      <c r="C52" t="s">
        <v>25</v>
      </c>
      <c r="D52" t="s">
        <v>55</v>
      </c>
      <c r="E52" s="40" t="s">
        <v>179</v>
      </c>
      <c r="F52" s="33" t="s">
        <v>491</v>
      </c>
      <c r="G52" s="33" t="s">
        <v>492</v>
      </c>
      <c r="H52" t="s">
        <v>54</v>
      </c>
      <c r="I52" s="1" t="s">
        <v>493</v>
      </c>
      <c r="J52" s="3" t="s">
        <v>494</v>
      </c>
    </row>
    <row r="53" spans="1:10" x14ac:dyDescent="0.35">
      <c r="E53" s="15"/>
      <c r="I53" t="s">
        <v>57</v>
      </c>
      <c r="J53" t="s">
        <v>56</v>
      </c>
    </row>
    <row r="54" spans="1:10" ht="15.75" customHeight="1" x14ac:dyDescent="0.35">
      <c r="I54" t="s">
        <v>63</v>
      </c>
      <c r="J54" t="s">
        <v>3198</v>
      </c>
    </row>
    <row r="55" spans="1:10" x14ac:dyDescent="0.35">
      <c r="I55" t="s">
        <v>36</v>
      </c>
      <c r="J55" t="s">
        <v>3669</v>
      </c>
    </row>
    <row r="56" spans="1:10" x14ac:dyDescent="0.35">
      <c r="I56" t="s">
        <v>16</v>
      </c>
      <c r="J56" t="s">
        <v>3670</v>
      </c>
    </row>
    <row r="57" spans="1:10" x14ac:dyDescent="0.35">
      <c r="I57" t="s">
        <v>17</v>
      </c>
      <c r="J57" t="s">
        <v>3671</v>
      </c>
    </row>
    <row r="58" spans="1:10" x14ac:dyDescent="0.35">
      <c r="I58" s="38" t="s">
        <v>1249</v>
      </c>
      <c r="J58" s="36" t="s">
        <v>3672</v>
      </c>
    </row>
    <row r="59" spans="1:10" x14ac:dyDescent="0.35">
      <c r="A59" s="33" t="s">
        <v>3479</v>
      </c>
      <c r="B59" t="s">
        <v>3</v>
      </c>
      <c r="C59" t="s">
        <v>25</v>
      </c>
      <c r="D59" t="s">
        <v>55</v>
      </c>
      <c r="E59" s="40" t="s">
        <v>216</v>
      </c>
      <c r="F59" s="33" t="s">
        <v>491</v>
      </c>
      <c r="G59" s="33" t="s">
        <v>492</v>
      </c>
      <c r="H59" t="s">
        <v>54</v>
      </c>
      <c r="I59" s="1" t="s">
        <v>493</v>
      </c>
      <c r="J59" s="3" t="s">
        <v>494</v>
      </c>
    </row>
    <row r="60" spans="1:10" x14ac:dyDescent="0.35">
      <c r="E60" s="15"/>
      <c r="I60" t="s">
        <v>57</v>
      </c>
      <c r="J60" t="s">
        <v>57</v>
      </c>
    </row>
    <row r="61" spans="1:10" ht="15.75" customHeight="1" x14ac:dyDescent="0.35">
      <c r="I61" t="s">
        <v>63</v>
      </c>
      <c r="J61" t="s">
        <v>2726</v>
      </c>
    </row>
    <row r="62" spans="1:10" x14ac:dyDescent="0.35">
      <c r="I62" t="s">
        <v>36</v>
      </c>
      <c r="J62" t="s">
        <v>2727</v>
      </c>
    </row>
    <row r="63" spans="1:10" x14ac:dyDescent="0.35">
      <c r="I63" t="s">
        <v>16</v>
      </c>
      <c r="J63" t="s">
        <v>3480</v>
      </c>
    </row>
    <row r="64" spans="1:10" x14ac:dyDescent="0.35">
      <c r="I64" t="s">
        <v>17</v>
      </c>
      <c r="J64" t="s">
        <v>3481</v>
      </c>
    </row>
    <row r="65" spans="1:10" x14ac:dyDescent="0.35">
      <c r="I65" s="38" t="s">
        <v>1249</v>
      </c>
      <c r="J65" s="36" t="s">
        <v>3482</v>
      </c>
    </row>
    <row r="66" spans="1:10" x14ac:dyDescent="0.35">
      <c r="A66" s="33" t="s">
        <v>3803</v>
      </c>
      <c r="B66" t="s">
        <v>3</v>
      </c>
      <c r="C66" t="s">
        <v>25</v>
      </c>
      <c r="D66" t="s">
        <v>429</v>
      </c>
      <c r="E66" s="40" t="s">
        <v>72</v>
      </c>
      <c r="F66" s="33" t="s">
        <v>491</v>
      </c>
      <c r="G66" s="33" t="s">
        <v>492</v>
      </c>
      <c r="H66" t="s">
        <v>54</v>
      </c>
      <c r="I66" s="1" t="s">
        <v>493</v>
      </c>
      <c r="J66" s="3" t="s">
        <v>494</v>
      </c>
    </row>
    <row r="67" spans="1:10" x14ac:dyDescent="0.35">
      <c r="E67" s="34" t="s">
        <v>72</v>
      </c>
      <c r="I67" t="s">
        <v>57</v>
      </c>
      <c r="J67" t="s">
        <v>57</v>
      </c>
    </row>
    <row r="68" spans="1:10" ht="15.75" customHeight="1" x14ac:dyDescent="0.35">
      <c r="I68" t="s">
        <v>63</v>
      </c>
      <c r="J68" t="s">
        <v>2726</v>
      </c>
    </row>
    <row r="69" spans="1:10" x14ac:dyDescent="0.35">
      <c r="I69" t="s">
        <v>36</v>
      </c>
      <c r="J69" t="s">
        <v>2727</v>
      </c>
    </row>
    <row r="70" spans="1:10" x14ac:dyDescent="0.35">
      <c r="I70" t="s">
        <v>16</v>
      </c>
      <c r="J70" t="s">
        <v>2728</v>
      </c>
    </row>
    <row r="71" spans="1:10" x14ac:dyDescent="0.35">
      <c r="I71" t="s">
        <v>17</v>
      </c>
      <c r="J71" t="s">
        <v>2729</v>
      </c>
    </row>
    <row r="72" spans="1:10" x14ac:dyDescent="0.35">
      <c r="I72" s="38" t="s">
        <v>1249</v>
      </c>
      <c r="J72" t="s">
        <v>3802</v>
      </c>
    </row>
    <row r="73" spans="1:10" x14ac:dyDescent="0.35">
      <c r="I73" s="37"/>
      <c r="J73" s="36" t="s">
        <v>3803</v>
      </c>
    </row>
    <row r="74" spans="1:10" x14ac:dyDescent="0.35">
      <c r="A74" s="33" t="s">
        <v>68</v>
      </c>
      <c r="B74" t="s">
        <v>3</v>
      </c>
      <c r="C74" t="s">
        <v>43</v>
      </c>
      <c r="D74" t="s">
        <v>64</v>
      </c>
      <c r="E74" s="34" t="s">
        <v>65</v>
      </c>
      <c r="F74" s="33" t="s">
        <v>493</v>
      </c>
      <c r="G74" s="33" t="s">
        <v>66</v>
      </c>
      <c r="H74" t="s">
        <v>2724</v>
      </c>
      <c r="I74" s="1" t="s">
        <v>57</v>
      </c>
      <c r="J74" s="3" t="s">
        <v>56</v>
      </c>
    </row>
    <row r="75" spans="1:10" x14ac:dyDescent="0.35">
      <c r="E75" s="17"/>
      <c r="I75" t="s">
        <v>63</v>
      </c>
      <c r="J75" t="s">
        <v>58</v>
      </c>
    </row>
    <row r="76" spans="1:10" x14ac:dyDescent="0.35">
      <c r="I76" t="s">
        <v>36</v>
      </c>
      <c r="J76" t="s">
        <v>59</v>
      </c>
    </row>
    <row r="77" spans="1:10" x14ac:dyDescent="0.35">
      <c r="I77" t="s">
        <v>16</v>
      </c>
      <c r="J77" t="s">
        <v>60</v>
      </c>
    </row>
    <row r="78" spans="1:10" x14ac:dyDescent="0.35">
      <c r="I78" t="s">
        <v>17</v>
      </c>
      <c r="J78" t="s">
        <v>61</v>
      </c>
    </row>
    <row r="79" spans="1:10" x14ac:dyDescent="0.35">
      <c r="I79" s="38" t="s">
        <v>18</v>
      </c>
      <c r="J79" t="s">
        <v>69</v>
      </c>
    </row>
    <row r="80" spans="1:10" x14ac:dyDescent="0.35">
      <c r="J80" s="36" t="s">
        <v>62</v>
      </c>
    </row>
    <row r="81" spans="1:10" x14ac:dyDescent="0.35">
      <c r="A81" s="33" t="s">
        <v>69</v>
      </c>
      <c r="B81" t="s">
        <v>3</v>
      </c>
      <c r="C81" t="s">
        <v>43</v>
      </c>
      <c r="D81" t="s">
        <v>184</v>
      </c>
      <c r="E81" s="34" t="s">
        <v>65</v>
      </c>
      <c r="F81" s="33" t="s">
        <v>493</v>
      </c>
      <c r="G81" s="33" t="s">
        <v>66</v>
      </c>
      <c r="H81" t="s">
        <v>2724</v>
      </c>
      <c r="I81" s="1" t="s">
        <v>57</v>
      </c>
      <c r="J81" s="3" t="s">
        <v>56</v>
      </c>
    </row>
    <row r="82" spans="1:10" x14ac:dyDescent="0.35">
      <c r="E82" s="17"/>
      <c r="I82" t="s">
        <v>63</v>
      </c>
      <c r="J82" t="s">
        <v>58</v>
      </c>
    </row>
    <row r="83" spans="1:10" x14ac:dyDescent="0.35">
      <c r="I83" t="s">
        <v>36</v>
      </c>
      <c r="J83" t="s">
        <v>59</v>
      </c>
    </row>
    <row r="84" spans="1:10" x14ac:dyDescent="0.35">
      <c r="I84" t="s">
        <v>16</v>
      </c>
      <c r="J84" t="s">
        <v>60</v>
      </c>
    </row>
    <row r="85" spans="1:10" x14ac:dyDescent="0.35">
      <c r="I85" t="s">
        <v>17</v>
      </c>
      <c r="J85" t="s">
        <v>61</v>
      </c>
    </row>
    <row r="86" spans="1:10" x14ac:dyDescent="0.35">
      <c r="I86" s="38" t="s">
        <v>18</v>
      </c>
      <c r="J86" s="36" t="s">
        <v>69</v>
      </c>
    </row>
    <row r="87" spans="1:10" x14ac:dyDescent="0.35">
      <c r="A87" s="33" t="s">
        <v>2718</v>
      </c>
      <c r="B87" t="s">
        <v>3</v>
      </c>
      <c r="C87" t="s">
        <v>43</v>
      </c>
      <c r="D87" t="s">
        <v>55</v>
      </c>
      <c r="E87" s="34" t="s">
        <v>65</v>
      </c>
      <c r="F87" s="33" t="s">
        <v>491</v>
      </c>
      <c r="G87" s="33" t="s">
        <v>492</v>
      </c>
      <c r="H87" t="s">
        <v>54</v>
      </c>
      <c r="I87" s="1" t="s">
        <v>493</v>
      </c>
      <c r="J87" s="3" t="s">
        <v>2719</v>
      </c>
    </row>
    <row r="88" spans="1:10" x14ac:dyDescent="0.35">
      <c r="E88" s="17"/>
      <c r="I88" s="25" t="s">
        <v>57</v>
      </c>
      <c r="J88" t="s">
        <v>494</v>
      </c>
    </row>
    <row r="89" spans="1:10" x14ac:dyDescent="0.35">
      <c r="I89" t="s">
        <v>63</v>
      </c>
      <c r="J89" t="s">
        <v>494</v>
      </c>
    </row>
    <row r="90" spans="1:10" x14ac:dyDescent="0.35">
      <c r="I90" t="s">
        <v>36</v>
      </c>
      <c r="J90" t="s">
        <v>2720</v>
      </c>
    </row>
    <row r="91" spans="1:10" x14ac:dyDescent="0.35">
      <c r="I91" t="s">
        <v>16</v>
      </c>
      <c r="J91" t="s">
        <v>2721</v>
      </c>
    </row>
    <row r="92" spans="1:10" x14ac:dyDescent="0.35">
      <c r="I92" t="s">
        <v>17</v>
      </c>
      <c r="J92" t="s">
        <v>2722</v>
      </c>
    </row>
    <row r="93" spans="1:10" x14ac:dyDescent="0.35">
      <c r="I93" s="38" t="s">
        <v>18</v>
      </c>
      <c r="J93" s="36" t="s">
        <v>2723</v>
      </c>
    </row>
  </sheetData>
  <hyperlinks>
    <hyperlink ref="A1" location="Summary!A1" tooltip="Return to Totals" display="Back to Totals" xr:uid="{C9D83167-28CA-4211-A8F7-7F32F9E62F17}"/>
    <hyperlink ref="I17" r:id="rId1" xr:uid="{93F8EFFA-7F31-42CC-A69C-19456A736E95}"/>
    <hyperlink ref="I24" r:id="rId2" xr:uid="{271AC8FF-91AD-4D7A-8277-8ED4B054F75F}"/>
    <hyperlink ref="I79" r:id="rId3" xr:uid="{96A783FE-1D09-416D-8F27-178A2FD69E0A}"/>
    <hyperlink ref="I86" r:id="rId4" xr:uid="{8D1A950D-5383-4ADB-B175-FABCD4D4EDE6}"/>
    <hyperlink ref="I93" r:id="rId5" xr:uid="{D189036B-7412-4747-ADA4-7F63DD47AD46}"/>
    <hyperlink ref="F11" r:id="rId6" xr:uid="{B577545F-D76F-4879-8305-24871E59F8CB}"/>
    <hyperlink ref="F18" r:id="rId7" xr:uid="{EC7020F2-659B-4CAE-92A8-A9A0E823B78B}"/>
    <hyperlink ref="F87" r:id="rId8" xr:uid="{D1CFEEB1-2F8F-475B-BEA5-174D7B3A75C8}"/>
    <hyperlink ref="G87" r:id="rId9" xr:uid="{A7A31AF0-54AE-411C-AF98-D3FEE5AB78AF}"/>
    <hyperlink ref="G18" r:id="rId10" xr:uid="{17CBBA1C-B584-4DAA-905E-7C4512D0B366}"/>
    <hyperlink ref="G11" r:id="rId11" xr:uid="{E93A0673-AF39-434D-AC28-8C000F2C9172}"/>
    <hyperlink ref="F74" r:id="rId12" xr:uid="{ACAEF090-B260-4E78-ABA3-990AEEED5DB2}"/>
    <hyperlink ref="F81" r:id="rId13" xr:uid="{04459BA2-F2EF-4186-B446-080D8C21995D}"/>
    <hyperlink ref="G74" r:id="rId14" xr:uid="{A4FCFAB5-A346-442B-A131-F857D0B4E2F0}"/>
    <hyperlink ref="G81" r:id="rId15" xr:uid="{024EFB70-F37C-4A44-9D11-A379E56CED9B}"/>
    <hyperlink ref="J15" r:id="rId16" xr:uid="{037533AD-242B-4B6B-AD94-5027532BD0F1}"/>
    <hyperlink ref="A11" r:id="rId17" xr:uid="{D76C5875-5A03-4B92-AFAF-6A581D1717FD}"/>
    <hyperlink ref="J24" r:id="rId18" xr:uid="{67930708-1DE0-4698-92A4-EBF0C39DAA12}"/>
    <hyperlink ref="J80" r:id="rId19" xr:uid="{2711A610-90EC-4CBC-A30D-7E96E33D07A5}"/>
    <hyperlink ref="A74" r:id="rId20" xr:uid="{13650C0C-3869-487B-8D68-48CA3BA449FE}"/>
    <hyperlink ref="A81" r:id="rId21" xr:uid="{61DAF9F5-A8EA-452A-8D92-950BD73B78E1}"/>
    <hyperlink ref="J93" r:id="rId22" xr:uid="{49447DDA-5615-44DC-8863-F8147266BE99}"/>
    <hyperlink ref="A87" r:id="rId23" xr:uid="{22AA6A3E-5E3B-4142-A49D-957F347BA92E}"/>
    <hyperlink ref="J86" r:id="rId24" xr:uid="{46BBD28D-EA90-42CA-BF96-83FF15F7110A}"/>
    <hyperlink ref="A18" r:id="rId25" xr:uid="{5BAF6F80-4B0D-46B8-97C3-141CDEB2A32E}"/>
    <hyperlink ref="E87" r:id="rId26" xr:uid="{D74C4EA5-72C9-40B0-8869-56A94A036DF9}"/>
    <hyperlink ref="E81" r:id="rId27" xr:uid="{FB400C58-394D-498B-B51D-F50D7ECD719C}"/>
    <hyperlink ref="E74" r:id="rId28" xr:uid="{B46E5DFB-0CD1-41AF-BB19-189635280561}"/>
    <hyperlink ref="E32" r:id="rId29" xr:uid="{14B54A80-94D0-4AF6-8A6A-49E943D9BCCC}"/>
    <hyperlink ref="E12" r:id="rId30" xr:uid="{B767E841-7BC3-4D86-8617-82F553AD2BB2}"/>
    <hyperlink ref="E11" r:id="rId31" xr:uid="{94B67626-54BE-461A-A145-D6C20B586880}"/>
    <hyperlink ref="I9" r:id="rId32" xr:uid="{490654B0-F32A-40E1-8EE4-03584952D859}"/>
    <hyperlink ref="F3" r:id="rId33" xr:uid="{1CD5BD5E-A7EF-45C0-A133-05163B8051B6}"/>
    <hyperlink ref="G3" r:id="rId34" xr:uid="{013114AD-B847-4015-B05D-2859218BE3EC}"/>
    <hyperlink ref="A3" r:id="rId35" xr:uid="{E077A625-66D2-4EF2-88E4-3FA2DD115114}"/>
    <hyperlink ref="E4" r:id="rId36" xr:uid="{E034FA10-FBD8-411C-9C17-BCD6C4762C9F}"/>
    <hyperlink ref="E3" r:id="rId37" xr:uid="{DDEE934B-E10D-4C4B-B423-15AD039E53C8}"/>
    <hyperlink ref="J10" r:id="rId38" xr:uid="{1AD642B1-68A8-4F3E-8C07-0E52612B4B33}"/>
    <hyperlink ref="I44" r:id="rId39" xr:uid="{A8D7B90D-149F-4C19-B86E-A88A190F2CB5}"/>
    <hyperlink ref="A39" r:id="rId40" xr:uid="{E7E23A64-5A4F-4F7A-B911-A3CC832D0EE4}"/>
    <hyperlink ref="E39" r:id="rId41" xr:uid="{71BB9A96-7FCD-4BDD-96F7-7BF93D66D7DD}"/>
    <hyperlink ref="J43" r:id="rId42" xr:uid="{650A307C-24F3-41B7-9D1F-441FD0BA9494}"/>
    <hyperlink ref="F39" r:id="rId43" xr:uid="{68B4314D-61C3-4B47-A1CE-60620F341AA8}"/>
    <hyperlink ref="G39" r:id="rId44" xr:uid="{8B7A3E2B-1916-44DF-8997-C80129DE6166}"/>
    <hyperlink ref="I38" r:id="rId45" display="Simon Leigh Robertson" xr:uid="{6C7FB4F1-6686-4562-A6DC-CDFA264B94D3}"/>
    <hyperlink ref="F32" r:id="rId46" xr:uid="{AE8BAD55-F324-4D57-8E74-7D88166C918F}"/>
    <hyperlink ref="G32" r:id="rId47" xr:uid="{805718C5-ADB9-4855-AE21-566CAB50484B}"/>
    <hyperlink ref="J38" r:id="rId48" xr:uid="{28579593-723A-4A13-B878-2C7F6625E7CA}"/>
    <hyperlink ref="A32" r:id="rId49" xr:uid="{54A4DE7E-491E-4452-AEFF-AEC4BA72CA7C}"/>
    <hyperlink ref="E18" r:id="rId50" display="16cM" xr:uid="{97B04873-B81A-4233-94F7-38A09763E4B6}"/>
    <hyperlink ref="E59" r:id="rId51" xr:uid="{FAFF1D7C-AEC3-45FF-A17A-64BAD292FF52}"/>
    <hyperlink ref="F59" r:id="rId52" xr:uid="{CEF604C8-8180-48C4-A772-40C40EA22649}"/>
    <hyperlink ref="G59" r:id="rId53" xr:uid="{2C112AC3-FA46-492F-9431-BEBDC5C61A8A}"/>
    <hyperlink ref="J65" r:id="rId54" xr:uid="{91947F39-8102-4204-852E-1E0BA2633330}"/>
    <hyperlink ref="A59" r:id="rId55" xr:uid="{F10ADA1F-A18E-4AE4-8025-7B68BFDDE24D}"/>
    <hyperlink ref="E52" r:id="rId56" xr:uid="{0A90AC76-4350-4C4E-8EDA-495E5698B6D4}"/>
    <hyperlink ref="I58" r:id="rId57" display="Simon Leigh Robertson" xr:uid="{5E75D201-B76F-44B7-BFA0-E46D911AEA85}"/>
    <hyperlink ref="F52" r:id="rId58" xr:uid="{77238B4E-E828-47C0-BF0B-B545479C9C3C}"/>
    <hyperlink ref="G52" r:id="rId59" xr:uid="{D0342C57-4944-4DDF-AE20-10590BB82669}"/>
    <hyperlink ref="J58" r:id="rId60" xr:uid="{3BCDD897-8937-405C-B621-89BF41C52DB6}"/>
    <hyperlink ref="A52" r:id="rId61" xr:uid="{60DF39BB-B21C-4E65-90F1-3262512F9E60}"/>
    <hyperlink ref="E45" r:id="rId62" xr:uid="{F198790C-94C9-4383-858A-94D2CCC792E4}"/>
    <hyperlink ref="F45" r:id="rId63" xr:uid="{0C7AF8E1-AEF0-4E3B-9D55-99AF26836769}"/>
    <hyperlink ref="G45" r:id="rId64" xr:uid="{A7F9436E-D236-4EF8-9E10-4D2C63BC7051}"/>
    <hyperlink ref="A45" r:id="rId65" xr:uid="{3B39F1BE-23AF-4CA0-9F4B-152EC05065FF}"/>
    <hyperlink ref="J50" r:id="rId66" xr:uid="{12C41511-7622-4969-AB05-B30BD38AA04E}"/>
    <hyperlink ref="I51" r:id="rId67" xr:uid="{F90F9826-B5EB-4223-B5C9-8E692A3505E6}"/>
    <hyperlink ref="E66" r:id="rId68" xr:uid="{0AC577E6-BC2C-4F66-A211-DC7A37AD3836}"/>
    <hyperlink ref="F66" r:id="rId69" xr:uid="{B5F53BA6-B074-4CF0-8688-1009046C447B}"/>
    <hyperlink ref="G66" r:id="rId70" xr:uid="{4EB53023-F1CB-453E-BE0B-8F1C7DCDB425}"/>
    <hyperlink ref="A66" r:id="rId71" xr:uid="{1D635E34-CA69-4430-A928-D0C1FF5BC7B1}"/>
    <hyperlink ref="J73" r:id="rId72" xr:uid="{A9D9B9A1-4F0E-4569-8A1A-121EC7C93987}"/>
    <hyperlink ref="F25" r:id="rId73" xr:uid="{EC0E736C-0F92-4630-B533-3D4E9461D409}"/>
    <hyperlink ref="G25" r:id="rId74" xr:uid="{B2E10086-C861-42E5-9A5E-89DF01C84772}"/>
    <hyperlink ref="J31" r:id="rId75" xr:uid="{7C6D6F83-60B7-4D86-B2DA-762E2B49130C}"/>
    <hyperlink ref="A25" r:id="rId76" xr:uid="{CC3915B5-1704-49AA-93FA-71526FB66B7B}"/>
    <hyperlink ref="E25" r:id="rId77" xr:uid="{EB073E18-A7D6-44E3-AB2C-CAE1276C620F}"/>
    <hyperlink ref="I31" r:id="rId78" xr:uid="{1C46AF17-5E0C-4DD8-9EA3-4C161B477EBC}"/>
    <hyperlink ref="E67" r:id="rId79" xr:uid="{D8FC8526-F7AB-409E-9C59-442F9242C737}"/>
    <hyperlink ref="E26" r:id="rId80" xr:uid="{CD463989-709C-4EC8-869C-ED7FBEEC0E2F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40">
    <tabColor theme="4"/>
  </sheetPr>
  <dimension ref="A1:J70"/>
  <sheetViews>
    <sheetView topLeftCell="A46" workbookViewId="0">
      <selection activeCell="A54" sqref="A54:XFD60"/>
    </sheetView>
  </sheetViews>
  <sheetFormatPr defaultRowHeight="14.5" x14ac:dyDescent="0.35"/>
  <cols>
    <col min="1" max="1" width="25.6328125" customWidth="1"/>
    <col min="2" max="2" width="17.453125" customWidth="1"/>
    <col min="3" max="3" width="15.6328125" customWidth="1"/>
    <col min="4" max="4" width="23.36328125" customWidth="1"/>
    <col min="5" max="5" width="5.90625" customWidth="1"/>
    <col min="6" max="6" width="14.1796875" customWidth="1"/>
    <col min="7" max="7" width="14.7265625" customWidth="1"/>
    <col min="8" max="8" width="17.7265625" customWidth="1"/>
    <col min="9" max="9" width="26.26953125" customWidth="1"/>
    <col min="10" max="10" width="20.26953125" customWidth="1"/>
  </cols>
  <sheetData>
    <row r="1" spans="1:10" x14ac:dyDescent="0.35">
      <c r="A1" s="34" t="s">
        <v>3196</v>
      </c>
      <c r="B1" s="16">
        <f>COUNTIF(I2:I1101,C1)+COUNTIF(I2:I1101,D1)</f>
        <v>12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526</v>
      </c>
      <c r="B3" s="15" t="s">
        <v>527</v>
      </c>
      <c r="C3" t="s">
        <v>278</v>
      </c>
      <c r="D3" t="s">
        <v>30</v>
      </c>
      <c r="E3" s="40" t="s">
        <v>2627</v>
      </c>
      <c r="F3" s="33" t="s">
        <v>529</v>
      </c>
      <c r="G3" s="33" t="s">
        <v>530</v>
      </c>
      <c r="H3" t="s">
        <v>73</v>
      </c>
      <c r="I3" s="1" t="s">
        <v>532</v>
      </c>
      <c r="J3" s="3" t="s">
        <v>533</v>
      </c>
    </row>
    <row r="4" spans="1:10" x14ac:dyDescent="0.35">
      <c r="E4" s="34" t="s">
        <v>528</v>
      </c>
      <c r="I4" t="s">
        <v>98</v>
      </c>
      <c r="J4" t="s">
        <v>531</v>
      </c>
    </row>
    <row r="5" spans="1:10" x14ac:dyDescent="0.35">
      <c r="I5" t="s">
        <v>100</v>
      </c>
      <c r="J5" t="s">
        <v>2583</v>
      </c>
    </row>
    <row r="6" spans="1:10" x14ac:dyDescent="0.35">
      <c r="I6" t="s">
        <v>104</v>
      </c>
      <c r="J6" s="36" t="s">
        <v>534</v>
      </c>
    </row>
    <row r="7" spans="1:10" x14ac:dyDescent="0.35">
      <c r="I7" s="38" t="s">
        <v>18</v>
      </c>
    </row>
    <row r="8" spans="1:10" x14ac:dyDescent="0.35">
      <c r="A8" s="33" t="s">
        <v>4237</v>
      </c>
      <c r="B8" s="1" t="s">
        <v>315</v>
      </c>
      <c r="C8" t="s">
        <v>43</v>
      </c>
      <c r="D8" t="s">
        <v>159</v>
      </c>
      <c r="E8" s="34" t="s">
        <v>1322</v>
      </c>
      <c r="F8" s="33" t="s">
        <v>2592</v>
      </c>
      <c r="G8" s="33" t="s">
        <v>2593</v>
      </c>
      <c r="H8" t="s">
        <v>130</v>
      </c>
      <c r="I8" s="1" t="s">
        <v>529</v>
      </c>
      <c r="J8" s="3" t="s">
        <v>2594</v>
      </c>
    </row>
    <row r="9" spans="1:10" x14ac:dyDescent="0.35">
      <c r="E9" s="100" t="s">
        <v>1322</v>
      </c>
      <c r="I9" t="s">
        <v>532</v>
      </c>
      <c r="J9" t="s">
        <v>2595</v>
      </c>
    </row>
    <row r="10" spans="1:10" x14ac:dyDescent="0.35">
      <c r="I10" t="s">
        <v>98</v>
      </c>
      <c r="J10" t="s">
        <v>2596</v>
      </c>
    </row>
    <row r="11" spans="1:10" x14ac:dyDescent="0.35">
      <c r="I11" t="s">
        <v>100</v>
      </c>
      <c r="J11" t="s">
        <v>2597</v>
      </c>
    </row>
    <row r="12" spans="1:10" x14ac:dyDescent="0.35">
      <c r="I12" t="s">
        <v>104</v>
      </c>
      <c r="J12" s="36" t="s">
        <v>4237</v>
      </c>
    </row>
    <row r="13" spans="1:10" x14ac:dyDescent="0.35">
      <c r="I13" s="38" t="s">
        <v>18</v>
      </c>
    </row>
    <row r="14" spans="1:10" x14ac:dyDescent="0.35">
      <c r="A14" s="33" t="s">
        <v>4238</v>
      </c>
      <c r="B14" s="1" t="s">
        <v>315</v>
      </c>
      <c r="C14" t="s">
        <v>43</v>
      </c>
      <c r="D14" t="s">
        <v>143</v>
      </c>
      <c r="E14" s="40" t="s">
        <v>132</v>
      </c>
      <c r="F14" s="33" t="s">
        <v>2592</v>
      </c>
      <c r="G14" s="33" t="s">
        <v>2593</v>
      </c>
      <c r="H14" t="s">
        <v>130</v>
      </c>
      <c r="I14" s="1" t="s">
        <v>529</v>
      </c>
      <c r="J14" s="3" t="s">
        <v>2594</v>
      </c>
    </row>
    <row r="15" spans="1:10" x14ac:dyDescent="0.35">
      <c r="E15" s="34" t="s">
        <v>132</v>
      </c>
      <c r="I15" t="s">
        <v>532</v>
      </c>
      <c r="J15" t="s">
        <v>2595</v>
      </c>
    </row>
    <row r="16" spans="1:10" x14ac:dyDescent="0.35">
      <c r="I16" t="s">
        <v>98</v>
      </c>
      <c r="J16" t="s">
        <v>2596</v>
      </c>
    </row>
    <row r="17" spans="1:10" x14ac:dyDescent="0.35">
      <c r="I17" t="s">
        <v>100</v>
      </c>
      <c r="J17" t="s">
        <v>2597</v>
      </c>
    </row>
    <row r="18" spans="1:10" x14ac:dyDescent="0.35">
      <c r="I18" t="s">
        <v>104</v>
      </c>
      <c r="J18" t="s">
        <v>4239</v>
      </c>
    </row>
    <row r="19" spans="1:10" x14ac:dyDescent="0.35">
      <c r="I19" s="38" t="s">
        <v>18</v>
      </c>
      <c r="J19" s="36" t="s">
        <v>4240</v>
      </c>
    </row>
    <row r="20" spans="1:10" x14ac:dyDescent="0.35">
      <c r="A20" s="33" t="s">
        <v>4243</v>
      </c>
      <c r="B20" s="1" t="s">
        <v>315</v>
      </c>
      <c r="C20" t="s">
        <v>43</v>
      </c>
      <c r="D20" t="s">
        <v>143</v>
      </c>
      <c r="E20" s="40" t="s">
        <v>132</v>
      </c>
      <c r="F20" s="33" t="s">
        <v>2592</v>
      </c>
      <c r="G20" s="33" t="s">
        <v>2593</v>
      </c>
      <c r="H20" t="s">
        <v>130</v>
      </c>
      <c r="I20" s="1" t="s">
        <v>529</v>
      </c>
      <c r="J20" s="3" t="s">
        <v>2594</v>
      </c>
    </row>
    <row r="21" spans="1:10" x14ac:dyDescent="0.35">
      <c r="E21" s="34"/>
      <c r="I21" t="s">
        <v>532</v>
      </c>
      <c r="J21" t="s">
        <v>2595</v>
      </c>
    </row>
    <row r="22" spans="1:10" x14ac:dyDescent="0.35">
      <c r="I22" t="s">
        <v>98</v>
      </c>
      <c r="J22" t="s">
        <v>2596</v>
      </c>
    </row>
    <row r="23" spans="1:10" x14ac:dyDescent="0.35">
      <c r="I23" t="s">
        <v>100</v>
      </c>
      <c r="J23" t="s">
        <v>2597</v>
      </c>
    </row>
    <row r="24" spans="1:10" x14ac:dyDescent="0.35">
      <c r="I24" t="s">
        <v>104</v>
      </c>
      <c r="J24" t="s">
        <v>4239</v>
      </c>
    </row>
    <row r="25" spans="1:10" x14ac:dyDescent="0.35">
      <c r="I25" s="38" t="s">
        <v>18</v>
      </c>
      <c r="J25" s="36" t="s">
        <v>4244</v>
      </c>
    </row>
    <row r="26" spans="1:10" x14ac:dyDescent="0.35">
      <c r="A26" s="33" t="s">
        <v>2591</v>
      </c>
      <c r="B26" t="s">
        <v>3</v>
      </c>
      <c r="C26" t="s">
        <v>43</v>
      </c>
      <c r="D26" t="s">
        <v>64</v>
      </c>
      <c r="E26" s="40" t="s">
        <v>32</v>
      </c>
      <c r="F26" s="33" t="s">
        <v>2592</v>
      </c>
      <c r="G26" s="33" t="s">
        <v>2593</v>
      </c>
      <c r="H26" t="s">
        <v>130</v>
      </c>
      <c r="I26" s="1" t="s">
        <v>529</v>
      </c>
      <c r="J26" s="3" t="s">
        <v>2594</v>
      </c>
    </row>
    <row r="27" spans="1:10" x14ac:dyDescent="0.35">
      <c r="E27" s="15"/>
      <c r="I27" t="s">
        <v>532</v>
      </c>
      <c r="J27" t="s">
        <v>2595</v>
      </c>
    </row>
    <row r="28" spans="1:10" x14ac:dyDescent="0.35">
      <c r="I28" t="s">
        <v>98</v>
      </c>
      <c r="J28" t="s">
        <v>2596</v>
      </c>
    </row>
    <row r="29" spans="1:10" x14ac:dyDescent="0.35">
      <c r="I29" t="s">
        <v>100</v>
      </c>
      <c r="J29" t="s">
        <v>2597</v>
      </c>
    </row>
    <row r="30" spans="1:10" x14ac:dyDescent="0.35">
      <c r="I30" t="s">
        <v>104</v>
      </c>
      <c r="J30" t="s">
        <v>2598</v>
      </c>
    </row>
    <row r="31" spans="1:10" x14ac:dyDescent="0.35">
      <c r="I31" s="38" t="s">
        <v>1249</v>
      </c>
      <c r="J31" t="s">
        <v>3517</v>
      </c>
    </row>
    <row r="32" spans="1:10" x14ac:dyDescent="0.35">
      <c r="J32" s="36" t="s">
        <v>2599</v>
      </c>
    </row>
    <row r="33" spans="1:10" x14ac:dyDescent="0.35">
      <c r="A33" s="33" t="s">
        <v>4241</v>
      </c>
      <c r="B33" s="1" t="s">
        <v>315</v>
      </c>
      <c r="C33" t="s">
        <v>43</v>
      </c>
      <c r="D33" t="s">
        <v>143</v>
      </c>
      <c r="E33" s="40" t="s">
        <v>32</v>
      </c>
      <c r="F33" s="33" t="s">
        <v>2592</v>
      </c>
      <c r="G33" s="33" t="s">
        <v>2593</v>
      </c>
      <c r="H33" t="s">
        <v>130</v>
      </c>
      <c r="I33" s="1" t="s">
        <v>529</v>
      </c>
      <c r="J33" s="3" t="s">
        <v>2594</v>
      </c>
    </row>
    <row r="34" spans="1:10" x14ac:dyDescent="0.35">
      <c r="E34" s="15"/>
      <c r="I34" t="s">
        <v>532</v>
      </c>
      <c r="J34" t="s">
        <v>2595</v>
      </c>
    </row>
    <row r="35" spans="1:10" x14ac:dyDescent="0.35">
      <c r="I35" t="s">
        <v>98</v>
      </c>
      <c r="J35" t="s">
        <v>2596</v>
      </c>
    </row>
    <row r="36" spans="1:10" x14ac:dyDescent="0.35">
      <c r="I36" t="s">
        <v>100</v>
      </c>
      <c r="J36" t="s">
        <v>2597</v>
      </c>
    </row>
    <row r="37" spans="1:10" x14ac:dyDescent="0.35">
      <c r="I37" t="s">
        <v>104</v>
      </c>
      <c r="J37" t="s">
        <v>4239</v>
      </c>
    </row>
    <row r="38" spans="1:10" x14ac:dyDescent="0.35">
      <c r="I38" s="38" t="s">
        <v>1249</v>
      </c>
      <c r="J38" s="36" t="s">
        <v>4242</v>
      </c>
    </row>
    <row r="39" spans="1:10" x14ac:dyDescent="0.35">
      <c r="A39" s="33" t="s">
        <v>3841</v>
      </c>
      <c r="B39" t="s">
        <v>3</v>
      </c>
      <c r="C39" t="s">
        <v>278</v>
      </c>
      <c r="D39" t="s">
        <v>30</v>
      </c>
      <c r="E39" s="40" t="s">
        <v>749</v>
      </c>
      <c r="F39" s="33" t="s">
        <v>529</v>
      </c>
      <c r="G39" s="33" t="s">
        <v>530</v>
      </c>
      <c r="H39" t="s">
        <v>73</v>
      </c>
      <c r="I39" s="1" t="s">
        <v>532</v>
      </c>
      <c r="J39" s="3" t="s">
        <v>533</v>
      </c>
    </row>
    <row r="40" spans="1:10" x14ac:dyDescent="0.35">
      <c r="E40" s="34"/>
      <c r="I40" t="s">
        <v>98</v>
      </c>
      <c r="J40" t="s">
        <v>531</v>
      </c>
    </row>
    <row r="41" spans="1:10" x14ac:dyDescent="0.35">
      <c r="I41" t="s">
        <v>100</v>
      </c>
      <c r="J41" t="s">
        <v>3842</v>
      </c>
    </row>
    <row r="42" spans="1:10" x14ac:dyDescent="0.35">
      <c r="I42" t="s">
        <v>104</v>
      </c>
      <c r="J42" s="36" t="s">
        <v>3843</v>
      </c>
    </row>
    <row r="43" spans="1:10" x14ac:dyDescent="0.35">
      <c r="I43" s="38" t="s">
        <v>1249</v>
      </c>
    </row>
    <row r="44" spans="1:10" x14ac:dyDescent="0.35">
      <c r="A44" s="33" t="s">
        <v>2737</v>
      </c>
      <c r="B44" t="s">
        <v>3</v>
      </c>
      <c r="C44" t="s">
        <v>43</v>
      </c>
      <c r="D44" t="s">
        <v>30</v>
      </c>
      <c r="E44" s="40" t="s">
        <v>156</v>
      </c>
      <c r="F44" s="33" t="s">
        <v>529</v>
      </c>
      <c r="G44" s="33" t="s">
        <v>530</v>
      </c>
      <c r="H44" t="s">
        <v>73</v>
      </c>
      <c r="I44" s="1" t="s">
        <v>532</v>
      </c>
      <c r="J44" s="3" t="s">
        <v>2592</v>
      </c>
    </row>
    <row r="45" spans="1:10" x14ac:dyDescent="0.35">
      <c r="E45" s="34" t="s">
        <v>608</v>
      </c>
      <c r="I45" t="s">
        <v>98</v>
      </c>
      <c r="J45" t="s">
        <v>2738</v>
      </c>
    </row>
    <row r="46" spans="1:10" x14ac:dyDescent="0.35">
      <c r="I46" t="s">
        <v>100</v>
      </c>
      <c r="J46" t="s">
        <v>2739</v>
      </c>
    </row>
    <row r="47" spans="1:10" x14ac:dyDescent="0.35">
      <c r="I47" t="s">
        <v>104</v>
      </c>
      <c r="J47" s="36" t="s">
        <v>2740</v>
      </c>
    </row>
    <row r="48" spans="1:10" x14ac:dyDescent="0.35">
      <c r="I48" s="38" t="s">
        <v>18</v>
      </c>
      <c r="J48" s="32"/>
    </row>
    <row r="49" spans="1:10" x14ac:dyDescent="0.35">
      <c r="A49" s="33" t="s">
        <v>2449</v>
      </c>
      <c r="B49" t="s">
        <v>3</v>
      </c>
      <c r="C49" t="s">
        <v>43</v>
      </c>
      <c r="D49" t="s">
        <v>41</v>
      </c>
      <c r="E49" s="40" t="s">
        <v>340</v>
      </c>
      <c r="F49" s="33" t="s">
        <v>529</v>
      </c>
      <c r="G49" s="33" t="s">
        <v>530</v>
      </c>
      <c r="H49" t="s">
        <v>73</v>
      </c>
      <c r="I49" s="1" t="s">
        <v>532</v>
      </c>
      <c r="J49" s="3" t="s">
        <v>2450</v>
      </c>
    </row>
    <row r="50" spans="1:10" x14ac:dyDescent="0.35">
      <c r="E50" s="34" t="s">
        <v>216</v>
      </c>
      <c r="I50" t="s">
        <v>98</v>
      </c>
      <c r="J50" t="s">
        <v>2451</v>
      </c>
    </row>
    <row r="51" spans="1:10" x14ac:dyDescent="0.35">
      <c r="I51" t="s">
        <v>100</v>
      </c>
      <c r="J51" t="s">
        <v>2452</v>
      </c>
    </row>
    <row r="52" spans="1:10" x14ac:dyDescent="0.35">
      <c r="I52" t="s">
        <v>104</v>
      </c>
      <c r="J52" t="s">
        <v>2453</v>
      </c>
    </row>
    <row r="53" spans="1:10" x14ac:dyDescent="0.35">
      <c r="I53" s="38" t="s">
        <v>18</v>
      </c>
      <c r="J53" s="36" t="s">
        <v>2454</v>
      </c>
    </row>
    <row r="54" spans="1:10" x14ac:dyDescent="0.35">
      <c r="A54" s="33" t="s">
        <v>3868</v>
      </c>
      <c r="B54" t="s">
        <v>3</v>
      </c>
      <c r="C54" t="s">
        <v>43</v>
      </c>
      <c r="D54" t="s">
        <v>41</v>
      </c>
      <c r="E54" s="40" t="s">
        <v>340</v>
      </c>
      <c r="F54" s="33" t="s">
        <v>529</v>
      </c>
      <c r="G54" s="33" t="s">
        <v>530</v>
      </c>
      <c r="H54" t="s">
        <v>73</v>
      </c>
      <c r="I54" s="1" t="s">
        <v>532</v>
      </c>
      <c r="J54" s="3" t="s">
        <v>2592</v>
      </c>
    </row>
    <row r="55" spans="1:10" x14ac:dyDescent="0.35">
      <c r="E55" s="15"/>
      <c r="I55" t="s">
        <v>98</v>
      </c>
      <c r="J55" t="s">
        <v>531</v>
      </c>
    </row>
    <row r="56" spans="1:10" x14ac:dyDescent="0.35">
      <c r="I56" t="s">
        <v>100</v>
      </c>
      <c r="J56" t="s">
        <v>2583</v>
      </c>
    </row>
    <row r="57" spans="1:10" x14ac:dyDescent="0.35">
      <c r="I57" t="s">
        <v>104</v>
      </c>
      <c r="J57" t="s">
        <v>3869</v>
      </c>
    </row>
    <row r="58" spans="1:10" x14ac:dyDescent="0.35">
      <c r="I58" s="38" t="s">
        <v>1249</v>
      </c>
      <c r="J58" s="36" t="s">
        <v>4304</v>
      </c>
    </row>
    <row r="59" spans="1:10" x14ac:dyDescent="0.35">
      <c r="A59" s="33" t="s">
        <v>3519</v>
      </c>
      <c r="B59" t="s">
        <v>3</v>
      </c>
      <c r="C59" t="s">
        <v>43</v>
      </c>
      <c r="D59" t="s">
        <v>64</v>
      </c>
      <c r="E59" s="40" t="s">
        <v>608</v>
      </c>
      <c r="F59" s="33" t="s">
        <v>2592</v>
      </c>
      <c r="G59" s="33" t="s">
        <v>2593</v>
      </c>
      <c r="H59" t="s">
        <v>130</v>
      </c>
      <c r="I59" s="1" t="s">
        <v>529</v>
      </c>
      <c r="J59" s="3" t="s">
        <v>2594</v>
      </c>
    </row>
    <row r="60" spans="1:10" x14ac:dyDescent="0.35">
      <c r="E60" s="15"/>
      <c r="I60" t="s">
        <v>532</v>
      </c>
      <c r="J60" t="s">
        <v>2595</v>
      </c>
    </row>
    <row r="61" spans="1:10" x14ac:dyDescent="0.35">
      <c r="I61" t="s">
        <v>98</v>
      </c>
      <c r="J61" t="s">
        <v>2596</v>
      </c>
    </row>
    <row r="62" spans="1:10" x14ac:dyDescent="0.35">
      <c r="I62" t="s">
        <v>100</v>
      </c>
      <c r="J62" t="s">
        <v>2597</v>
      </c>
    </row>
    <row r="63" spans="1:10" x14ac:dyDescent="0.35">
      <c r="I63" t="s">
        <v>104</v>
      </c>
      <c r="J63" t="s">
        <v>2598</v>
      </c>
    </row>
    <row r="64" spans="1:10" x14ac:dyDescent="0.35">
      <c r="I64" s="38" t="s">
        <v>1249</v>
      </c>
      <c r="J64" t="s">
        <v>3517</v>
      </c>
    </row>
    <row r="65" spans="1:10" x14ac:dyDescent="0.35">
      <c r="J65" s="36" t="s">
        <v>3518</v>
      </c>
    </row>
    <row r="66" spans="1:10" x14ac:dyDescent="0.35">
      <c r="A66" s="33" t="s">
        <v>3868</v>
      </c>
      <c r="B66" t="s">
        <v>3</v>
      </c>
      <c r="C66" t="s">
        <v>43</v>
      </c>
      <c r="D66" t="s">
        <v>159</v>
      </c>
      <c r="E66" s="34" t="s">
        <v>608</v>
      </c>
      <c r="F66" s="33" t="s">
        <v>529</v>
      </c>
      <c r="G66" s="33" t="s">
        <v>530</v>
      </c>
      <c r="H66" t="s">
        <v>73</v>
      </c>
      <c r="I66" s="1" t="s">
        <v>532</v>
      </c>
      <c r="J66" s="3" t="s">
        <v>2592</v>
      </c>
    </row>
    <row r="67" spans="1:10" x14ac:dyDescent="0.35">
      <c r="E67" s="40"/>
      <c r="I67" t="s">
        <v>98</v>
      </c>
      <c r="J67" t="s">
        <v>531</v>
      </c>
    </row>
    <row r="68" spans="1:10" x14ac:dyDescent="0.35">
      <c r="I68" t="s">
        <v>100</v>
      </c>
      <c r="J68" t="s">
        <v>2583</v>
      </c>
    </row>
    <row r="69" spans="1:10" x14ac:dyDescent="0.35">
      <c r="I69" t="s">
        <v>104</v>
      </c>
      <c r="J69" s="4" t="s">
        <v>3869</v>
      </c>
    </row>
    <row r="70" spans="1:10" x14ac:dyDescent="0.35">
      <c r="I70" s="38" t="s">
        <v>18</v>
      </c>
    </row>
  </sheetData>
  <hyperlinks>
    <hyperlink ref="A1" location="Summary!A1" tooltip="Return to Totals" display="Back to Totals" xr:uid="{6B830DF7-8BDD-40D6-945E-DD5FBDFD2B13}"/>
    <hyperlink ref="I7" r:id="rId1" xr:uid="{0C090C86-0C28-499A-9B35-E2C325441562}"/>
    <hyperlink ref="I53" r:id="rId2" xr:uid="{E2DA6DB7-DA17-48DD-A0EF-9941A41B6AF8}"/>
    <hyperlink ref="I48" r:id="rId3" xr:uid="{A7FF9104-5DA2-49CB-8978-2D43D8C54DAE}"/>
    <hyperlink ref="I31" r:id="rId4" xr:uid="{C52516F7-3781-4158-A851-0C2791328A38}"/>
    <hyperlink ref="F3" r:id="rId5" xr:uid="{55609D84-544E-41E9-92F0-D969DC066375}"/>
    <hyperlink ref="F49" r:id="rId6" xr:uid="{BFD240F9-0292-40CA-8948-81ED63004A11}"/>
    <hyperlink ref="F44" r:id="rId7" xr:uid="{16080826-4DBA-4D1C-8FF9-5C44FB6B6240}"/>
    <hyperlink ref="G44" r:id="rId8" xr:uid="{09DFEA76-CD82-4484-A76F-FA660A005992}"/>
    <hyperlink ref="G49" r:id="rId9" xr:uid="{40F23770-92D7-4704-BB37-F3C073F4CDC5}"/>
    <hyperlink ref="G3" r:id="rId10" xr:uid="{EC4FB733-4FD1-4D54-87C4-9D1D2A00B2E8}"/>
    <hyperlink ref="F26" r:id="rId11" xr:uid="{41F2C3F0-869B-4558-B971-08EC1EB2EDF9}"/>
    <hyperlink ref="G26" r:id="rId12" xr:uid="{9B578E11-B758-4108-9441-7C5B59FBA4DB}"/>
    <hyperlink ref="J6" r:id="rId13" xr:uid="{D2556EA9-A634-48A6-ACD7-698585BF682A}"/>
    <hyperlink ref="J53" r:id="rId14" xr:uid="{0407379F-B5BC-4E31-B0E2-A3984BA9CA81}"/>
    <hyperlink ref="J32" r:id="rId15" xr:uid="{07D3177B-DFAF-41EF-B9A6-78BC39AD22C6}"/>
    <hyperlink ref="J47" r:id="rId16" xr:uid="{0ED7866D-76A7-4FE1-9AF3-3A6CE7819B8B}"/>
    <hyperlink ref="A44" r:id="rId17" xr:uid="{71CF34B6-F201-4833-8775-169EC1B93A0F}"/>
    <hyperlink ref="A49" r:id="rId18" xr:uid="{1EF64FE4-7608-416E-A1E8-661306AD2D3C}"/>
    <hyperlink ref="A26" r:id="rId19" xr:uid="{3E707723-3EC9-489E-B90F-49EFEB85884B}"/>
    <hyperlink ref="A3" r:id="rId20" xr:uid="{ED8E9A71-7688-4FEC-A79E-71AF93557F40}"/>
    <hyperlink ref="E44" r:id="rId21" xr:uid="{A42B94BF-8EC1-485B-BFDF-AE3A25DFAD56}"/>
    <hyperlink ref="E45" r:id="rId22" xr:uid="{2E863C4E-DD6E-4E9D-B896-B626AEA65499}"/>
    <hyperlink ref="E50" r:id="rId23" xr:uid="{DB3DDA7B-7321-4BD5-9F0A-6123B9CAAF64}"/>
    <hyperlink ref="E49" r:id="rId24" xr:uid="{458052E6-9669-42F1-BF5E-DFFE901B6B71}"/>
    <hyperlink ref="E26" r:id="rId25" xr:uid="{C96A88C0-F770-424F-9E2C-89908AB801FA}"/>
    <hyperlink ref="E4" r:id="rId26" xr:uid="{C14AB5A6-B437-4C4F-86F9-9B3D47B3D87A}"/>
    <hyperlink ref="E3" r:id="rId27" xr:uid="{8D6E4F9C-28D2-466A-B386-B25365F54065}"/>
    <hyperlink ref="I64" r:id="rId28" xr:uid="{DA9DE874-A96F-48A1-8E52-6D0CCDEB94C8}"/>
    <hyperlink ref="F59" r:id="rId29" xr:uid="{3A1AFEB5-5AD1-4DBC-BA7D-9D1D585F38BC}"/>
    <hyperlink ref="G59" r:id="rId30" xr:uid="{2649526E-D933-44C5-9BE9-D1D3FAD715B6}"/>
    <hyperlink ref="J65" r:id="rId31" xr:uid="{DC4816CB-6964-44A5-96D7-84C726309297}"/>
    <hyperlink ref="A59" r:id="rId32" display="Joanne Bell" xr:uid="{023BA613-036E-462E-B337-0591BE823351}"/>
    <hyperlink ref="E59" r:id="rId33" display="24cM" xr:uid="{FB30EBA8-EE7C-406C-8DF5-248054C36C21}"/>
    <hyperlink ref="F39" r:id="rId34" xr:uid="{F10FDBA6-EC02-4277-9704-5A4237BE8127}"/>
    <hyperlink ref="G39" r:id="rId35" xr:uid="{CDB7141C-0DEF-4F2E-B3E9-8CC284EE05EB}"/>
    <hyperlink ref="J42" r:id="rId36" xr:uid="{2FC4971B-5426-4BD4-9A28-B0C51C177E7F}"/>
    <hyperlink ref="A39" r:id="rId37" xr:uid="{67F30E23-8EC9-4E5E-BDB2-C5738F690423}"/>
    <hyperlink ref="E39" r:id="rId38" xr:uid="{96A4522F-731D-430F-81A9-2FF887556CA0}"/>
    <hyperlink ref="A66" r:id="rId39" xr:uid="{5AF91597-BF41-43B9-81D3-090C73A1E530}"/>
    <hyperlink ref="E66" r:id="rId40" display="24cM" xr:uid="{185EE4A1-9102-400A-86B5-2A0B20F17F81}"/>
    <hyperlink ref="F66" r:id="rId41" xr:uid="{AFA145D7-3ED6-417A-9D94-E028559DDCDE}"/>
    <hyperlink ref="G66" r:id="rId42" xr:uid="{30CD67C9-2844-404E-BB2A-456814BC6F8D}"/>
    <hyperlink ref="I70" r:id="rId43" xr:uid="{6C2F2001-9A0A-4EC3-B60A-EC1C409E4C36}"/>
    <hyperlink ref="F8" r:id="rId44" xr:uid="{C3329DE1-0212-48D1-8E1C-3BD409ED0028}"/>
    <hyperlink ref="G8" r:id="rId45" xr:uid="{7D443CA5-2378-4A88-9C52-560968C6C5B0}"/>
    <hyperlink ref="A8" r:id="rId46" xr:uid="{3435E579-53F9-4C4C-B74C-A902E4E149F4}"/>
    <hyperlink ref="E8" r:id="rId47" xr:uid="{60E3F38A-D4A2-41D4-A00B-9213EEF01C60}"/>
    <hyperlink ref="J12" r:id="rId48" xr:uid="{313B1BE7-BFF2-4E99-9B44-FB96DC7C6FF4}"/>
    <hyperlink ref="I13" r:id="rId49" xr:uid="{75455C4D-0C12-4AEB-8D30-D907A1304ACA}"/>
    <hyperlink ref="F14" r:id="rId50" xr:uid="{3B53A854-5261-4FED-A8F5-30C10D00334D}"/>
    <hyperlink ref="G14" r:id="rId51" xr:uid="{AA76053F-6127-45A2-B666-4A89A3BCA8A1}"/>
    <hyperlink ref="A14" r:id="rId52" display="John Maffia" xr:uid="{55576657-0D56-4959-A8F0-C9072A624A60}"/>
    <hyperlink ref="E14" r:id="rId53" display="31cM" xr:uid="{A3B8E89D-D9A8-43B5-9EA4-59214421979E}"/>
    <hyperlink ref="I19" r:id="rId54" xr:uid="{A8F39AD6-3020-4A2A-9BD2-43D2B7AD0B64}"/>
    <hyperlink ref="J19" r:id="rId55" xr:uid="{7D85E152-2679-48F2-B4AA-57E655B817ED}"/>
    <hyperlink ref="I38" r:id="rId56" xr:uid="{A9AED2AF-41A6-49B8-BE90-AF007AB41BEE}"/>
    <hyperlink ref="F33" r:id="rId57" xr:uid="{5F64923F-DB63-4426-8949-7D04ABA66E65}"/>
    <hyperlink ref="G33" r:id="rId58" xr:uid="{8D4746C2-21B9-43EC-9439-6C0C4501024A}"/>
    <hyperlink ref="A33" r:id="rId59" xr:uid="{28BB40CB-7CF4-4797-9782-FF98FC3808E2}"/>
    <hyperlink ref="E33" r:id="rId60" xr:uid="{0819968B-60E7-4B46-AF52-114DBCAA598F}"/>
    <hyperlink ref="J38" r:id="rId61" xr:uid="{BAB070AB-BA21-495A-A4F8-5221AAE9E01F}"/>
    <hyperlink ref="E15" r:id="rId62" display="31cM" xr:uid="{7C0F5E6D-5EE6-49AC-9C89-0827001B6919}"/>
    <hyperlink ref="E9" r:id="rId63" xr:uid="{7005F016-F831-4BBF-80E1-8639B2E1544C}"/>
    <hyperlink ref="F20" r:id="rId64" xr:uid="{2A9AD5DA-DD35-459B-9420-A4E62BD22F2E}"/>
    <hyperlink ref="G20" r:id="rId65" xr:uid="{84C26E2F-A073-4E87-995D-AE4A4571DD38}"/>
    <hyperlink ref="A20" r:id="rId66" xr:uid="{F9DEB1CE-9023-4466-B0F5-4DE15E54AB76}"/>
    <hyperlink ref="E20" r:id="rId67" display="31cM" xr:uid="{BBAC19FD-07F3-4B5A-90DE-0FDBE8D1DAFD}"/>
    <hyperlink ref="I25" r:id="rId68" xr:uid="{0F69A258-58A6-41D7-82C1-3446E42BDEE1}"/>
    <hyperlink ref="J25" r:id="rId69" xr:uid="{A321C779-1D99-46AC-98C3-75DB2730CA22}"/>
    <hyperlink ref="A54" r:id="rId70" xr:uid="{80DD9631-E443-47FB-AC73-A5CD6E8E26A7}"/>
    <hyperlink ref="E54" r:id="rId71" xr:uid="{5E9A9C27-2A2B-4449-B8CD-EAD7B56CC0BC}"/>
    <hyperlink ref="F54" r:id="rId72" xr:uid="{8BBED846-67C7-4D3D-A3A8-2F056FA622E0}"/>
    <hyperlink ref="G54" r:id="rId73" xr:uid="{088BC8F5-7D0E-40F5-9F87-C6762312BA5F}"/>
    <hyperlink ref="J58" r:id="rId74" xr:uid="{312FD40A-FEEF-4893-8FA4-92BE0E5A6BFA}"/>
    <hyperlink ref="I43" r:id="rId75" xr:uid="{125CB494-DC46-4987-BCA7-A85575E8F38B}"/>
    <hyperlink ref="I58" r:id="rId76" xr:uid="{1CADA5CC-DCD9-491C-98D9-61D7900BD77E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41">
    <tabColor theme="3"/>
  </sheetPr>
  <dimension ref="A1:J44"/>
  <sheetViews>
    <sheetView workbookViewId="0"/>
  </sheetViews>
  <sheetFormatPr defaultRowHeight="14.5" x14ac:dyDescent="0.35"/>
  <cols>
    <col min="1" max="1" width="14.26953125" customWidth="1"/>
    <col min="2" max="2" width="15.36328125" customWidth="1"/>
    <col min="3" max="3" width="23.90625" customWidth="1"/>
    <col min="4" max="4" width="21.81640625" customWidth="1"/>
    <col min="5" max="5" width="12.26953125" customWidth="1"/>
    <col min="6" max="6" width="23.36328125" customWidth="1"/>
    <col min="7" max="7" width="26.453125" customWidth="1"/>
    <col min="8" max="8" width="25.1796875" customWidth="1"/>
    <col min="9" max="9" width="25" customWidth="1"/>
    <col min="10" max="10" width="20.81640625" customWidth="1"/>
  </cols>
  <sheetData>
    <row r="1" spans="1:10" x14ac:dyDescent="0.35">
      <c r="A1" s="34" t="s">
        <v>3196</v>
      </c>
      <c r="B1" s="16">
        <f>COUNTIF(I2:I1078,C1)+COUNTIF(I2:I1078,D1)</f>
        <v>4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t="s">
        <v>2921</v>
      </c>
      <c r="B3" s="1" t="s">
        <v>315</v>
      </c>
      <c r="C3" t="s">
        <v>43</v>
      </c>
      <c r="D3" t="s">
        <v>656</v>
      </c>
      <c r="E3" s="34" t="s">
        <v>179</v>
      </c>
      <c r="F3" s="33" t="s">
        <v>2171</v>
      </c>
      <c r="G3" s="33" t="s">
        <v>2172</v>
      </c>
      <c r="H3" t="s">
        <v>91</v>
      </c>
      <c r="I3" s="1" t="s">
        <v>783</v>
      </c>
      <c r="J3" s="3" t="s">
        <v>2910</v>
      </c>
    </row>
    <row r="4" spans="1:10" x14ac:dyDescent="0.35">
      <c r="E4" s="17"/>
      <c r="I4" t="s">
        <v>785</v>
      </c>
      <c r="J4" t="s">
        <v>2911</v>
      </c>
    </row>
    <row r="5" spans="1:10" x14ac:dyDescent="0.35">
      <c r="I5" t="s">
        <v>120</v>
      </c>
      <c r="J5" t="s">
        <v>2912</v>
      </c>
    </row>
    <row r="6" spans="1:10" x14ac:dyDescent="0.35">
      <c r="I6" t="s">
        <v>122</v>
      </c>
      <c r="J6" t="s">
        <v>2913</v>
      </c>
    </row>
    <row r="7" spans="1:10" x14ac:dyDescent="0.35">
      <c r="I7" t="s">
        <v>112</v>
      </c>
      <c r="J7" t="s">
        <v>2914</v>
      </c>
    </row>
    <row r="8" spans="1:10" x14ac:dyDescent="0.35">
      <c r="I8" t="s">
        <v>116</v>
      </c>
      <c r="J8" t="s">
        <v>2915</v>
      </c>
    </row>
    <row r="9" spans="1:10" x14ac:dyDescent="0.35">
      <c r="I9" t="s">
        <v>117</v>
      </c>
      <c r="J9" t="s">
        <v>2916</v>
      </c>
    </row>
    <row r="10" spans="1:10" x14ac:dyDescent="0.35">
      <c r="I10" t="s">
        <v>17</v>
      </c>
      <c r="J10" t="s">
        <v>2917</v>
      </c>
    </row>
    <row r="11" spans="1:10" x14ac:dyDescent="0.35">
      <c r="I11" s="38" t="s">
        <v>18</v>
      </c>
      <c r="J11" t="s">
        <v>2918</v>
      </c>
    </row>
    <row r="12" spans="1:10" x14ac:dyDescent="0.35">
      <c r="J12" t="s">
        <v>2919</v>
      </c>
    </row>
    <row r="13" spans="1:10" x14ac:dyDescent="0.35">
      <c r="J13" s="36" t="s">
        <v>2920</v>
      </c>
    </row>
    <row r="14" spans="1:10" x14ac:dyDescent="0.35">
      <c r="A14" s="33" t="s">
        <v>941</v>
      </c>
      <c r="B14" t="s">
        <v>3</v>
      </c>
      <c r="C14" t="s">
        <v>43</v>
      </c>
      <c r="D14" t="s">
        <v>1065</v>
      </c>
      <c r="E14" s="34" t="s">
        <v>179</v>
      </c>
      <c r="F14" s="33" t="s">
        <v>2171</v>
      </c>
      <c r="G14" s="33" t="s">
        <v>2172</v>
      </c>
      <c r="H14" t="s">
        <v>91</v>
      </c>
      <c r="I14" s="1" t="s">
        <v>783</v>
      </c>
      <c r="J14" s="3" t="s">
        <v>2173</v>
      </c>
    </row>
    <row r="15" spans="1:10" x14ac:dyDescent="0.35">
      <c r="E15" s="17"/>
      <c r="I15" t="s">
        <v>785</v>
      </c>
      <c r="J15" t="s">
        <v>2174</v>
      </c>
    </row>
    <row r="16" spans="1:10" x14ac:dyDescent="0.35">
      <c r="I16" t="s">
        <v>120</v>
      </c>
      <c r="J16" t="s">
        <v>2175</v>
      </c>
    </row>
    <row r="17" spans="1:10" x14ac:dyDescent="0.35">
      <c r="I17" t="s">
        <v>122</v>
      </c>
      <c r="J17" t="s">
        <v>2176</v>
      </c>
    </row>
    <row r="18" spans="1:10" x14ac:dyDescent="0.35">
      <c r="I18" t="s">
        <v>112</v>
      </c>
      <c r="J18" t="s">
        <v>2177</v>
      </c>
    </row>
    <row r="19" spans="1:10" x14ac:dyDescent="0.35">
      <c r="I19" t="s">
        <v>116</v>
      </c>
      <c r="J19" t="s">
        <v>2178</v>
      </c>
    </row>
    <row r="20" spans="1:10" x14ac:dyDescent="0.35">
      <c r="I20" t="s">
        <v>117</v>
      </c>
      <c r="J20" t="s">
        <v>2179</v>
      </c>
    </row>
    <row r="21" spans="1:10" x14ac:dyDescent="0.35">
      <c r="I21" t="s">
        <v>17</v>
      </c>
      <c r="J21" t="s">
        <v>2180</v>
      </c>
    </row>
    <row r="22" spans="1:10" x14ac:dyDescent="0.35">
      <c r="I22" s="38" t="s">
        <v>18</v>
      </c>
      <c r="J22" t="s">
        <v>2181</v>
      </c>
    </row>
    <row r="23" spans="1:10" x14ac:dyDescent="0.35">
      <c r="J23" s="36" t="s">
        <v>950</v>
      </c>
    </row>
    <row r="24" spans="1:10" x14ac:dyDescent="0.35">
      <c r="A24" s="33" t="s">
        <v>2258</v>
      </c>
      <c r="B24" t="s">
        <v>3</v>
      </c>
      <c r="C24" t="s">
        <v>43</v>
      </c>
      <c r="D24" t="s">
        <v>1186</v>
      </c>
      <c r="E24" s="34" t="s">
        <v>89</v>
      </c>
      <c r="F24" s="33" t="s">
        <v>783</v>
      </c>
      <c r="G24" s="33" t="s">
        <v>784</v>
      </c>
      <c r="H24" t="s">
        <v>413</v>
      </c>
      <c r="I24" s="1" t="s">
        <v>785</v>
      </c>
      <c r="J24" s="3" t="s">
        <v>786</v>
      </c>
    </row>
    <row r="25" spans="1:10" x14ac:dyDescent="0.35">
      <c r="E25" s="17"/>
      <c r="I25" t="s">
        <v>120</v>
      </c>
      <c r="J25" t="s">
        <v>2259</v>
      </c>
    </row>
    <row r="26" spans="1:10" x14ac:dyDescent="0.35">
      <c r="I26" t="s">
        <v>122</v>
      </c>
      <c r="J26" t="s">
        <v>2260</v>
      </c>
    </row>
    <row r="27" spans="1:10" x14ac:dyDescent="0.35">
      <c r="I27" t="s">
        <v>112</v>
      </c>
      <c r="J27" t="s">
        <v>2261</v>
      </c>
    </row>
    <row r="28" spans="1:10" x14ac:dyDescent="0.35">
      <c r="I28" t="s">
        <v>116</v>
      </c>
      <c r="J28" t="s">
        <v>2262</v>
      </c>
    </row>
    <row r="29" spans="1:10" x14ac:dyDescent="0.35">
      <c r="I29" t="s">
        <v>117</v>
      </c>
      <c r="J29" t="s">
        <v>2263</v>
      </c>
    </row>
    <row r="30" spans="1:10" x14ac:dyDescent="0.35">
      <c r="I30" t="s">
        <v>17</v>
      </c>
      <c r="J30" t="s">
        <v>2264</v>
      </c>
    </row>
    <row r="31" spans="1:10" x14ac:dyDescent="0.35">
      <c r="I31" s="38" t="s">
        <v>18</v>
      </c>
      <c r="J31" t="s">
        <v>2265</v>
      </c>
    </row>
    <row r="32" spans="1:10" x14ac:dyDescent="0.35">
      <c r="J32" t="s">
        <v>2266</v>
      </c>
    </row>
    <row r="33" spans="1:10" x14ac:dyDescent="0.35">
      <c r="J33" s="36" t="s">
        <v>2267</v>
      </c>
    </row>
    <row r="34" spans="1:10" x14ac:dyDescent="0.35">
      <c r="A34" s="33" t="s">
        <v>781</v>
      </c>
      <c r="B34" t="s">
        <v>3</v>
      </c>
      <c r="C34" t="s">
        <v>43</v>
      </c>
      <c r="D34" t="s">
        <v>782</v>
      </c>
      <c r="E34" s="34" t="s">
        <v>44</v>
      </c>
      <c r="F34" s="33" t="s">
        <v>783</v>
      </c>
      <c r="G34" s="33" t="s">
        <v>784</v>
      </c>
      <c r="H34" t="s">
        <v>413</v>
      </c>
      <c r="I34" s="1" t="s">
        <v>785</v>
      </c>
      <c r="J34" s="3" t="s">
        <v>786</v>
      </c>
    </row>
    <row r="35" spans="1:10" x14ac:dyDescent="0.35">
      <c r="E35" s="17"/>
      <c r="I35" t="s">
        <v>120</v>
      </c>
      <c r="J35" t="s">
        <v>787</v>
      </c>
    </row>
    <row r="36" spans="1:10" x14ac:dyDescent="0.35">
      <c r="I36" t="s">
        <v>122</v>
      </c>
      <c r="J36" t="s">
        <v>788</v>
      </c>
    </row>
    <row r="37" spans="1:10" x14ac:dyDescent="0.35">
      <c r="I37" t="s">
        <v>112</v>
      </c>
      <c r="J37" t="s">
        <v>789</v>
      </c>
    </row>
    <row r="38" spans="1:10" x14ac:dyDescent="0.35">
      <c r="I38" t="s">
        <v>116</v>
      </c>
      <c r="J38" t="s">
        <v>790</v>
      </c>
    </row>
    <row r="39" spans="1:10" x14ac:dyDescent="0.35">
      <c r="I39" t="s">
        <v>117</v>
      </c>
      <c r="J39" t="s">
        <v>791</v>
      </c>
    </row>
    <row r="40" spans="1:10" x14ac:dyDescent="0.35">
      <c r="I40" t="s">
        <v>17</v>
      </c>
      <c r="J40" t="s">
        <v>792</v>
      </c>
    </row>
    <row r="41" spans="1:10" x14ac:dyDescent="0.35">
      <c r="I41" s="38" t="s">
        <v>18</v>
      </c>
      <c r="J41" t="s">
        <v>793</v>
      </c>
    </row>
    <row r="42" spans="1:10" x14ac:dyDescent="0.35">
      <c r="J42" t="s">
        <v>794</v>
      </c>
    </row>
    <row r="43" spans="1:10" x14ac:dyDescent="0.35">
      <c r="J43" t="s">
        <v>795</v>
      </c>
    </row>
    <row r="44" spans="1:10" x14ac:dyDescent="0.35">
      <c r="J44" s="36" t="s">
        <v>781</v>
      </c>
    </row>
  </sheetData>
  <hyperlinks>
    <hyperlink ref="A1" location="Summary!A1" tooltip="Return to Totals" display="Back to Totals" xr:uid="{77D0BF1F-942E-4302-B1AF-7AF11EDD6EE7}"/>
    <hyperlink ref="I22" r:id="rId1" xr:uid="{D0FED4D1-1292-4728-9C1B-8FC239B9C5DE}"/>
    <hyperlink ref="I31" r:id="rId2" xr:uid="{F6B85401-8949-4AC7-8130-8CBC82A62363}"/>
    <hyperlink ref="I41" r:id="rId3" xr:uid="{35A263DC-858E-44B6-A61C-5BB62AA6630A}"/>
    <hyperlink ref="I11" r:id="rId4" xr:uid="{DAEA89AC-8ABA-401B-BB1A-F36688717438}"/>
    <hyperlink ref="J13" r:id="rId5" xr:uid="{0CAF5B4C-0597-4180-B3FA-75ADC7107EA7}"/>
    <hyperlink ref="F3" r:id="rId6" xr:uid="{8CF82C3B-04D0-43BB-97FB-4C7AFF25F849}"/>
    <hyperlink ref="F14" r:id="rId7" xr:uid="{16BB311C-2832-497A-9298-172F4AEAF826}"/>
    <hyperlink ref="G3" r:id="rId8" xr:uid="{64AE919A-B905-4082-B65C-A1F1FB5D6559}"/>
    <hyperlink ref="G14" r:id="rId9" xr:uid="{C45FE7D6-8EE8-4332-B3AF-56ADECC052D7}"/>
    <hyperlink ref="F24" r:id="rId10" xr:uid="{82D7BBBB-4B29-4577-9BD0-11DBBBB46FA2}"/>
    <hyperlink ref="F34" r:id="rId11" xr:uid="{7FB6AB17-6982-4C4A-AA66-1F171E4E7252}"/>
    <hyperlink ref="G34" r:id="rId12" xr:uid="{E4291F54-A073-48B1-94C7-C127D3ED3336}"/>
    <hyperlink ref="G24" r:id="rId13" xr:uid="{34EE36E9-A573-49FF-9215-123EED808FF6}"/>
    <hyperlink ref="J23" r:id="rId14" xr:uid="{B48CEF87-A5CD-4A4F-9CF6-D7F214C13D51}"/>
    <hyperlink ref="J33" r:id="rId15" xr:uid="{9409F837-2626-49E0-BF21-4889E2D3D548}"/>
    <hyperlink ref="J44" r:id="rId16" xr:uid="{30F736C1-65F7-45B6-9195-205F53EC4B91}"/>
    <hyperlink ref="A34" r:id="rId17" xr:uid="{45FE327F-166B-431C-893D-98704681A92D}"/>
    <hyperlink ref="A24" r:id="rId18" xr:uid="{8E874AD8-BCD7-47DB-805F-397376F214F1}"/>
    <hyperlink ref="A14" r:id="rId19" xr:uid="{C3AFEC6C-3FE8-40F6-90B4-9AA5592AA9D3}"/>
    <hyperlink ref="E34" r:id="rId20" xr:uid="{B93080D2-7875-4784-8C2B-BBDD3CA8A151}"/>
    <hyperlink ref="E24" r:id="rId21" xr:uid="{414C60DB-0BAD-439D-A775-D8C45DD36C2A}"/>
    <hyperlink ref="E14" r:id="rId22" xr:uid="{44D35EEA-FDA5-4804-939F-A7873ADEEE6F}"/>
    <hyperlink ref="E3" r:id="rId23" xr:uid="{5CD6C657-E01C-4C8D-A20A-D8F5275C295F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8AEDF-4D52-416D-AF59-B889658F0501}">
  <sheetPr>
    <tabColor rgb="FF7030A0"/>
  </sheetPr>
  <dimension ref="A1:J9"/>
  <sheetViews>
    <sheetView workbookViewId="0"/>
  </sheetViews>
  <sheetFormatPr defaultRowHeight="14.5" x14ac:dyDescent="0.35"/>
  <cols>
    <col min="1" max="1" width="14.08984375" customWidth="1"/>
    <col min="3" max="3" width="22.453125" customWidth="1"/>
    <col min="4" max="4" width="20.36328125" customWidth="1"/>
    <col min="5" max="5" width="11.6328125" customWidth="1"/>
    <col min="6" max="6" width="21.6328125" customWidth="1"/>
    <col min="7" max="7" width="24.81640625" customWidth="1"/>
    <col min="8" max="8" width="23.26953125" customWidth="1"/>
    <col min="9" max="9" width="25.90625" customWidth="1"/>
    <col min="10" max="10" width="25.26953125" customWidth="1"/>
  </cols>
  <sheetData>
    <row r="1" spans="1:10" x14ac:dyDescent="0.35">
      <c r="A1" s="34" t="s">
        <v>3196</v>
      </c>
      <c r="B1" s="16">
        <f>COUNTIF(I2:I1067,C1)+COUNTIF(I2:I1067,D1)</f>
        <v>1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3720</v>
      </c>
      <c r="B3" t="s">
        <v>3</v>
      </c>
      <c r="C3" t="s">
        <v>43</v>
      </c>
      <c r="D3" t="s">
        <v>888</v>
      </c>
      <c r="E3" s="34" t="s">
        <v>65</v>
      </c>
      <c r="G3" s="33" t="s">
        <v>3721</v>
      </c>
      <c r="H3" t="s">
        <v>54</v>
      </c>
      <c r="I3" s="1" t="s">
        <v>3722</v>
      </c>
      <c r="J3" s="3" t="s">
        <v>3723</v>
      </c>
    </row>
    <row r="4" spans="1:10" x14ac:dyDescent="0.35">
      <c r="I4" t="s">
        <v>1675</v>
      </c>
      <c r="J4" t="s">
        <v>3724</v>
      </c>
    </row>
    <row r="5" spans="1:10" x14ac:dyDescent="0.35">
      <c r="I5" t="s">
        <v>1676</v>
      </c>
      <c r="J5" t="s">
        <v>3725</v>
      </c>
    </row>
    <row r="6" spans="1:10" x14ac:dyDescent="0.35">
      <c r="I6" t="s">
        <v>1554</v>
      </c>
      <c r="J6" t="s">
        <v>3726</v>
      </c>
    </row>
    <row r="7" spans="1:10" x14ac:dyDescent="0.35">
      <c r="I7" t="s">
        <v>2125</v>
      </c>
      <c r="J7" s="36" t="s">
        <v>3727</v>
      </c>
    </row>
    <row r="8" spans="1:10" x14ac:dyDescent="0.35">
      <c r="I8" t="s">
        <v>104</v>
      </c>
    </row>
    <row r="9" spans="1:10" x14ac:dyDescent="0.35">
      <c r="I9" s="38" t="s">
        <v>18</v>
      </c>
    </row>
  </sheetData>
  <hyperlinks>
    <hyperlink ref="A1" location="Summary!A1" tooltip="Return to Totals" display="Back to Totals" xr:uid="{DB8EE041-B10B-4058-A3E5-AE2A40AF57FF}"/>
    <hyperlink ref="A3" r:id="rId1" xr:uid="{15FABCBF-A5D8-4A82-8142-7873F4701B15}"/>
    <hyperlink ref="G3" r:id="rId2" xr:uid="{0CBC082A-214F-402D-A265-66EE40427949}"/>
    <hyperlink ref="J7" r:id="rId3" xr:uid="{C8B318D2-33E2-45F1-A16E-EE5448520B4A}"/>
    <hyperlink ref="I9" r:id="rId4" xr:uid="{9CA60B90-898C-4EC1-B4E1-D6A2F24FFB64}"/>
    <hyperlink ref="E3" r:id="rId5" xr:uid="{FA9CD62C-12AE-486D-AC1E-96458AD23B42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42">
    <tabColor theme="2"/>
  </sheetPr>
  <dimension ref="A1:J131"/>
  <sheetViews>
    <sheetView topLeftCell="A19" workbookViewId="0">
      <selection activeCell="A28" sqref="A28"/>
    </sheetView>
  </sheetViews>
  <sheetFormatPr defaultRowHeight="14.5" x14ac:dyDescent="0.35"/>
  <cols>
    <col min="1" max="1" width="16.6328125" customWidth="1"/>
    <col min="2" max="2" width="16.26953125" customWidth="1"/>
    <col min="3" max="3" width="21.36328125" customWidth="1"/>
    <col min="4" max="4" width="23.6328125" customWidth="1"/>
    <col min="5" max="5" width="12.81640625" customWidth="1"/>
    <col min="6" max="6" width="24.453125" customWidth="1"/>
    <col min="7" max="7" width="25.81640625" customWidth="1"/>
    <col min="8" max="8" width="24.453125" customWidth="1"/>
    <col min="9" max="9" width="20.7265625" customWidth="1"/>
    <col min="10" max="10" width="22.1796875" customWidth="1"/>
  </cols>
  <sheetData>
    <row r="1" spans="1:10" x14ac:dyDescent="0.35">
      <c r="A1" s="34" t="s">
        <v>3196</v>
      </c>
      <c r="B1" s="16">
        <f>COUNTIF(I2:I1165,C1)+COUNTIF(I2:I1165,D1)</f>
        <v>19</v>
      </c>
      <c r="C1" s="9" t="s">
        <v>18</v>
      </c>
      <c r="D1" s="17" t="s">
        <v>1249</v>
      </c>
    </row>
    <row r="2" spans="1:10" s="11" customFormat="1" x14ac:dyDescent="0.35">
      <c r="A2" s="11" t="s">
        <v>0</v>
      </c>
      <c r="B2" s="11" t="s">
        <v>2</v>
      </c>
      <c r="C2" s="11" t="s">
        <v>4</v>
      </c>
      <c r="D2" s="11" t="s">
        <v>5</v>
      </c>
      <c r="E2" s="11" t="s">
        <v>7</v>
      </c>
      <c r="F2" s="11" t="s">
        <v>10</v>
      </c>
      <c r="G2" s="11" t="s">
        <v>11</v>
      </c>
      <c r="H2" s="11" t="s">
        <v>23</v>
      </c>
      <c r="I2" s="11" t="s">
        <v>15</v>
      </c>
      <c r="J2" s="11" t="s">
        <v>14</v>
      </c>
    </row>
    <row r="3" spans="1:10" x14ac:dyDescent="0.35">
      <c r="A3" s="33" t="s">
        <v>3464</v>
      </c>
      <c r="B3" t="s">
        <v>3</v>
      </c>
      <c r="C3" t="s">
        <v>25</v>
      </c>
      <c r="D3" t="s">
        <v>143</v>
      </c>
      <c r="E3" s="34" t="s">
        <v>2750</v>
      </c>
      <c r="F3" s="33" t="s">
        <v>438</v>
      </c>
      <c r="G3" s="33" t="s">
        <v>2702</v>
      </c>
      <c r="H3" t="s">
        <v>130</v>
      </c>
      <c r="I3" s="1" t="s">
        <v>375</v>
      </c>
      <c r="J3" s="3" t="s">
        <v>3458</v>
      </c>
    </row>
    <row r="4" spans="1:10" x14ac:dyDescent="0.35">
      <c r="E4" s="100" t="s">
        <v>608</v>
      </c>
      <c r="I4" t="s">
        <v>344</v>
      </c>
      <c r="J4" t="s">
        <v>3459</v>
      </c>
    </row>
    <row r="5" spans="1:10" x14ac:dyDescent="0.35">
      <c r="I5" t="s">
        <v>346</v>
      </c>
      <c r="J5" t="s">
        <v>3460</v>
      </c>
    </row>
    <row r="6" spans="1:10" x14ac:dyDescent="0.35">
      <c r="I6" t="s">
        <v>1555</v>
      </c>
      <c r="J6" t="s">
        <v>3461</v>
      </c>
    </row>
    <row r="7" spans="1:10" x14ac:dyDescent="0.35">
      <c r="I7" t="s">
        <v>104</v>
      </c>
      <c r="J7" t="s">
        <v>3462</v>
      </c>
    </row>
    <row r="8" spans="1:10" x14ac:dyDescent="0.35">
      <c r="I8" s="38" t="s">
        <v>18</v>
      </c>
      <c r="J8" s="36" t="s">
        <v>3463</v>
      </c>
    </row>
    <row r="9" spans="1:10" x14ac:dyDescent="0.35">
      <c r="A9" s="33" t="s">
        <v>3824</v>
      </c>
      <c r="B9" t="s">
        <v>3</v>
      </c>
      <c r="C9" t="s">
        <v>25</v>
      </c>
      <c r="D9" t="s">
        <v>143</v>
      </c>
      <c r="E9" s="100" t="s">
        <v>2750</v>
      </c>
      <c r="F9" s="33" t="s">
        <v>438</v>
      </c>
      <c r="G9" s="33" t="s">
        <v>2702</v>
      </c>
      <c r="H9" t="s">
        <v>130</v>
      </c>
      <c r="I9" s="1" t="s">
        <v>375</v>
      </c>
      <c r="J9" s="3" t="s">
        <v>3458</v>
      </c>
    </row>
    <row r="10" spans="1:10" x14ac:dyDescent="0.35">
      <c r="E10" s="34"/>
      <c r="I10" t="s">
        <v>344</v>
      </c>
      <c r="J10" t="s">
        <v>3459</v>
      </c>
    </row>
    <row r="11" spans="1:10" x14ac:dyDescent="0.35">
      <c r="I11" t="s">
        <v>346</v>
      </c>
      <c r="J11" t="s">
        <v>3460</v>
      </c>
    </row>
    <row r="12" spans="1:10" x14ac:dyDescent="0.35">
      <c r="I12" t="s">
        <v>1555</v>
      </c>
      <c r="J12" t="s">
        <v>3461</v>
      </c>
    </row>
    <row r="13" spans="1:10" x14ac:dyDescent="0.35">
      <c r="I13" t="s">
        <v>104</v>
      </c>
      <c r="J13" t="s">
        <v>3462</v>
      </c>
    </row>
    <row r="14" spans="1:10" x14ac:dyDescent="0.35">
      <c r="I14" s="38" t="s">
        <v>18</v>
      </c>
      <c r="J14" s="36" t="s">
        <v>3825</v>
      </c>
    </row>
    <row r="15" spans="1:10" x14ac:dyDescent="0.35">
      <c r="A15" s="33" t="s">
        <v>3826</v>
      </c>
      <c r="B15" t="s">
        <v>3</v>
      </c>
      <c r="C15" t="s">
        <v>25</v>
      </c>
      <c r="D15" t="s">
        <v>143</v>
      </c>
      <c r="E15" s="100" t="s">
        <v>1322</v>
      </c>
      <c r="F15" s="33" t="s">
        <v>438</v>
      </c>
      <c r="G15" s="33" t="s">
        <v>2702</v>
      </c>
      <c r="H15" t="s">
        <v>130</v>
      </c>
      <c r="I15" s="1" t="s">
        <v>375</v>
      </c>
      <c r="J15" s="3" t="s">
        <v>3458</v>
      </c>
    </row>
    <row r="16" spans="1:10" x14ac:dyDescent="0.35">
      <c r="E16" s="34"/>
      <c r="I16" t="s">
        <v>344</v>
      </c>
      <c r="J16" t="s">
        <v>3459</v>
      </c>
    </row>
    <row r="17" spans="1:10" x14ac:dyDescent="0.35">
      <c r="I17" t="s">
        <v>346</v>
      </c>
      <c r="J17" t="s">
        <v>3460</v>
      </c>
    </row>
    <row r="18" spans="1:10" x14ac:dyDescent="0.35">
      <c r="I18" t="s">
        <v>1555</v>
      </c>
      <c r="J18" t="s">
        <v>3461</v>
      </c>
    </row>
    <row r="19" spans="1:10" x14ac:dyDescent="0.35">
      <c r="I19" t="s">
        <v>104</v>
      </c>
      <c r="J19" t="s">
        <v>3462</v>
      </c>
    </row>
    <row r="20" spans="1:10" x14ac:dyDescent="0.35">
      <c r="I20" s="38" t="s">
        <v>18</v>
      </c>
      <c r="J20" s="36" t="s">
        <v>3827</v>
      </c>
    </row>
    <row r="21" spans="1:10" x14ac:dyDescent="0.35">
      <c r="A21" s="33" t="s">
        <v>2486</v>
      </c>
      <c r="B21" s="2" t="s">
        <v>517</v>
      </c>
      <c r="C21" t="s">
        <v>25</v>
      </c>
      <c r="D21" t="s">
        <v>64</v>
      </c>
      <c r="E21" s="34" t="s">
        <v>585</v>
      </c>
      <c r="F21" s="33" t="s">
        <v>438</v>
      </c>
      <c r="G21" s="33" t="s">
        <v>2702</v>
      </c>
      <c r="H21" t="s">
        <v>130</v>
      </c>
      <c r="I21" s="1" t="s">
        <v>375</v>
      </c>
      <c r="J21" s="3" t="s">
        <v>2742</v>
      </c>
    </row>
    <row r="22" spans="1:10" x14ac:dyDescent="0.35">
      <c r="A22" s="33" t="s">
        <v>2486</v>
      </c>
      <c r="B22" t="s">
        <v>3</v>
      </c>
      <c r="E22" s="28"/>
      <c r="I22" t="s">
        <v>344</v>
      </c>
      <c r="J22" t="s">
        <v>2487</v>
      </c>
    </row>
    <row r="23" spans="1:10" x14ac:dyDescent="0.35">
      <c r="I23" t="s">
        <v>346</v>
      </c>
      <c r="J23" t="s">
        <v>2488</v>
      </c>
    </row>
    <row r="24" spans="1:10" x14ac:dyDescent="0.35">
      <c r="I24" t="s">
        <v>1555</v>
      </c>
      <c r="J24" t="s">
        <v>2489</v>
      </c>
    </row>
    <row r="25" spans="1:10" x14ac:dyDescent="0.35">
      <c r="I25" t="s">
        <v>104</v>
      </c>
      <c r="J25" t="s">
        <v>2490</v>
      </c>
    </row>
    <row r="26" spans="1:10" x14ac:dyDescent="0.35">
      <c r="I26" s="38" t="s">
        <v>18</v>
      </c>
      <c r="J26" t="s">
        <v>2491</v>
      </c>
    </row>
    <row r="27" spans="1:10" x14ac:dyDescent="0.35">
      <c r="I27" s="37"/>
      <c r="J27" s="36" t="s">
        <v>2486</v>
      </c>
    </row>
    <row r="28" spans="1:10" x14ac:dyDescent="0.35">
      <c r="A28" s="33" t="s">
        <v>4379</v>
      </c>
      <c r="B28" t="s">
        <v>3</v>
      </c>
      <c r="C28" t="s">
        <v>25</v>
      </c>
      <c r="D28" t="s">
        <v>184</v>
      </c>
      <c r="E28" s="34" t="s">
        <v>32</v>
      </c>
      <c r="F28" s="33" t="s">
        <v>438</v>
      </c>
      <c r="G28" s="33" t="s">
        <v>2702</v>
      </c>
      <c r="H28" t="s">
        <v>130</v>
      </c>
      <c r="I28" s="1" t="s">
        <v>375</v>
      </c>
      <c r="J28" s="3" t="s">
        <v>2742</v>
      </c>
    </row>
    <row r="29" spans="1:10" x14ac:dyDescent="0.35">
      <c r="E29" s="100"/>
      <c r="I29" t="s">
        <v>344</v>
      </c>
      <c r="J29" t="s">
        <v>4380</v>
      </c>
    </row>
    <row r="30" spans="1:10" x14ac:dyDescent="0.35">
      <c r="I30" t="s">
        <v>346</v>
      </c>
      <c r="J30" t="s">
        <v>2488</v>
      </c>
    </row>
    <row r="31" spans="1:10" x14ac:dyDescent="0.35">
      <c r="I31" t="s">
        <v>1555</v>
      </c>
      <c r="J31" t="s">
        <v>4381</v>
      </c>
    </row>
    <row r="32" spans="1:10" x14ac:dyDescent="0.35">
      <c r="I32" t="s">
        <v>104</v>
      </c>
      <c r="J32" t="s">
        <v>4382</v>
      </c>
    </row>
    <row r="33" spans="1:10" x14ac:dyDescent="0.35">
      <c r="I33" s="38" t="s">
        <v>18</v>
      </c>
      <c r="J33" s="36" t="s">
        <v>4383</v>
      </c>
    </row>
    <row r="34" spans="1:10" x14ac:dyDescent="0.35">
      <c r="A34" s="33" t="s">
        <v>3631</v>
      </c>
      <c r="B34" t="s">
        <v>3</v>
      </c>
      <c r="C34" t="s">
        <v>25</v>
      </c>
      <c r="D34" t="s">
        <v>64</v>
      </c>
      <c r="E34" s="34" t="s">
        <v>749</v>
      </c>
      <c r="F34" s="33" t="s">
        <v>438</v>
      </c>
      <c r="G34" s="33" t="s">
        <v>2702</v>
      </c>
      <c r="H34" t="s">
        <v>130</v>
      </c>
      <c r="I34" s="1" t="s">
        <v>375</v>
      </c>
      <c r="J34" s="3" t="s">
        <v>2742</v>
      </c>
    </row>
    <row r="35" spans="1:10" x14ac:dyDescent="0.35">
      <c r="E35" s="100"/>
      <c r="I35" t="s">
        <v>344</v>
      </c>
      <c r="J35" t="s">
        <v>2001</v>
      </c>
    </row>
    <row r="36" spans="1:10" x14ac:dyDescent="0.35">
      <c r="I36" t="s">
        <v>346</v>
      </c>
      <c r="J36" t="s">
        <v>2001</v>
      </c>
    </row>
    <row r="37" spans="1:10" x14ac:dyDescent="0.35">
      <c r="I37" t="s">
        <v>1555</v>
      </c>
      <c r="J37" t="s">
        <v>3632</v>
      </c>
    </row>
    <row r="38" spans="1:10" x14ac:dyDescent="0.35">
      <c r="I38" t="s">
        <v>104</v>
      </c>
      <c r="J38" t="s">
        <v>3633</v>
      </c>
    </row>
    <row r="39" spans="1:10" x14ac:dyDescent="0.35">
      <c r="I39" s="38" t="s">
        <v>18</v>
      </c>
      <c r="J39" t="s">
        <v>3634</v>
      </c>
    </row>
    <row r="40" spans="1:10" x14ac:dyDescent="0.35">
      <c r="I40" s="37"/>
      <c r="J40" s="36" t="s">
        <v>3635</v>
      </c>
    </row>
    <row r="41" spans="1:10" x14ac:dyDescent="0.35">
      <c r="A41" s="33" t="s">
        <v>3395</v>
      </c>
      <c r="B41" t="s">
        <v>3</v>
      </c>
      <c r="C41" t="s">
        <v>25</v>
      </c>
      <c r="D41" t="s">
        <v>414</v>
      </c>
      <c r="E41" s="34" t="s">
        <v>327</v>
      </c>
      <c r="F41" s="33" t="s">
        <v>438</v>
      </c>
      <c r="G41" s="33" t="s">
        <v>2702</v>
      </c>
      <c r="H41" t="s">
        <v>130</v>
      </c>
      <c r="I41" s="1" t="s">
        <v>375</v>
      </c>
      <c r="J41" s="3" t="s">
        <v>2703</v>
      </c>
    </row>
    <row r="42" spans="1:10" x14ac:dyDescent="0.35">
      <c r="A42" s="33" t="s">
        <v>3395</v>
      </c>
      <c r="B42" s="2" t="s">
        <v>517</v>
      </c>
      <c r="I42" t="s">
        <v>344</v>
      </c>
      <c r="J42" t="s">
        <v>3396</v>
      </c>
    </row>
    <row r="43" spans="1:10" x14ac:dyDescent="0.35">
      <c r="I43" t="s">
        <v>346</v>
      </c>
      <c r="J43" t="s">
        <v>3397</v>
      </c>
    </row>
    <row r="44" spans="1:10" x14ac:dyDescent="0.35">
      <c r="I44" t="s">
        <v>1555</v>
      </c>
      <c r="J44" t="s">
        <v>3398</v>
      </c>
    </row>
    <row r="45" spans="1:10" x14ac:dyDescent="0.35">
      <c r="I45" t="s">
        <v>104</v>
      </c>
      <c r="J45" t="s">
        <v>3399</v>
      </c>
    </row>
    <row r="46" spans="1:10" x14ac:dyDescent="0.35">
      <c r="I46" s="38" t="s">
        <v>18</v>
      </c>
      <c r="J46" t="s">
        <v>3400</v>
      </c>
    </row>
    <row r="47" spans="1:10" x14ac:dyDescent="0.35">
      <c r="J47" s="36" t="s">
        <v>3395</v>
      </c>
    </row>
    <row r="48" spans="1:10" x14ac:dyDescent="0.35">
      <c r="A48" s="33" t="s">
        <v>2841</v>
      </c>
      <c r="B48" s="2" t="s">
        <v>517</v>
      </c>
      <c r="C48" t="s">
        <v>25</v>
      </c>
      <c r="D48" t="s">
        <v>414</v>
      </c>
      <c r="E48" s="34" t="s">
        <v>327</v>
      </c>
      <c r="F48" s="33" t="s">
        <v>438</v>
      </c>
      <c r="G48" s="33" t="s">
        <v>2702</v>
      </c>
      <c r="H48" t="s">
        <v>130</v>
      </c>
      <c r="I48" s="1" t="s">
        <v>375</v>
      </c>
      <c r="J48" s="3" t="s">
        <v>2742</v>
      </c>
    </row>
    <row r="49" spans="1:10" x14ac:dyDescent="0.35">
      <c r="I49" t="s">
        <v>344</v>
      </c>
      <c r="J49" t="s">
        <v>2487</v>
      </c>
    </row>
    <row r="50" spans="1:10" x14ac:dyDescent="0.35">
      <c r="I50" t="s">
        <v>346</v>
      </c>
      <c r="J50" t="s">
        <v>2488</v>
      </c>
    </row>
    <row r="51" spans="1:10" x14ac:dyDescent="0.35">
      <c r="I51" t="s">
        <v>1555</v>
      </c>
      <c r="J51" t="s">
        <v>2489</v>
      </c>
    </row>
    <row r="52" spans="1:10" x14ac:dyDescent="0.35">
      <c r="I52" t="s">
        <v>104</v>
      </c>
      <c r="J52" t="s">
        <v>2490</v>
      </c>
    </row>
    <row r="53" spans="1:10" x14ac:dyDescent="0.35">
      <c r="I53" s="38" t="s">
        <v>18</v>
      </c>
      <c r="J53" t="s">
        <v>2491</v>
      </c>
    </row>
    <row r="54" spans="1:10" x14ac:dyDescent="0.35">
      <c r="J54" t="s">
        <v>2843</v>
      </c>
    </row>
    <row r="55" spans="1:10" x14ac:dyDescent="0.35">
      <c r="J55" s="36" t="s">
        <v>2842</v>
      </c>
    </row>
    <row r="56" spans="1:10" x14ac:dyDescent="0.35">
      <c r="A56" s="33" t="s">
        <v>3848</v>
      </c>
      <c r="B56" t="s">
        <v>3</v>
      </c>
      <c r="C56" t="s">
        <v>25</v>
      </c>
      <c r="D56" t="s">
        <v>143</v>
      </c>
      <c r="E56" s="34" t="s">
        <v>169</v>
      </c>
      <c r="F56" s="33" t="s">
        <v>438</v>
      </c>
      <c r="G56" s="33" t="s">
        <v>2702</v>
      </c>
      <c r="H56" t="s">
        <v>130</v>
      </c>
      <c r="I56" s="1" t="s">
        <v>375</v>
      </c>
      <c r="J56" s="3" t="s">
        <v>3458</v>
      </c>
    </row>
    <row r="57" spans="1:10" x14ac:dyDescent="0.35">
      <c r="I57" t="s">
        <v>344</v>
      </c>
      <c r="J57" t="s">
        <v>3546</v>
      </c>
    </row>
    <row r="58" spans="1:10" x14ac:dyDescent="0.35">
      <c r="I58" t="s">
        <v>346</v>
      </c>
      <c r="J58" t="s">
        <v>3460</v>
      </c>
    </row>
    <row r="59" spans="1:10" x14ac:dyDescent="0.35">
      <c r="I59" t="s">
        <v>1555</v>
      </c>
      <c r="J59" t="s">
        <v>3461</v>
      </c>
    </row>
    <row r="60" spans="1:10" x14ac:dyDescent="0.35">
      <c r="I60" t="s">
        <v>104</v>
      </c>
      <c r="J60" t="s">
        <v>3462</v>
      </c>
    </row>
    <row r="61" spans="1:10" x14ac:dyDescent="0.35">
      <c r="I61" s="38" t="s">
        <v>18</v>
      </c>
      <c r="J61" s="36" t="s">
        <v>3849</v>
      </c>
    </row>
    <row r="62" spans="1:10" x14ac:dyDescent="0.35">
      <c r="A62" s="33" t="s">
        <v>3887</v>
      </c>
      <c r="B62" t="s">
        <v>3</v>
      </c>
      <c r="C62" t="s">
        <v>43</v>
      </c>
      <c r="D62" t="s">
        <v>184</v>
      </c>
      <c r="E62" s="34" t="s">
        <v>189</v>
      </c>
      <c r="F62" s="33" t="s">
        <v>438</v>
      </c>
      <c r="G62" s="33" t="s">
        <v>2702</v>
      </c>
      <c r="H62" t="s">
        <v>130</v>
      </c>
      <c r="I62" s="1" t="s">
        <v>375</v>
      </c>
      <c r="J62" s="3" t="s">
        <v>3458</v>
      </c>
    </row>
    <row r="63" spans="1:10" x14ac:dyDescent="0.35">
      <c r="E63" s="40"/>
      <c r="I63" t="s">
        <v>357</v>
      </c>
      <c r="J63" t="s">
        <v>3546</v>
      </c>
    </row>
    <row r="64" spans="1:10" x14ac:dyDescent="0.35">
      <c r="I64" t="s">
        <v>346</v>
      </c>
      <c r="J64" t="s">
        <v>3460</v>
      </c>
    </row>
    <row r="65" spans="1:10" x14ac:dyDescent="0.35">
      <c r="I65" t="s">
        <v>1555</v>
      </c>
      <c r="J65" t="s">
        <v>3461</v>
      </c>
    </row>
    <row r="66" spans="1:10" x14ac:dyDescent="0.35">
      <c r="I66" t="s">
        <v>104</v>
      </c>
      <c r="J66" t="s">
        <v>3462</v>
      </c>
    </row>
    <row r="67" spans="1:10" x14ac:dyDescent="0.35">
      <c r="I67" s="38" t="s">
        <v>1249</v>
      </c>
      <c r="J67" s="36" t="s">
        <v>3888</v>
      </c>
    </row>
    <row r="68" spans="1:10" x14ac:dyDescent="0.35">
      <c r="A68" s="33" t="s">
        <v>4253</v>
      </c>
      <c r="B68" t="s">
        <v>3</v>
      </c>
      <c r="C68" t="s">
        <v>43</v>
      </c>
      <c r="D68" t="s">
        <v>64</v>
      </c>
      <c r="E68" s="34" t="s">
        <v>201</v>
      </c>
      <c r="F68" s="33" t="s">
        <v>438</v>
      </c>
      <c r="G68" s="33" t="s">
        <v>439</v>
      </c>
      <c r="H68" t="s">
        <v>54</v>
      </c>
      <c r="I68" s="1" t="s">
        <v>438</v>
      </c>
      <c r="J68" s="3" t="s">
        <v>1137</v>
      </c>
    </row>
    <row r="69" spans="1:10" x14ac:dyDescent="0.35">
      <c r="E69" s="54"/>
      <c r="I69" t="s">
        <v>375</v>
      </c>
      <c r="J69" t="s">
        <v>3458</v>
      </c>
    </row>
    <row r="70" spans="1:10" x14ac:dyDescent="0.35">
      <c r="I70" t="s">
        <v>357</v>
      </c>
      <c r="J70" t="s">
        <v>4254</v>
      </c>
    </row>
    <row r="71" spans="1:10" x14ac:dyDescent="0.35">
      <c r="I71" t="s">
        <v>346</v>
      </c>
      <c r="J71" t="s">
        <v>4255</v>
      </c>
    </row>
    <row r="72" spans="1:10" x14ac:dyDescent="0.35">
      <c r="I72" t="s">
        <v>1555</v>
      </c>
      <c r="J72" t="s">
        <v>4255</v>
      </c>
    </row>
    <row r="73" spans="1:10" x14ac:dyDescent="0.35">
      <c r="I73" t="s">
        <v>104</v>
      </c>
      <c r="J73" s="36" t="s">
        <v>4256</v>
      </c>
    </row>
    <row r="74" spans="1:10" x14ac:dyDescent="0.35">
      <c r="I74" s="38" t="s">
        <v>18</v>
      </c>
    </row>
    <row r="75" spans="1:10" x14ac:dyDescent="0.35">
      <c r="A75" s="33" t="s">
        <v>3550</v>
      </c>
      <c r="B75" t="s">
        <v>3</v>
      </c>
      <c r="C75" t="s">
        <v>43</v>
      </c>
      <c r="D75" t="s">
        <v>184</v>
      </c>
      <c r="E75" s="40" t="s">
        <v>201</v>
      </c>
      <c r="F75" s="33" t="s">
        <v>438</v>
      </c>
      <c r="G75" s="33" t="s">
        <v>2702</v>
      </c>
      <c r="H75" t="s">
        <v>130</v>
      </c>
      <c r="I75" s="1" t="s">
        <v>375</v>
      </c>
      <c r="J75" s="3" t="s">
        <v>3458</v>
      </c>
    </row>
    <row r="76" spans="1:10" x14ac:dyDescent="0.35">
      <c r="E76" s="34"/>
      <c r="I76" t="s">
        <v>357</v>
      </c>
      <c r="J76" t="s">
        <v>3546</v>
      </c>
    </row>
    <row r="77" spans="1:10" x14ac:dyDescent="0.35">
      <c r="I77" t="s">
        <v>346</v>
      </c>
      <c r="J77" t="s">
        <v>3460</v>
      </c>
    </row>
    <row r="78" spans="1:10" x14ac:dyDescent="0.35">
      <c r="I78" t="s">
        <v>1555</v>
      </c>
      <c r="J78" t="s">
        <v>3547</v>
      </c>
    </row>
    <row r="79" spans="1:10" x14ac:dyDescent="0.35">
      <c r="I79" t="s">
        <v>104</v>
      </c>
      <c r="J79" t="s">
        <v>3548</v>
      </c>
    </row>
    <row r="80" spans="1:10" x14ac:dyDescent="0.35">
      <c r="I80" s="38" t="s">
        <v>1249</v>
      </c>
      <c r="J80" s="36" t="s">
        <v>3549</v>
      </c>
    </row>
    <row r="81" spans="1:10" x14ac:dyDescent="0.35">
      <c r="A81" s="33" t="s">
        <v>4257</v>
      </c>
      <c r="B81" t="s">
        <v>3</v>
      </c>
      <c r="C81" t="s">
        <v>43</v>
      </c>
      <c r="D81" t="s">
        <v>64</v>
      </c>
      <c r="E81" s="34" t="s">
        <v>72</v>
      </c>
      <c r="F81" s="33" t="s">
        <v>438</v>
      </c>
      <c r="G81" s="33" t="s">
        <v>439</v>
      </c>
      <c r="H81" t="s">
        <v>54</v>
      </c>
      <c r="I81" s="1" t="s">
        <v>438</v>
      </c>
      <c r="J81" s="3" t="s">
        <v>1137</v>
      </c>
    </row>
    <row r="82" spans="1:10" x14ac:dyDescent="0.35">
      <c r="E82" s="54"/>
      <c r="I82" t="s">
        <v>375</v>
      </c>
      <c r="J82" t="s">
        <v>3458</v>
      </c>
    </row>
    <row r="83" spans="1:10" x14ac:dyDescent="0.35">
      <c r="I83" t="s">
        <v>357</v>
      </c>
      <c r="J83" t="s">
        <v>4254</v>
      </c>
    </row>
    <row r="84" spans="1:10" x14ac:dyDescent="0.35">
      <c r="I84" t="s">
        <v>346</v>
      </c>
      <c r="J84" t="s">
        <v>4255</v>
      </c>
    </row>
    <row r="85" spans="1:10" x14ac:dyDescent="0.35">
      <c r="I85" t="s">
        <v>1555</v>
      </c>
      <c r="J85" t="s">
        <v>4255</v>
      </c>
    </row>
    <row r="86" spans="1:10" x14ac:dyDescent="0.35">
      <c r="I86" t="s">
        <v>104</v>
      </c>
      <c r="J86" s="36" t="s">
        <v>4257</v>
      </c>
    </row>
    <row r="87" spans="1:10" x14ac:dyDescent="0.35">
      <c r="I87" s="38" t="s">
        <v>18</v>
      </c>
    </row>
    <row r="88" spans="1:10" x14ac:dyDescent="0.35">
      <c r="A88" s="33" t="s">
        <v>4258</v>
      </c>
      <c r="B88" t="s">
        <v>3</v>
      </c>
      <c r="C88" t="s">
        <v>43</v>
      </c>
      <c r="D88" t="s">
        <v>1346</v>
      </c>
      <c r="E88" s="34" t="s">
        <v>65</v>
      </c>
      <c r="F88" s="33" t="s">
        <v>438</v>
      </c>
      <c r="G88" s="33" t="s">
        <v>439</v>
      </c>
      <c r="H88" t="s">
        <v>54</v>
      </c>
      <c r="I88" s="1" t="s">
        <v>438</v>
      </c>
      <c r="J88" s="3" t="s">
        <v>1137</v>
      </c>
    </row>
    <row r="89" spans="1:10" x14ac:dyDescent="0.35">
      <c r="E89" s="54"/>
      <c r="I89" t="s">
        <v>375</v>
      </c>
      <c r="J89" t="s">
        <v>3458</v>
      </c>
    </row>
    <row r="90" spans="1:10" x14ac:dyDescent="0.35">
      <c r="I90" t="s">
        <v>357</v>
      </c>
      <c r="J90" t="s">
        <v>4254</v>
      </c>
    </row>
    <row r="91" spans="1:10" x14ac:dyDescent="0.35">
      <c r="I91" t="s">
        <v>346</v>
      </c>
      <c r="J91" t="s">
        <v>4255</v>
      </c>
    </row>
    <row r="92" spans="1:10" x14ac:dyDescent="0.35">
      <c r="I92" t="s">
        <v>1555</v>
      </c>
      <c r="J92" t="s">
        <v>4255</v>
      </c>
    </row>
    <row r="93" spans="1:10" x14ac:dyDescent="0.35">
      <c r="I93" t="s">
        <v>104</v>
      </c>
      <c r="J93" t="s">
        <v>4256</v>
      </c>
    </row>
    <row r="94" spans="1:10" x14ac:dyDescent="0.35">
      <c r="I94" s="38" t="s">
        <v>18</v>
      </c>
      <c r="J94" s="36" t="s">
        <v>4258</v>
      </c>
    </row>
    <row r="95" spans="1:10" x14ac:dyDescent="0.35">
      <c r="A95" t="s">
        <v>2741</v>
      </c>
      <c r="B95" t="s">
        <v>3</v>
      </c>
      <c r="C95" t="s">
        <v>43</v>
      </c>
      <c r="D95" t="s">
        <v>184</v>
      </c>
      <c r="E95" s="34" t="s">
        <v>65</v>
      </c>
      <c r="F95" s="33" t="s">
        <v>438</v>
      </c>
      <c r="G95" s="33" t="s">
        <v>2702</v>
      </c>
      <c r="H95" t="s">
        <v>130</v>
      </c>
      <c r="I95" s="1" t="s">
        <v>375</v>
      </c>
      <c r="J95" s="3" t="s">
        <v>2742</v>
      </c>
    </row>
    <row r="96" spans="1:10" x14ac:dyDescent="0.35">
      <c r="E96" s="40" t="s">
        <v>32</v>
      </c>
      <c r="I96" t="s">
        <v>357</v>
      </c>
      <c r="J96" t="s">
        <v>2487</v>
      </c>
    </row>
    <row r="97" spans="1:10" x14ac:dyDescent="0.35">
      <c r="I97" t="s">
        <v>346</v>
      </c>
      <c r="J97" t="s">
        <v>2488</v>
      </c>
    </row>
    <row r="98" spans="1:10" x14ac:dyDescent="0.35">
      <c r="I98" t="s">
        <v>1555</v>
      </c>
      <c r="J98" t="s">
        <v>2743</v>
      </c>
    </row>
    <row r="99" spans="1:10" x14ac:dyDescent="0.35">
      <c r="I99" t="s">
        <v>104</v>
      </c>
      <c r="J99" t="s">
        <v>2744</v>
      </c>
    </row>
    <row r="100" spans="1:10" x14ac:dyDescent="0.35">
      <c r="I100" s="38" t="s">
        <v>1249</v>
      </c>
      <c r="J100" s="36" t="s">
        <v>2745</v>
      </c>
    </row>
    <row r="101" spans="1:10" x14ac:dyDescent="0.35">
      <c r="A101" s="33" t="s">
        <v>1136</v>
      </c>
      <c r="B101" t="s">
        <v>3</v>
      </c>
      <c r="C101" t="s">
        <v>43</v>
      </c>
      <c r="D101" t="s">
        <v>699</v>
      </c>
      <c r="E101" s="34" t="s">
        <v>72</v>
      </c>
      <c r="F101" s="33" t="s">
        <v>438</v>
      </c>
      <c r="G101" s="33" t="s">
        <v>439</v>
      </c>
      <c r="H101" t="s">
        <v>54</v>
      </c>
      <c r="I101" s="1" t="s">
        <v>438</v>
      </c>
      <c r="J101" s="3" t="s">
        <v>1137</v>
      </c>
    </row>
    <row r="102" spans="1:10" x14ac:dyDescent="0.35">
      <c r="E102" s="54" t="s">
        <v>72</v>
      </c>
      <c r="I102" t="s">
        <v>375</v>
      </c>
      <c r="J102" t="s">
        <v>1138</v>
      </c>
    </row>
    <row r="103" spans="1:10" x14ac:dyDescent="0.35">
      <c r="I103" t="s">
        <v>357</v>
      </c>
      <c r="J103" t="s">
        <v>1139</v>
      </c>
    </row>
    <row r="104" spans="1:10" x14ac:dyDescent="0.35">
      <c r="I104" t="s">
        <v>346</v>
      </c>
      <c r="J104" t="s">
        <v>1140</v>
      </c>
    </row>
    <row r="105" spans="1:10" x14ac:dyDescent="0.35">
      <c r="I105" t="s">
        <v>1555</v>
      </c>
      <c r="J105" t="s">
        <v>1141</v>
      </c>
    </row>
    <row r="106" spans="1:10" x14ac:dyDescent="0.35">
      <c r="I106" t="s">
        <v>104</v>
      </c>
      <c r="J106" t="s">
        <v>1142</v>
      </c>
    </row>
    <row r="107" spans="1:10" x14ac:dyDescent="0.35">
      <c r="I107" s="38" t="s">
        <v>18</v>
      </c>
      <c r="J107" t="s">
        <v>1143</v>
      </c>
    </row>
    <row r="108" spans="1:10" x14ac:dyDescent="0.35">
      <c r="J108" t="s">
        <v>1144</v>
      </c>
    </row>
    <row r="109" spans="1:10" x14ac:dyDescent="0.35">
      <c r="J109" s="36" t="s">
        <v>2983</v>
      </c>
    </row>
    <row r="110" spans="1:10" x14ac:dyDescent="0.35">
      <c r="A110" s="33" t="s">
        <v>431</v>
      </c>
      <c r="B110" t="s">
        <v>3</v>
      </c>
      <c r="C110" t="s">
        <v>43</v>
      </c>
      <c r="D110" t="s">
        <v>414</v>
      </c>
      <c r="E110" s="34" t="s">
        <v>65</v>
      </c>
      <c r="F110" s="33" t="s">
        <v>438</v>
      </c>
      <c r="G110" s="33" t="s">
        <v>439</v>
      </c>
      <c r="H110" t="s">
        <v>54</v>
      </c>
      <c r="I110" s="1" t="s">
        <v>438</v>
      </c>
      <c r="J110" s="3" t="s">
        <v>437</v>
      </c>
    </row>
    <row r="111" spans="1:10" x14ac:dyDescent="0.35">
      <c r="E111" s="17"/>
      <c r="I111" t="s">
        <v>375</v>
      </c>
      <c r="J111" t="s">
        <v>436</v>
      </c>
    </row>
    <row r="112" spans="1:10" x14ac:dyDescent="0.35">
      <c r="I112" t="s">
        <v>357</v>
      </c>
      <c r="J112" t="s">
        <v>435</v>
      </c>
    </row>
    <row r="113" spans="1:10" x14ac:dyDescent="0.35">
      <c r="I113" t="s">
        <v>346</v>
      </c>
      <c r="J113" t="s">
        <v>434</v>
      </c>
    </row>
    <row r="114" spans="1:10" x14ac:dyDescent="0.35">
      <c r="I114" t="s">
        <v>1555</v>
      </c>
      <c r="J114" t="s">
        <v>433</v>
      </c>
    </row>
    <row r="115" spans="1:10" x14ac:dyDescent="0.35">
      <c r="I115" t="s">
        <v>104</v>
      </c>
      <c r="J115" s="36" t="s">
        <v>432</v>
      </c>
    </row>
    <row r="116" spans="1:10" x14ac:dyDescent="0.35">
      <c r="I116" s="38" t="s">
        <v>18</v>
      </c>
    </row>
    <row r="117" spans="1:10" x14ac:dyDescent="0.35">
      <c r="A117" s="33" t="s">
        <v>1145</v>
      </c>
      <c r="B117" t="s">
        <v>3</v>
      </c>
      <c r="C117" t="s">
        <v>43</v>
      </c>
      <c r="D117" t="s">
        <v>699</v>
      </c>
      <c r="E117" s="34" t="s">
        <v>65</v>
      </c>
      <c r="F117" s="33" t="s">
        <v>438</v>
      </c>
      <c r="G117" s="33" t="s">
        <v>439</v>
      </c>
      <c r="H117" t="s">
        <v>54</v>
      </c>
      <c r="I117" s="1" t="s">
        <v>438</v>
      </c>
      <c r="J117" s="3" t="s">
        <v>437</v>
      </c>
    </row>
    <row r="118" spans="1:10" x14ac:dyDescent="0.35">
      <c r="E118" s="17"/>
      <c r="I118" t="s">
        <v>375</v>
      </c>
      <c r="J118" t="s">
        <v>1146</v>
      </c>
    </row>
    <row r="119" spans="1:10" x14ac:dyDescent="0.35">
      <c r="I119" t="s">
        <v>357</v>
      </c>
      <c r="J119" t="s">
        <v>437</v>
      </c>
    </row>
    <row r="120" spans="1:10" x14ac:dyDescent="0.35">
      <c r="I120" t="s">
        <v>346</v>
      </c>
      <c r="J120" t="s">
        <v>1137</v>
      </c>
    </row>
    <row r="121" spans="1:10" x14ac:dyDescent="0.35">
      <c r="I121" t="s">
        <v>1555</v>
      </c>
      <c r="J121" t="s">
        <v>1147</v>
      </c>
    </row>
    <row r="122" spans="1:10" x14ac:dyDescent="0.35">
      <c r="I122" t="s">
        <v>104</v>
      </c>
      <c r="J122" t="s">
        <v>1148</v>
      </c>
    </row>
    <row r="123" spans="1:10" x14ac:dyDescent="0.35">
      <c r="I123" s="38" t="s">
        <v>18</v>
      </c>
      <c r="J123" t="s">
        <v>1149</v>
      </c>
    </row>
    <row r="124" spans="1:10" ht="14.25" customHeight="1" x14ac:dyDescent="0.35">
      <c r="J124" t="s">
        <v>1150</v>
      </c>
    </row>
    <row r="125" spans="1:10" x14ac:dyDescent="0.35">
      <c r="J125" s="36" t="s">
        <v>2984</v>
      </c>
    </row>
    <row r="126" spans="1:10" x14ac:dyDescent="0.35">
      <c r="A126" s="33" t="s">
        <v>2701</v>
      </c>
      <c r="B126" t="s">
        <v>3</v>
      </c>
      <c r="C126" t="s">
        <v>43</v>
      </c>
      <c r="D126" t="s">
        <v>184</v>
      </c>
      <c r="E126" s="15"/>
      <c r="F126" s="33" t="s">
        <v>438</v>
      </c>
      <c r="G126" s="33" t="s">
        <v>2702</v>
      </c>
      <c r="H126" t="s">
        <v>130</v>
      </c>
      <c r="I126" s="1" t="s">
        <v>375</v>
      </c>
      <c r="J126" s="3" t="s">
        <v>2703</v>
      </c>
    </row>
    <row r="127" spans="1:10" x14ac:dyDescent="0.35">
      <c r="E127" s="40" t="s">
        <v>65</v>
      </c>
      <c r="I127" t="s">
        <v>357</v>
      </c>
      <c r="J127" t="s">
        <v>2704</v>
      </c>
    </row>
    <row r="128" spans="1:10" x14ac:dyDescent="0.35">
      <c r="I128" t="s">
        <v>346</v>
      </c>
      <c r="J128" t="s">
        <v>2705</v>
      </c>
    </row>
    <row r="129" spans="9:10" x14ac:dyDescent="0.35">
      <c r="I129" t="s">
        <v>1555</v>
      </c>
      <c r="J129" t="s">
        <v>2706</v>
      </c>
    </row>
    <row r="130" spans="9:10" x14ac:dyDescent="0.35">
      <c r="I130" t="s">
        <v>104</v>
      </c>
      <c r="J130" t="s">
        <v>2707</v>
      </c>
    </row>
    <row r="131" spans="9:10" x14ac:dyDescent="0.35">
      <c r="I131" s="38" t="s">
        <v>1249</v>
      </c>
      <c r="J131" s="36" t="s">
        <v>2701</v>
      </c>
    </row>
  </sheetData>
  <hyperlinks>
    <hyperlink ref="A1" location="Summary!A1" tooltip="Return to Totals" display="Back to Totals" xr:uid="{27867D16-FEC3-4801-876E-F3630C04719B}"/>
    <hyperlink ref="I107" r:id="rId1" xr:uid="{BFD3572F-6197-4573-A2FD-FEFA486B5203}"/>
    <hyperlink ref="I116" r:id="rId2" xr:uid="{88A3D64B-D881-4D67-A46D-C9E9BCFCD9CA}"/>
    <hyperlink ref="I123" r:id="rId3" xr:uid="{938055CA-E001-4B4E-B01D-564AD958403B}"/>
    <hyperlink ref="I100" r:id="rId4" xr:uid="{F2EF9CFB-3733-4572-A528-269ADB9B63C1}"/>
    <hyperlink ref="I131" r:id="rId5" xr:uid="{317BF1C1-5763-43EC-9B2E-1D1E849D9CB5}"/>
    <hyperlink ref="I53" r:id="rId6" xr:uid="{CF01895E-3DD8-4063-9293-22838CBE31CA}"/>
    <hyperlink ref="A48" r:id="rId7" xr:uid="{44EA68D6-8549-41EA-A334-FABF1E92CAA3}"/>
    <hyperlink ref="J55" r:id="rId8" display="Laura Ashbee" xr:uid="{C1C7B638-FE7B-48C7-84D7-CDD9E877A14A}"/>
    <hyperlink ref="F95" r:id="rId9" xr:uid="{506F662A-B4D5-4FF5-AEFB-4FE8911C4B8D}"/>
    <hyperlink ref="F101" r:id="rId10" xr:uid="{D58754CC-E51A-4AC9-9807-745A540879FC}"/>
    <hyperlink ref="F110" r:id="rId11" xr:uid="{ED97D0CF-406F-4E11-ADE3-A28FCA1B4E48}"/>
    <hyperlink ref="F117" r:id="rId12" xr:uid="{198059D1-FBA3-46A4-BB1E-0EA41A9D52A6}"/>
    <hyperlink ref="F126" r:id="rId13" xr:uid="{D051D486-37DA-4543-A508-1A22A2378097}"/>
    <hyperlink ref="G95" r:id="rId14" xr:uid="{B1582854-4BCB-4DB5-BA6F-5566A845BDB2}"/>
    <hyperlink ref="F48" r:id="rId15" xr:uid="{5670BD95-D2C9-4479-8C3B-306591777B5A}"/>
    <hyperlink ref="G126" r:id="rId16" xr:uid="{81187CE4-9EE4-4496-89CB-E2DF16DEED41}"/>
    <hyperlink ref="G48" r:id="rId17" xr:uid="{F2E52935-7284-415A-90DC-9B457F7992DD}"/>
    <hyperlink ref="G101" r:id="rId18" xr:uid="{49C4ED5C-0D70-4E8E-901C-0603748BF182}"/>
    <hyperlink ref="G110" r:id="rId19" xr:uid="{9F478380-6804-406E-89D3-578BD3C244FF}"/>
    <hyperlink ref="G117" r:id="rId20" xr:uid="{13B91037-A577-465F-BE19-1E75A1C6D703}"/>
    <hyperlink ref="J27" r:id="rId21" xr:uid="{220D2AD7-1E75-4BC8-81B8-CE8A33079810}"/>
    <hyperlink ref="F21" r:id="rId22" xr:uid="{76D7D521-A4E0-4E61-A4A9-4A166CA40F2D}"/>
    <hyperlink ref="G21" r:id="rId23" xr:uid="{9732B39C-FDCB-41CA-8480-2FBCF2E772BE}"/>
    <hyperlink ref="I26" r:id="rId24" xr:uid="{1F5F880F-1822-4C64-8807-EEFF21819A15}"/>
    <hyperlink ref="J100" r:id="rId25" xr:uid="{5F51D3FE-B95E-4986-A921-05773810950B}"/>
    <hyperlink ref="J109" r:id="rId26" display="T J Sharp" xr:uid="{EE402773-7B29-45EB-9591-934B7D26904E}"/>
    <hyperlink ref="A101" r:id="rId27" xr:uid="{C5C0272C-D978-4528-A0BF-58521D41C014}"/>
    <hyperlink ref="J115" r:id="rId28" xr:uid="{6F7EC190-75F7-4808-AC4F-C7188EE974D9}"/>
    <hyperlink ref="A110" r:id="rId29" xr:uid="{E6A77637-2A95-4AF6-B7F3-67335D19234D}"/>
    <hyperlink ref="J125" r:id="rId30" display="C W" xr:uid="{CE34B3C5-E069-401B-9982-B769FF83BC4F}"/>
    <hyperlink ref="A117" r:id="rId31" xr:uid="{A68DFAF4-2567-4100-ACC2-0BEFEAA7F773}"/>
    <hyperlink ref="J131" r:id="rId32" xr:uid="{6CBE1F8F-4E28-455F-860E-B0195C12AFC3}"/>
    <hyperlink ref="A126" r:id="rId33" xr:uid="{C036D2B2-4D9F-4E7D-8725-8B3D7ABA9D17}"/>
    <hyperlink ref="E127" r:id="rId34" xr:uid="{66411C37-F060-4822-8AFF-6839B5CBCB92}"/>
    <hyperlink ref="E117" r:id="rId35" xr:uid="{2D4C8BED-88C5-45EE-89B4-8E450C7C058C}"/>
    <hyperlink ref="E110" r:id="rId36" xr:uid="{64B08E0D-A5AC-498C-927D-121237E98E7F}"/>
    <hyperlink ref="E102" r:id="rId37" xr:uid="{3FEB202F-2547-442B-8DF9-A333378B9C48}"/>
    <hyperlink ref="E101" r:id="rId38" xr:uid="{5CB87BCE-CD14-4344-9D81-20D8584EFF0A}"/>
    <hyperlink ref="E95" r:id="rId39" xr:uid="{25953A1A-176C-43FE-A691-16D6C698636A}"/>
    <hyperlink ref="E96" r:id="rId40" xr:uid="{6C7A7FA3-90EA-42F5-BB40-A7D93D4763ED}"/>
    <hyperlink ref="E48" r:id="rId41" xr:uid="{4274D12F-49ED-45E2-BF5E-27E466DEE59B}"/>
    <hyperlink ref="E21" r:id="rId42" xr:uid="{DC60AC0E-AC12-4298-B3F7-34A177B4AF8F}"/>
    <hyperlink ref="I46" r:id="rId43" xr:uid="{D313560B-EF29-482B-B2A2-57B19FC48756}"/>
    <hyperlink ref="A42" r:id="rId44" display="Laura Ashbee" xr:uid="{8795187D-E156-4C6F-B923-6BEAB7054033}"/>
    <hyperlink ref="F41" r:id="rId45" xr:uid="{9FDB4705-C52F-43CA-BCFE-99633DFB1CF2}"/>
    <hyperlink ref="G41" r:id="rId46" xr:uid="{A1156F5F-7FE3-41DB-99E5-9FC847A891D5}"/>
    <hyperlink ref="E41" r:id="rId47" xr:uid="{525B283D-F940-4172-8817-816869E70452}"/>
    <hyperlink ref="J47" r:id="rId48" xr:uid="{E173BF26-A4DE-4753-A5FE-2CBDC377132C}"/>
    <hyperlink ref="I8" r:id="rId49" xr:uid="{30D21C1E-2A65-4AEF-87EF-EE9441BB4881}"/>
    <hyperlink ref="A3" r:id="rId50" xr:uid="{008F1D17-E8A7-4EB9-981B-093CC1D041FA}"/>
    <hyperlink ref="F3" r:id="rId51" xr:uid="{375405D2-BB4A-4EA2-BE63-7294227C91D9}"/>
    <hyperlink ref="G3" r:id="rId52" xr:uid="{EC50CAA0-41C1-4DB1-9F35-861B92D4ECC7}"/>
    <hyperlink ref="E3" r:id="rId53" xr:uid="{D1F8AEF0-47DD-44AB-935C-0BBC4EC3F564}"/>
    <hyperlink ref="J8" r:id="rId54" xr:uid="{45E033F6-D6F0-4837-87EA-69FE365C85D8}"/>
    <hyperlink ref="E4" r:id="rId55" xr:uid="{587FF318-70FD-4E92-A6B2-225683526D2D}"/>
    <hyperlink ref="A41" r:id="rId56" xr:uid="{1E1D58D8-CEB9-42EE-9F75-D9624F2BE145}"/>
    <hyperlink ref="I80" r:id="rId57" xr:uid="{4405B5CA-3CC9-44F9-B7B6-D7F362AC0737}"/>
    <hyperlink ref="F75" r:id="rId58" xr:uid="{D18D62DD-24E1-462E-8FFA-6F7B25A4A271}"/>
    <hyperlink ref="G75" r:id="rId59" xr:uid="{BD327EAB-4BE8-498F-BB71-4D2777FAF342}"/>
    <hyperlink ref="J80" r:id="rId60" xr:uid="{9667C536-FACF-4D81-BC44-3392C8463EED}"/>
    <hyperlink ref="E75" r:id="rId61" display="8cM" xr:uid="{134008D3-5B31-4ED5-AB86-01DAD1EF25A2}"/>
    <hyperlink ref="A75" r:id="rId62" xr:uid="{D27FFCBD-8310-4FE6-B175-913205BFADF9}"/>
    <hyperlink ref="I39" r:id="rId63" xr:uid="{BAF40833-D1CB-4970-825C-FE58B481DAFA}"/>
    <hyperlink ref="A34" r:id="rId64" xr:uid="{F388827B-BBB6-42D3-912F-143B3086DC49}"/>
    <hyperlink ref="F34" r:id="rId65" xr:uid="{B8B42199-9C69-44DA-A01F-11CCA757F771}"/>
    <hyperlink ref="G34" r:id="rId66" xr:uid="{E5EB5782-7645-42EA-88A9-4BC2B444E3ED}"/>
    <hyperlink ref="A21" r:id="rId67" xr:uid="{82E3BB34-4D19-4908-8BFA-AC5C2485075F}"/>
    <hyperlink ref="A22" r:id="rId68" xr:uid="{5999AF8F-6EBC-4487-AD95-C60DA9D48A70}"/>
    <hyperlink ref="E34" r:id="rId69" xr:uid="{854CE47C-47F0-42E1-B6C0-7EBC3B221547}"/>
    <hyperlink ref="J40" r:id="rId70" xr:uid="{41AEBB32-D4A7-4CBA-B510-64A55355B18B}"/>
    <hyperlink ref="I14" r:id="rId71" xr:uid="{040CC8FA-BC22-4984-B59E-400E08109D79}"/>
    <hyperlink ref="A9" r:id="rId72" xr:uid="{379C9EFD-9085-49B7-BB52-A39A59F61F0A}"/>
    <hyperlink ref="F9" r:id="rId73" xr:uid="{F79B3562-73E3-4E21-965A-A622D4A09A42}"/>
    <hyperlink ref="G9" r:id="rId74" xr:uid="{D92BCD52-1782-4432-B1C9-3F0F3621816A}"/>
    <hyperlink ref="E9" r:id="rId75" xr:uid="{56D72869-4971-4074-86FE-F8E0650F0F2B}"/>
    <hyperlink ref="J14" r:id="rId76" xr:uid="{0D6CAA72-1110-4BED-806E-A8A41F861779}"/>
    <hyperlink ref="I20" r:id="rId77" xr:uid="{D409BED3-C63F-4D99-9A28-C02B2EF90659}"/>
    <hyperlink ref="A15" r:id="rId78" xr:uid="{BF2B617B-D205-4459-8710-9B802E4BA09E}"/>
    <hyperlink ref="F15" r:id="rId79" xr:uid="{49F56554-3F62-443E-B304-0C8460235F6A}"/>
    <hyperlink ref="G15" r:id="rId80" xr:uid="{9C63D78E-ADEB-4CCB-8F91-7F7AF5CB5137}"/>
    <hyperlink ref="E15" r:id="rId81" xr:uid="{808CCD68-245F-49C0-832F-6140CD2E3B57}"/>
    <hyperlink ref="J20" r:id="rId82" xr:uid="{D1A7CE49-8B82-49F0-985E-D2FA299D3F9E}"/>
    <hyperlink ref="I61" r:id="rId83" xr:uid="{268149A7-1D98-41B7-9FAF-11DFA4BD62AD}"/>
    <hyperlink ref="A56" r:id="rId84" xr:uid="{6A9B9BF2-43A2-450B-9162-D7AA1E8CF6EC}"/>
    <hyperlink ref="F56" r:id="rId85" xr:uid="{E0E56E59-30FD-4331-BED7-E947197BF638}"/>
    <hyperlink ref="G56" r:id="rId86" xr:uid="{A3CCF317-55F9-4726-A37F-3DFBE704038F}"/>
    <hyperlink ref="E56" r:id="rId87" xr:uid="{5237C61D-B1EE-4CB5-AA21-9DF4A4942EA3}"/>
    <hyperlink ref="J61" r:id="rId88" xr:uid="{A5C6C0D5-BD6F-43D8-85A7-7834F3C82445}"/>
    <hyperlink ref="I67" r:id="rId89" xr:uid="{DD27D0A8-34D3-43D1-B731-531BBACD33E7}"/>
    <hyperlink ref="F62" r:id="rId90" xr:uid="{68A15D82-785B-4FD8-9536-68EBCE1306B2}"/>
    <hyperlink ref="G62" r:id="rId91" xr:uid="{995EE1EE-A4B2-4C49-B5EE-F817AE36E42B}"/>
    <hyperlink ref="J67" r:id="rId92" xr:uid="{AC40F820-1DC4-43FA-8BC8-16C9EB3BF061}"/>
    <hyperlink ref="E62" r:id="rId93" xr:uid="{5FB4338D-F723-4DB9-8A86-72966CC18342}"/>
    <hyperlink ref="A62" r:id="rId94" xr:uid="{166E1894-17D6-448D-B340-EAB702E74CE6}"/>
    <hyperlink ref="I74" r:id="rId95" xr:uid="{95509DCB-3CD2-494D-9549-15F420E71ACB}"/>
    <hyperlink ref="F68" r:id="rId96" xr:uid="{681FEA3B-6EDB-4432-9D7E-7AE22877C5BA}"/>
    <hyperlink ref="G68" r:id="rId97" xr:uid="{B656142A-EADB-46EA-9499-AC8B8A5FDB2B}"/>
    <hyperlink ref="A68" r:id="rId98" xr:uid="{31D19012-805A-46CA-A3E8-7EC4565F05AD}"/>
    <hyperlink ref="E68" r:id="rId99" xr:uid="{C42DBEF3-D6C6-4E48-9940-403E6C71B845}"/>
    <hyperlink ref="J73" r:id="rId100" xr:uid="{84B290D8-5A48-45E0-8AF9-7E5CFC2ED2A4}"/>
    <hyperlink ref="I87" r:id="rId101" xr:uid="{95BCCEF4-905D-4CFC-8029-BA8267FFB16F}"/>
    <hyperlink ref="F81" r:id="rId102" xr:uid="{6EE314A4-0639-45EA-A153-3413F855B965}"/>
    <hyperlink ref="G81" r:id="rId103" xr:uid="{3F511CBF-13AF-4A61-8C96-7F5BA82A644F}"/>
    <hyperlink ref="A81" r:id="rId104" xr:uid="{ECF6C66A-AA68-4120-AD2D-93F2CACB281F}"/>
    <hyperlink ref="J86" r:id="rId105" xr:uid="{96B9E8FE-3F45-41DB-A57D-8C7A2E6BD7C5}"/>
    <hyperlink ref="E81" r:id="rId106" xr:uid="{7011B8AF-1442-403F-A54B-69774A5FCEB3}"/>
    <hyperlink ref="I94" r:id="rId107" xr:uid="{6CF3C19F-EBA6-4DBA-8DC3-8A2BE0F1408E}"/>
    <hyperlink ref="F88" r:id="rId108" xr:uid="{C1CD03AD-32AF-45FD-B0B8-C4F9C45EA902}"/>
    <hyperlink ref="G88" r:id="rId109" xr:uid="{7D2FA1C6-FCE0-4E76-A632-56D06A27702E}"/>
    <hyperlink ref="A88" r:id="rId110" xr:uid="{6E690664-D861-4FD6-B586-A8FFA3990695}"/>
    <hyperlink ref="E88" r:id="rId111" xr:uid="{3F30EEFE-9DD2-4541-9600-C51BB892FB3F}"/>
    <hyperlink ref="J94" r:id="rId112" xr:uid="{F79D9D86-7E01-4CD6-A7DB-091ADCC38CF3}"/>
    <hyperlink ref="I33" r:id="rId113" xr:uid="{8C887FC3-F048-4327-8808-B452F130303E}"/>
    <hyperlink ref="A28" r:id="rId114" xr:uid="{40FC0FBE-05BC-49B1-AB7A-AA71C2054A41}"/>
    <hyperlink ref="F28" r:id="rId115" xr:uid="{B8442B17-E7DF-4209-B5AF-62EC5C677588}"/>
    <hyperlink ref="G28" r:id="rId116" xr:uid="{089344CC-A59D-4012-96B1-31B695295472}"/>
    <hyperlink ref="E28" r:id="rId117" xr:uid="{1FE910CF-DF0A-46DA-8946-5634D02F94C6}"/>
    <hyperlink ref="J33" r:id="rId118" xr:uid="{365ABBAC-FB09-4812-A8EF-131B7AF418E0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43">
    <tabColor theme="6" tint="-0.249977111117893"/>
  </sheetPr>
  <dimension ref="A1:L55"/>
  <sheetViews>
    <sheetView workbookViewId="0"/>
  </sheetViews>
  <sheetFormatPr defaultRowHeight="14.5" x14ac:dyDescent="0.35"/>
  <cols>
    <col min="1" max="1" width="17.7265625" customWidth="1"/>
    <col min="2" max="2" width="12.26953125" customWidth="1"/>
    <col min="3" max="3" width="21.81640625" customWidth="1"/>
    <col min="4" max="4" width="21.08984375" customWidth="1"/>
    <col min="5" max="5" width="12.54296875" customWidth="1"/>
    <col min="6" max="6" width="21" customWidth="1"/>
    <col min="7" max="7" width="24.7265625" customWidth="1"/>
    <col min="8" max="8" width="20.54296875" customWidth="1"/>
    <col min="9" max="9" width="22.6328125" customWidth="1"/>
    <col min="10" max="10" width="22.7265625" customWidth="1"/>
  </cols>
  <sheetData>
    <row r="1" spans="1:12" x14ac:dyDescent="0.35">
      <c r="A1" s="34" t="s">
        <v>3196</v>
      </c>
      <c r="B1" s="16">
        <f>COUNTIF(I2:I1089,C1)+COUNTIF(I2:I1089,D1)</f>
        <v>9</v>
      </c>
      <c r="C1" s="9" t="s">
        <v>18</v>
      </c>
      <c r="D1" s="17" t="s">
        <v>1249</v>
      </c>
    </row>
    <row r="2" spans="1:12" s="11" customFormat="1" x14ac:dyDescent="0.35">
      <c r="A2" s="11" t="s">
        <v>0</v>
      </c>
      <c r="B2" s="11" t="s">
        <v>2</v>
      </c>
      <c r="C2" s="11" t="s">
        <v>4</v>
      </c>
      <c r="D2" s="11" t="s">
        <v>5</v>
      </c>
      <c r="E2" s="11" t="s">
        <v>7</v>
      </c>
      <c r="F2" s="11" t="s">
        <v>10</v>
      </c>
      <c r="G2" s="11" t="s">
        <v>11</v>
      </c>
      <c r="H2" s="11" t="s">
        <v>23</v>
      </c>
      <c r="I2" s="11" t="s">
        <v>15</v>
      </c>
      <c r="J2" s="11" t="s">
        <v>14</v>
      </c>
    </row>
    <row r="3" spans="1:12" x14ac:dyDescent="0.35">
      <c r="A3" s="33" t="s">
        <v>1472</v>
      </c>
      <c r="B3" t="s">
        <v>3</v>
      </c>
      <c r="C3" t="s">
        <v>6</v>
      </c>
      <c r="D3" t="s">
        <v>114</v>
      </c>
      <c r="E3" s="34" t="s">
        <v>1473</v>
      </c>
      <c r="F3" s="33" t="s">
        <v>1515</v>
      </c>
      <c r="G3" s="33" t="s">
        <v>346</v>
      </c>
      <c r="H3" t="s">
        <v>74</v>
      </c>
      <c r="I3" s="1" t="s">
        <v>1555</v>
      </c>
      <c r="J3" s="3" t="s">
        <v>347</v>
      </c>
      <c r="K3" t="s">
        <v>2845</v>
      </c>
      <c r="L3" t="s">
        <v>2846</v>
      </c>
    </row>
    <row r="4" spans="1:12" x14ac:dyDescent="0.35">
      <c r="E4" s="54" t="s">
        <v>1474</v>
      </c>
      <c r="F4" s="33" t="s">
        <v>2855</v>
      </c>
      <c r="I4" t="s">
        <v>104</v>
      </c>
      <c r="J4" t="s">
        <v>1475</v>
      </c>
    </row>
    <row r="5" spans="1:12" x14ac:dyDescent="0.35">
      <c r="I5" s="38" t="s">
        <v>18</v>
      </c>
      <c r="J5" s="36" t="s">
        <v>2854</v>
      </c>
    </row>
    <row r="6" spans="1:12" x14ac:dyDescent="0.35">
      <c r="A6" s="33" t="s">
        <v>1513</v>
      </c>
      <c r="B6" t="s">
        <v>3</v>
      </c>
      <c r="C6" t="s">
        <v>308</v>
      </c>
      <c r="D6" t="s">
        <v>22</v>
      </c>
      <c r="E6" s="54" t="s">
        <v>1552</v>
      </c>
      <c r="F6" s="33" t="s">
        <v>1515</v>
      </c>
      <c r="G6" s="33" t="s">
        <v>1676</v>
      </c>
      <c r="H6" t="s">
        <v>74</v>
      </c>
      <c r="I6" s="1" t="s">
        <v>1554</v>
      </c>
      <c r="J6" s="3" t="s">
        <v>1517</v>
      </c>
    </row>
    <row r="7" spans="1:12" x14ac:dyDescent="0.35">
      <c r="E7" s="34" t="s">
        <v>1514</v>
      </c>
      <c r="I7" t="s">
        <v>1555</v>
      </c>
      <c r="J7" t="s">
        <v>1518</v>
      </c>
    </row>
    <row r="8" spans="1:12" x14ac:dyDescent="0.35">
      <c r="I8" t="s">
        <v>104</v>
      </c>
      <c r="J8" t="s">
        <v>1519</v>
      </c>
    </row>
    <row r="9" spans="1:12" x14ac:dyDescent="0.35">
      <c r="I9" s="38" t="s">
        <v>18</v>
      </c>
      <c r="J9" s="36" t="s">
        <v>1520</v>
      </c>
    </row>
    <row r="10" spans="1:12" x14ac:dyDescent="0.35">
      <c r="A10" s="33" t="s">
        <v>2940</v>
      </c>
      <c r="B10" s="1" t="s">
        <v>315</v>
      </c>
      <c r="C10" t="s">
        <v>308</v>
      </c>
      <c r="D10" t="s">
        <v>22</v>
      </c>
      <c r="E10" s="54" t="s">
        <v>2944</v>
      </c>
      <c r="F10" s="33" t="s">
        <v>1515</v>
      </c>
      <c r="G10" s="33" t="s">
        <v>1676</v>
      </c>
      <c r="H10" t="s">
        <v>74</v>
      </c>
      <c r="I10" s="1" t="s">
        <v>1554</v>
      </c>
      <c r="J10" s="3" t="s">
        <v>1517</v>
      </c>
    </row>
    <row r="11" spans="1:12" x14ac:dyDescent="0.35">
      <c r="E11" s="34" t="s">
        <v>2941</v>
      </c>
      <c r="I11" t="s">
        <v>1555</v>
      </c>
      <c r="J11" t="s">
        <v>1518</v>
      </c>
    </row>
    <row r="12" spans="1:12" x14ac:dyDescent="0.35">
      <c r="I12" t="s">
        <v>104</v>
      </c>
      <c r="J12" t="s">
        <v>2942</v>
      </c>
    </row>
    <row r="13" spans="1:12" x14ac:dyDescent="0.35">
      <c r="I13" s="38" t="s">
        <v>18</v>
      </c>
      <c r="J13" s="36" t="s">
        <v>2943</v>
      </c>
    </row>
    <row r="14" spans="1:12" x14ac:dyDescent="0.35">
      <c r="A14" t="s">
        <v>1521</v>
      </c>
      <c r="B14" s="1" t="s">
        <v>315</v>
      </c>
      <c r="C14" t="s">
        <v>316</v>
      </c>
      <c r="D14" t="s">
        <v>30</v>
      </c>
      <c r="E14" s="54" t="s">
        <v>1553</v>
      </c>
      <c r="F14" s="33" t="s">
        <v>1515</v>
      </c>
      <c r="G14" s="33" t="s">
        <v>1676</v>
      </c>
      <c r="H14" t="s">
        <v>74</v>
      </c>
      <c r="I14" s="1" t="s">
        <v>1554</v>
      </c>
      <c r="J14" s="3" t="s">
        <v>1523</v>
      </c>
    </row>
    <row r="15" spans="1:12" x14ac:dyDescent="0.35">
      <c r="E15" s="34" t="s">
        <v>1522</v>
      </c>
      <c r="I15" t="s">
        <v>1555</v>
      </c>
      <c r="J15" t="s">
        <v>1524</v>
      </c>
    </row>
    <row r="16" spans="1:12" x14ac:dyDescent="0.35">
      <c r="I16" t="s">
        <v>104</v>
      </c>
      <c r="J16" t="s">
        <v>1525</v>
      </c>
    </row>
    <row r="17" spans="1:10" x14ac:dyDescent="0.35">
      <c r="I17" s="38" t="s">
        <v>18</v>
      </c>
      <c r="J17" t="s">
        <v>1526</v>
      </c>
    </row>
    <row r="18" spans="1:10" x14ac:dyDescent="0.35">
      <c r="J18" s="36" t="s">
        <v>1521</v>
      </c>
    </row>
    <row r="19" spans="1:10" x14ac:dyDescent="0.35">
      <c r="A19" s="33" t="s">
        <v>3603</v>
      </c>
      <c r="B19" t="s">
        <v>3</v>
      </c>
      <c r="C19" t="s">
        <v>1528</v>
      </c>
      <c r="D19" t="s">
        <v>64</v>
      </c>
      <c r="E19" s="34"/>
      <c r="F19" s="33" t="s">
        <v>1538</v>
      </c>
      <c r="G19" s="33" t="s">
        <v>1539</v>
      </c>
      <c r="H19" t="s">
        <v>130</v>
      </c>
      <c r="I19" s="1" t="s">
        <v>1515</v>
      </c>
      <c r="J19" s="3" t="s">
        <v>1557</v>
      </c>
    </row>
    <row r="20" spans="1:10" x14ac:dyDescent="0.35">
      <c r="E20" s="40" t="s">
        <v>340</v>
      </c>
      <c r="I20" t="s">
        <v>1515</v>
      </c>
      <c r="J20" t="s">
        <v>1558</v>
      </c>
    </row>
    <row r="21" spans="1:10" x14ac:dyDescent="0.35">
      <c r="I21" t="s">
        <v>1554</v>
      </c>
      <c r="J21" t="s">
        <v>3604</v>
      </c>
    </row>
    <row r="22" spans="1:10" x14ac:dyDescent="0.35">
      <c r="I22" t="s">
        <v>1555</v>
      </c>
      <c r="J22" t="s">
        <v>3605</v>
      </c>
    </row>
    <row r="23" spans="1:10" x14ac:dyDescent="0.35">
      <c r="I23" t="s">
        <v>104</v>
      </c>
      <c r="J23" t="s">
        <v>3606</v>
      </c>
    </row>
    <row r="24" spans="1:10" x14ac:dyDescent="0.35">
      <c r="I24" s="38" t="s">
        <v>1249</v>
      </c>
      <c r="J24" s="36" t="s">
        <v>3607</v>
      </c>
    </row>
    <row r="25" spans="1:10" x14ac:dyDescent="0.35">
      <c r="A25" s="33" t="s">
        <v>1537</v>
      </c>
      <c r="B25" t="s">
        <v>3</v>
      </c>
      <c r="C25" t="s">
        <v>1528</v>
      </c>
      <c r="D25" t="s">
        <v>64</v>
      </c>
      <c r="E25" s="34" t="s">
        <v>89</v>
      </c>
      <c r="F25" s="33" t="s">
        <v>1538</v>
      </c>
      <c r="G25" s="33" t="s">
        <v>1539</v>
      </c>
      <c r="H25" t="s">
        <v>130</v>
      </c>
      <c r="I25" s="1" t="s">
        <v>1515</v>
      </c>
      <c r="J25" s="3" t="s">
        <v>1540</v>
      </c>
    </row>
    <row r="26" spans="1:10" x14ac:dyDescent="0.35">
      <c r="E26" s="17"/>
      <c r="I26" t="s">
        <v>1515</v>
      </c>
      <c r="J26" t="s">
        <v>1541</v>
      </c>
    </row>
    <row r="27" spans="1:10" x14ac:dyDescent="0.35">
      <c r="I27" t="s">
        <v>1554</v>
      </c>
      <c r="J27" t="s">
        <v>1542</v>
      </c>
    </row>
    <row r="28" spans="1:10" x14ac:dyDescent="0.35">
      <c r="I28" t="s">
        <v>1555</v>
      </c>
      <c r="J28" t="s">
        <v>1543</v>
      </c>
    </row>
    <row r="29" spans="1:10" x14ac:dyDescent="0.35">
      <c r="I29" t="s">
        <v>104</v>
      </c>
      <c r="J29" t="s">
        <v>1544</v>
      </c>
    </row>
    <row r="30" spans="1:10" x14ac:dyDescent="0.35">
      <c r="I30" s="38" t="s">
        <v>18</v>
      </c>
      <c r="J30" t="s">
        <v>1545</v>
      </c>
    </row>
    <row r="31" spans="1:10" x14ac:dyDescent="0.35">
      <c r="J31" s="36" t="s">
        <v>1546</v>
      </c>
    </row>
    <row r="32" spans="1:10" x14ac:dyDescent="0.35">
      <c r="A32" s="33" t="s">
        <v>1556</v>
      </c>
      <c r="B32" t="s">
        <v>3</v>
      </c>
      <c r="C32" t="s">
        <v>1528</v>
      </c>
      <c r="D32" t="s">
        <v>184</v>
      </c>
      <c r="E32" s="34" t="s">
        <v>89</v>
      </c>
      <c r="F32" s="33" t="s">
        <v>1538</v>
      </c>
      <c r="G32" s="33" t="s">
        <v>1539</v>
      </c>
      <c r="H32" t="s">
        <v>130</v>
      </c>
      <c r="I32" s="1" t="s">
        <v>1515</v>
      </c>
      <c r="J32" s="3" t="s">
        <v>1557</v>
      </c>
    </row>
    <row r="33" spans="1:10" x14ac:dyDescent="0.35">
      <c r="E33" s="17"/>
      <c r="I33" t="s">
        <v>1515</v>
      </c>
      <c r="J33" t="s">
        <v>1558</v>
      </c>
    </row>
    <row r="34" spans="1:10" x14ac:dyDescent="0.35">
      <c r="I34" t="s">
        <v>1554</v>
      </c>
      <c r="J34" t="s">
        <v>1559</v>
      </c>
    </row>
    <row r="35" spans="1:10" x14ac:dyDescent="0.35">
      <c r="I35" t="s">
        <v>1555</v>
      </c>
      <c r="J35" t="s">
        <v>1560</v>
      </c>
    </row>
    <row r="36" spans="1:10" x14ac:dyDescent="0.35">
      <c r="I36" t="s">
        <v>104</v>
      </c>
      <c r="J36" t="s">
        <v>1561</v>
      </c>
    </row>
    <row r="37" spans="1:10" x14ac:dyDescent="0.35">
      <c r="I37" s="38" t="s">
        <v>18</v>
      </c>
      <c r="J37" s="36" t="s">
        <v>1562</v>
      </c>
    </row>
    <row r="38" spans="1:10" x14ac:dyDescent="0.35">
      <c r="A38" s="33" t="s">
        <v>3957</v>
      </c>
      <c r="B38" t="s">
        <v>3</v>
      </c>
      <c r="C38" t="s">
        <v>43</v>
      </c>
      <c r="D38" t="s">
        <v>615</v>
      </c>
      <c r="E38" s="34" t="s">
        <v>89</v>
      </c>
      <c r="F38" s="33" t="s">
        <v>2290</v>
      </c>
      <c r="G38" s="33" t="s">
        <v>2291</v>
      </c>
      <c r="H38" t="s">
        <v>91</v>
      </c>
      <c r="I38" s="1" t="s">
        <v>2300</v>
      </c>
      <c r="J38" s="3" t="s">
        <v>2292</v>
      </c>
    </row>
    <row r="39" spans="1:10" x14ac:dyDescent="0.35">
      <c r="E39" s="17"/>
      <c r="I39" t="s">
        <v>2301</v>
      </c>
      <c r="J39" t="s">
        <v>2293</v>
      </c>
    </row>
    <row r="40" spans="1:10" x14ac:dyDescent="0.35">
      <c r="I40" t="s">
        <v>1538</v>
      </c>
      <c r="J40" t="s">
        <v>2294</v>
      </c>
    </row>
    <row r="41" spans="1:10" x14ac:dyDescent="0.35">
      <c r="I41" t="s">
        <v>1515</v>
      </c>
      <c r="J41" t="s">
        <v>2295</v>
      </c>
    </row>
    <row r="42" spans="1:10" x14ac:dyDescent="0.35">
      <c r="I42" t="s">
        <v>1515</v>
      </c>
      <c r="J42" t="s">
        <v>2296</v>
      </c>
    </row>
    <row r="43" spans="1:10" x14ac:dyDescent="0.35">
      <c r="I43" t="s">
        <v>1554</v>
      </c>
      <c r="J43" t="s">
        <v>2297</v>
      </c>
    </row>
    <row r="44" spans="1:10" x14ac:dyDescent="0.35">
      <c r="I44" t="s">
        <v>1555</v>
      </c>
      <c r="J44" t="s">
        <v>2298</v>
      </c>
    </row>
    <row r="45" spans="1:10" x14ac:dyDescent="0.35">
      <c r="I45" t="s">
        <v>104</v>
      </c>
      <c r="J45" t="s">
        <v>3955</v>
      </c>
    </row>
    <row r="46" spans="1:10" x14ac:dyDescent="0.35">
      <c r="I46" s="38" t="s">
        <v>18</v>
      </c>
      <c r="J46" s="36" t="s">
        <v>3956</v>
      </c>
    </row>
    <row r="47" spans="1:10" x14ac:dyDescent="0.35">
      <c r="A47" s="33" t="s">
        <v>2289</v>
      </c>
      <c r="B47" t="s">
        <v>3</v>
      </c>
      <c r="C47" t="s">
        <v>43</v>
      </c>
      <c r="D47" t="s">
        <v>615</v>
      </c>
      <c r="E47" s="34" t="s">
        <v>44</v>
      </c>
      <c r="F47" s="33" t="s">
        <v>2290</v>
      </c>
      <c r="G47" s="33" t="s">
        <v>2291</v>
      </c>
      <c r="H47" t="s">
        <v>91</v>
      </c>
      <c r="I47" s="1" t="s">
        <v>2300</v>
      </c>
      <c r="J47" s="3" t="s">
        <v>2292</v>
      </c>
    </row>
    <row r="48" spans="1:10" x14ac:dyDescent="0.35">
      <c r="E48" s="17"/>
      <c r="I48" t="s">
        <v>2301</v>
      </c>
      <c r="J48" t="s">
        <v>2293</v>
      </c>
    </row>
    <row r="49" spans="9:10" x14ac:dyDescent="0.35">
      <c r="I49" t="s">
        <v>1538</v>
      </c>
      <c r="J49" t="s">
        <v>2294</v>
      </c>
    </row>
    <row r="50" spans="9:10" x14ac:dyDescent="0.35">
      <c r="I50" t="s">
        <v>1515</v>
      </c>
      <c r="J50" t="s">
        <v>2295</v>
      </c>
    </row>
    <row r="51" spans="9:10" x14ac:dyDescent="0.35">
      <c r="I51" t="s">
        <v>1515</v>
      </c>
      <c r="J51" t="s">
        <v>2296</v>
      </c>
    </row>
    <row r="52" spans="9:10" x14ac:dyDescent="0.35">
      <c r="I52" t="s">
        <v>1554</v>
      </c>
      <c r="J52" t="s">
        <v>2297</v>
      </c>
    </row>
    <row r="53" spans="9:10" x14ac:dyDescent="0.35">
      <c r="I53" t="s">
        <v>1555</v>
      </c>
      <c r="J53" t="s">
        <v>2298</v>
      </c>
    </row>
    <row r="54" spans="9:10" x14ac:dyDescent="0.35">
      <c r="I54" t="s">
        <v>104</v>
      </c>
      <c r="J54" t="s">
        <v>2299</v>
      </c>
    </row>
    <row r="55" spans="9:10" x14ac:dyDescent="0.35">
      <c r="I55" s="38" t="s">
        <v>18</v>
      </c>
      <c r="J55" s="36" t="s">
        <v>2289</v>
      </c>
    </row>
  </sheetData>
  <autoFilter ref="E1:E55" xr:uid="{00000000-0001-0000-2000-000000000000}"/>
  <hyperlinks>
    <hyperlink ref="A1" location="Summary!A1" tooltip="Return to Totals" display="Back to Totals" xr:uid="{7ED78948-EC03-4EBC-A744-611680601E3F}"/>
    <hyperlink ref="I9" r:id="rId1" xr:uid="{670B1063-88CA-47F9-9A1C-57A364DDE8A4}"/>
    <hyperlink ref="I17" r:id="rId2" xr:uid="{7F063C78-565B-4792-A1EC-25CFCFD0177A}"/>
    <hyperlink ref="I30" r:id="rId3" xr:uid="{A6ED7ABC-1CDB-4D89-A629-30B5E52CFCDB}"/>
    <hyperlink ref="I37" r:id="rId4" xr:uid="{7DB38398-BC8D-4239-A6D6-9E3754BA8D74}"/>
    <hyperlink ref="I55" r:id="rId5" xr:uid="{BC61CC03-AE15-4ACA-9141-D59B5A5D6D20}"/>
    <hyperlink ref="I5" r:id="rId6" xr:uid="{A788A0D4-267B-4453-8CDA-C3728CBB74D3}"/>
    <hyperlink ref="I13" r:id="rId7" xr:uid="{B3E0309C-0B85-4F9B-9F5E-0FB07A45010B}"/>
    <hyperlink ref="J13" r:id="rId8" xr:uid="{E5C7D7CB-D620-4614-890C-D2D2B040D03A}"/>
    <hyperlink ref="A10" r:id="rId9" xr:uid="{316C3519-5BBE-4B7A-ADF0-F3A8B350B820}"/>
    <hyperlink ref="F10" r:id="rId10" xr:uid="{CF6B54A3-7EB5-4774-BACA-59EEFC038A2D}"/>
    <hyperlink ref="G10" r:id="rId11" xr:uid="{2309A70B-F79D-4868-B0BA-61BB113BE84C}"/>
    <hyperlink ref="G14" r:id="rId12" xr:uid="{337AF7D4-3B13-4A59-B343-FE0AB2C643CA}"/>
    <hyperlink ref="G6" r:id="rId13" xr:uid="{CF039281-AD1D-46A3-9DEF-8F974961A79D}"/>
    <hyperlink ref="F14" r:id="rId14" xr:uid="{83EE93B6-CFE2-410D-8A6A-76EFF6C6295A}"/>
    <hyperlink ref="F6" r:id="rId15" xr:uid="{50DDBBDE-E237-4585-9151-E9B6C788415D}"/>
    <hyperlink ref="F3" r:id="rId16" xr:uid="{E397E989-97C4-4D5B-ADD3-FFB010ABB8E8}"/>
    <hyperlink ref="F25" r:id="rId17" xr:uid="{3589DDD0-6961-439F-9570-0EEC79656C13}"/>
    <hyperlink ref="F32" r:id="rId18" xr:uid="{9CB2618B-69E5-4A85-A6BA-7311424E0BF1}"/>
    <hyperlink ref="G25" r:id="rId19" xr:uid="{ABEE9251-3D71-436A-8AAB-09634926BE97}"/>
    <hyperlink ref="G32" r:id="rId20" xr:uid="{4D11CA92-18E3-400B-A2C3-7CA9DE83D411}"/>
    <hyperlink ref="F47" r:id="rId21" xr:uid="{F3E56ADD-07A4-4AEA-B6FC-F47710429CF3}"/>
    <hyperlink ref="G47" r:id="rId22" xr:uid="{C73212A9-3A0F-4B2F-818C-AC06CA38C895}"/>
    <hyperlink ref="J5" r:id="rId23" xr:uid="{C7D0F910-6B32-449D-8B5E-0013A138CD93}"/>
    <hyperlink ref="A3" r:id="rId24" xr:uid="{2561A693-AC62-465F-B26D-0EE42DEE4497}"/>
    <hyperlink ref="J9" r:id="rId25" xr:uid="{EF4EB043-AACA-470D-978C-78C038570407}"/>
    <hyperlink ref="A6" r:id="rId26" xr:uid="{1358C3A8-3339-48DB-ADCF-48167EC12AAD}"/>
    <hyperlink ref="J18" r:id="rId27" xr:uid="{93CA123F-ADFA-4DAC-ABB4-E76BD2F6B9CB}"/>
    <hyperlink ref="G3" r:id="rId28" xr:uid="{F5E884D3-BBD6-444B-9B6A-D52D25F336D9}"/>
    <hyperlink ref="F4" r:id="rId29" xr:uid="{2C2D304F-389C-41B5-BA7C-ABCF1480985B}"/>
    <hyperlink ref="J31" r:id="rId30" xr:uid="{27BAB808-8CF7-4C48-A5A3-16805ED7D60A}"/>
    <hyperlink ref="A25" r:id="rId31" xr:uid="{0B6CE78D-3FCE-424A-82B7-9AC2B0058346}"/>
    <hyperlink ref="J37" r:id="rId32" xr:uid="{ECBE0F8C-3438-4E06-AFBC-8E1DA9C98921}"/>
    <hyperlink ref="A32" r:id="rId33" xr:uid="{23E0E457-F9EF-4736-A783-C3AE3594A4BB}"/>
    <hyperlink ref="J55" r:id="rId34" xr:uid="{331A8582-1B8B-4134-B173-010566906E65}"/>
    <hyperlink ref="A47" r:id="rId35" xr:uid="{F02B8DA1-FE1F-408D-A1EE-BC3DE79D6002}"/>
    <hyperlink ref="E47" r:id="rId36" xr:uid="{87DA3829-6A29-42C9-BB1E-09C46F44449E}"/>
    <hyperlink ref="E32" r:id="rId37" xr:uid="{9CFCB86D-0A52-46CC-8044-09F550839CD3}"/>
    <hyperlink ref="E25" r:id="rId38" xr:uid="{3352DFA5-E419-4645-B872-46C2E6AB4E8F}"/>
    <hyperlink ref="E15" r:id="rId39" xr:uid="{2FCD6A05-599B-464B-90E8-2AC249868A77}"/>
    <hyperlink ref="E14" r:id="rId40" xr:uid="{00ECD0F8-956D-4CC1-9FFB-B78C5A443053}"/>
    <hyperlink ref="E11" r:id="rId41" xr:uid="{BE946A91-A19F-45F9-A612-C9B3D2AFF3C9}"/>
    <hyperlink ref="E10" r:id="rId42" xr:uid="{06BE6768-6918-40FF-8EBE-460CE83AA3DC}"/>
    <hyperlink ref="E7" r:id="rId43" xr:uid="{4EB9C4AC-0014-4446-98A9-1F4F6EDCC6E8}"/>
    <hyperlink ref="E6" r:id="rId44" xr:uid="{B1477FEF-BCF5-4246-A556-15251E730543}"/>
    <hyperlink ref="E4" r:id="rId45" xr:uid="{67AED12A-303F-4D50-BE4A-50A43CF6FE21}"/>
    <hyperlink ref="E3" r:id="rId46" xr:uid="{60C6A600-6A7D-47B2-8437-A42D8FC80B76}"/>
    <hyperlink ref="I24" r:id="rId47" xr:uid="{F361DAA1-F9E0-488D-8382-CF4A294ED786}"/>
    <hyperlink ref="F19" r:id="rId48" xr:uid="{00738DF7-D1BD-45C9-BF0F-747C463709E1}"/>
    <hyperlink ref="G19" r:id="rId49" xr:uid="{1BE8A74F-43E7-4472-BDCE-AB10B2AF0156}"/>
    <hyperlink ref="A19" r:id="rId50" xr:uid="{A02AEEBA-3DBE-47D2-BEC7-01929579F03F}"/>
    <hyperlink ref="J24" r:id="rId51" xr:uid="{2BEC1B88-2788-48F7-B985-A0A722DBE166}"/>
    <hyperlink ref="E20" r:id="rId52" xr:uid="{71CEBC83-619E-4120-BB58-B25E88343AAF}"/>
    <hyperlink ref="I46" r:id="rId53" xr:uid="{E0ED7520-42B0-4D02-8F27-A7BBF1A05F73}"/>
    <hyperlink ref="F38" r:id="rId54" xr:uid="{1A83FB7C-5365-4083-827B-0C0430ECABFD}"/>
    <hyperlink ref="G38" r:id="rId55" xr:uid="{A7EEDBAB-DF36-4884-9F84-DC6218726C10}"/>
    <hyperlink ref="J46" r:id="rId56" xr:uid="{53CC4050-8AEB-4479-BCA4-D4D3433DF3B9}"/>
    <hyperlink ref="A38" r:id="rId57" xr:uid="{29D2E750-692A-4B8D-A344-F39C1CEC8731}"/>
    <hyperlink ref="E38" r:id="rId58" xr:uid="{F5DAE72D-49B5-4642-A21D-478FA1263496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48A91-5E69-49BA-BBB4-8A03AF1D8298}">
  <sheetPr codeName="Sheet44">
    <tabColor theme="2" tint="-0.499984740745262"/>
  </sheetPr>
  <dimension ref="A1:J13"/>
  <sheetViews>
    <sheetView workbookViewId="0">
      <selection activeCell="E3" sqref="E3"/>
    </sheetView>
  </sheetViews>
  <sheetFormatPr defaultRowHeight="14.5" x14ac:dyDescent="0.35"/>
  <cols>
    <col min="1" max="1" width="13.1796875" customWidth="1"/>
    <col min="2" max="2" width="10.1796875" customWidth="1"/>
    <col min="3" max="3" width="21" customWidth="1"/>
    <col min="4" max="4" width="20.1796875" customWidth="1"/>
    <col min="5" max="5" width="11.1796875" customWidth="1"/>
    <col min="6" max="6" width="20.54296875" customWidth="1"/>
    <col min="7" max="7" width="22.7265625" customWidth="1"/>
    <col min="8" max="8" width="22.36328125" customWidth="1"/>
    <col min="9" max="9" width="19.26953125" customWidth="1"/>
    <col min="10" max="10" width="18.7265625" customWidth="1"/>
  </cols>
  <sheetData>
    <row r="1" spans="1:10" x14ac:dyDescent="0.35">
      <c r="A1" s="34" t="s">
        <v>3196</v>
      </c>
      <c r="B1" s="16">
        <f>COUNTIF(I2:I1067,C1)+COUNTIF(I2:I1067,D1)</f>
        <v>1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2005</v>
      </c>
      <c r="B3" t="s">
        <v>3</v>
      </c>
      <c r="C3" t="s">
        <v>43</v>
      </c>
      <c r="D3" t="s">
        <v>1833</v>
      </c>
      <c r="E3" s="34" t="s">
        <v>179</v>
      </c>
      <c r="F3" s="33" t="s">
        <v>2006</v>
      </c>
      <c r="G3" s="33" t="s">
        <v>2007</v>
      </c>
      <c r="H3" t="s">
        <v>771</v>
      </c>
      <c r="I3" s="1" t="s">
        <v>2009</v>
      </c>
      <c r="J3" s="3" t="s">
        <v>2006</v>
      </c>
    </row>
    <row r="4" spans="1:10" x14ac:dyDescent="0.35">
      <c r="E4" s="17"/>
      <c r="I4" t="s">
        <v>2014</v>
      </c>
      <c r="J4" t="s">
        <v>2008</v>
      </c>
    </row>
    <row r="5" spans="1:10" x14ac:dyDescent="0.35">
      <c r="I5" t="s">
        <v>1880</v>
      </c>
      <c r="J5" t="s">
        <v>2009</v>
      </c>
    </row>
    <row r="6" spans="1:10" x14ac:dyDescent="0.35">
      <c r="I6" t="s">
        <v>1890</v>
      </c>
      <c r="J6" t="s">
        <v>2009</v>
      </c>
    </row>
    <row r="7" spans="1:10" x14ac:dyDescent="0.35">
      <c r="I7" t="s">
        <v>730</v>
      </c>
      <c r="J7" t="s">
        <v>2008</v>
      </c>
    </row>
    <row r="8" spans="1:10" x14ac:dyDescent="0.35">
      <c r="I8" t="s">
        <v>383</v>
      </c>
      <c r="J8" t="s">
        <v>2010</v>
      </c>
    </row>
    <row r="9" spans="1:10" x14ac:dyDescent="0.35">
      <c r="I9" t="s">
        <v>345</v>
      </c>
      <c r="J9" t="s">
        <v>2011</v>
      </c>
    </row>
    <row r="10" spans="1:10" x14ac:dyDescent="0.35">
      <c r="I10" t="s">
        <v>346</v>
      </c>
      <c r="J10" t="s">
        <v>2012</v>
      </c>
    </row>
    <row r="11" spans="1:10" x14ac:dyDescent="0.35">
      <c r="I11" t="s">
        <v>1555</v>
      </c>
      <c r="J11" s="36" t="s">
        <v>2013</v>
      </c>
    </row>
    <row r="12" spans="1:10" x14ac:dyDescent="0.35">
      <c r="I12" t="s">
        <v>104</v>
      </c>
    </row>
    <row r="13" spans="1:10" x14ac:dyDescent="0.35">
      <c r="I13" s="38" t="s">
        <v>18</v>
      </c>
    </row>
  </sheetData>
  <hyperlinks>
    <hyperlink ref="A1" location="Summary!A1" tooltip="Return to Totals" display="Back to Totals" xr:uid="{4DBF0A6A-EDAB-4F20-A6C0-BC879ECA3030}"/>
    <hyperlink ref="I13" r:id="rId1" xr:uid="{7F733F91-5AF3-455E-A7EF-DD7CA950AB5A}"/>
    <hyperlink ref="J11" r:id="rId2" xr:uid="{7F0CE165-A58E-408E-AECF-7581F1A0137E}"/>
    <hyperlink ref="A3" r:id="rId3" xr:uid="{B1E17D8B-7E66-4131-B19E-17D484427D4F}"/>
    <hyperlink ref="G3" r:id="rId4" xr:uid="{C65835CF-E48E-48F4-B932-3ACF9CEAD4B9}"/>
    <hyperlink ref="F3" r:id="rId5" xr:uid="{F4271BF1-BD86-4E0F-9004-D206F09B2E21}"/>
    <hyperlink ref="E3" r:id="rId6" xr:uid="{DD323430-221A-4DDF-BF34-01148C27EA55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45">
    <tabColor theme="1"/>
  </sheetPr>
  <dimension ref="A1:J95"/>
  <sheetViews>
    <sheetView topLeftCell="A59" zoomScale="77" zoomScaleNormal="77" workbookViewId="0">
      <selection activeCell="B72" sqref="B72"/>
    </sheetView>
  </sheetViews>
  <sheetFormatPr defaultRowHeight="14.5" x14ac:dyDescent="0.35"/>
  <cols>
    <col min="1" max="1" width="20.6328125" customWidth="1"/>
    <col min="2" max="2" width="13.81640625" customWidth="1"/>
    <col min="3" max="3" width="21.26953125" customWidth="1"/>
    <col min="4" max="4" width="22.7265625" customWidth="1"/>
    <col min="5" max="5" width="13" customWidth="1"/>
    <col min="6" max="6" width="23" customWidth="1"/>
    <col min="7" max="7" width="24.7265625" customWidth="1"/>
    <col min="8" max="8" width="22.36328125" customWidth="1"/>
    <col min="9" max="9" width="23.26953125" customWidth="1"/>
    <col min="10" max="10" width="20.453125" customWidth="1"/>
  </cols>
  <sheetData>
    <row r="1" spans="1:10" x14ac:dyDescent="0.35">
      <c r="A1" s="34" t="s">
        <v>3196</v>
      </c>
      <c r="B1" s="16">
        <f>COUNTIF(I2:I1129,C1)+COUNTIF(I2:I1129,D1)</f>
        <v>17</v>
      </c>
      <c r="C1" s="9" t="s">
        <v>18</v>
      </c>
      <c r="D1" s="17" t="s">
        <v>1249</v>
      </c>
    </row>
    <row r="2" spans="1:10" s="10" customFormat="1" x14ac:dyDescent="0.35">
      <c r="A2" s="10" t="s">
        <v>0</v>
      </c>
      <c r="B2" s="10" t="s">
        <v>2</v>
      </c>
      <c r="C2" s="10" t="s">
        <v>4</v>
      </c>
      <c r="D2" s="10" t="s">
        <v>5</v>
      </c>
      <c r="E2" s="10" t="s">
        <v>7</v>
      </c>
      <c r="F2" s="10" t="s">
        <v>10</v>
      </c>
      <c r="G2" s="10" t="s">
        <v>11</v>
      </c>
      <c r="H2" s="10" t="s">
        <v>23</v>
      </c>
      <c r="I2" s="10" t="s">
        <v>15</v>
      </c>
      <c r="J2" s="10" t="s">
        <v>14</v>
      </c>
    </row>
    <row r="3" spans="1:10" x14ac:dyDescent="0.35">
      <c r="A3" s="33" t="s">
        <v>300</v>
      </c>
      <c r="B3" t="s">
        <v>3</v>
      </c>
      <c r="C3" t="s">
        <v>301</v>
      </c>
      <c r="D3" t="s">
        <v>105</v>
      </c>
      <c r="E3" s="34" t="s">
        <v>302</v>
      </c>
      <c r="F3" s="33" t="s">
        <v>36</v>
      </c>
      <c r="G3" s="33" t="s">
        <v>303</v>
      </c>
      <c r="H3" t="s">
        <v>99</v>
      </c>
      <c r="I3" s="1" t="s">
        <v>16</v>
      </c>
      <c r="J3" s="3" t="s">
        <v>304</v>
      </c>
    </row>
    <row r="4" spans="1:10" x14ac:dyDescent="0.35">
      <c r="E4" s="54" t="s">
        <v>1224</v>
      </c>
      <c r="I4" t="s">
        <v>17</v>
      </c>
      <c r="J4" t="s">
        <v>305</v>
      </c>
    </row>
    <row r="5" spans="1:10" x14ac:dyDescent="0.35">
      <c r="I5" s="38" t="s">
        <v>18</v>
      </c>
      <c r="J5" s="36" t="s">
        <v>306</v>
      </c>
    </row>
    <row r="6" spans="1:10" x14ac:dyDescent="0.35">
      <c r="A6" s="33" t="s">
        <v>307</v>
      </c>
      <c r="B6" t="s">
        <v>3</v>
      </c>
      <c r="C6" t="s">
        <v>308</v>
      </c>
      <c r="D6" t="s">
        <v>105</v>
      </c>
      <c r="E6" s="34" t="s">
        <v>309</v>
      </c>
      <c r="F6" s="33" t="s">
        <v>36</v>
      </c>
      <c r="G6" s="33" t="s">
        <v>303</v>
      </c>
      <c r="H6" t="s">
        <v>99</v>
      </c>
      <c r="I6" s="1" t="s">
        <v>16</v>
      </c>
      <c r="J6" s="3" t="s">
        <v>310</v>
      </c>
    </row>
    <row r="7" spans="1:10" x14ac:dyDescent="0.35">
      <c r="E7" s="54" t="s">
        <v>1225</v>
      </c>
      <c r="I7" t="s">
        <v>17</v>
      </c>
      <c r="J7" t="s">
        <v>311</v>
      </c>
    </row>
    <row r="8" spans="1:10" x14ac:dyDescent="0.35">
      <c r="I8" s="38" t="s">
        <v>18</v>
      </c>
      <c r="J8" s="36" t="s">
        <v>312</v>
      </c>
    </row>
    <row r="9" spans="1:10" x14ac:dyDescent="0.35">
      <c r="A9" s="33" t="s">
        <v>3533</v>
      </c>
      <c r="B9" t="s">
        <v>3</v>
      </c>
      <c r="C9" t="s">
        <v>301</v>
      </c>
      <c r="D9" t="s">
        <v>105</v>
      </c>
      <c r="E9" s="34" t="s">
        <v>3534</v>
      </c>
      <c r="F9" s="33" t="s">
        <v>36</v>
      </c>
      <c r="G9" s="33" t="s">
        <v>303</v>
      </c>
      <c r="H9" t="s">
        <v>99</v>
      </c>
      <c r="I9" s="1" t="s">
        <v>16</v>
      </c>
      <c r="J9" s="3" t="s">
        <v>304</v>
      </c>
    </row>
    <row r="10" spans="1:10" x14ac:dyDescent="0.35">
      <c r="E10" s="54" t="s">
        <v>96</v>
      </c>
      <c r="I10" t="s">
        <v>17</v>
      </c>
      <c r="J10" t="s">
        <v>305</v>
      </c>
    </row>
    <row r="11" spans="1:10" x14ac:dyDescent="0.35">
      <c r="I11" s="38" t="s">
        <v>18</v>
      </c>
      <c r="J11" t="s">
        <v>306</v>
      </c>
    </row>
    <row r="12" spans="1:10" x14ac:dyDescent="0.35">
      <c r="I12" s="37"/>
      <c r="J12" s="36" t="s">
        <v>3535</v>
      </c>
    </row>
    <row r="13" spans="1:10" x14ac:dyDescent="0.35">
      <c r="A13" s="33" t="s">
        <v>2411</v>
      </c>
      <c r="B13" s="2" t="s">
        <v>550</v>
      </c>
      <c r="C13" t="s">
        <v>22</v>
      </c>
      <c r="D13" t="s">
        <v>22</v>
      </c>
      <c r="E13" s="34" t="s">
        <v>540</v>
      </c>
      <c r="F13" s="33" t="s">
        <v>63</v>
      </c>
      <c r="G13" s="33" t="s">
        <v>35</v>
      </c>
      <c r="H13" t="s">
        <v>74</v>
      </c>
      <c r="I13" s="1" t="s">
        <v>36</v>
      </c>
      <c r="J13" s="3" t="s">
        <v>2412</v>
      </c>
    </row>
    <row r="14" spans="1:10" x14ac:dyDescent="0.35">
      <c r="E14" s="40" t="s">
        <v>1232</v>
      </c>
      <c r="I14" t="s">
        <v>16</v>
      </c>
      <c r="J14" t="s">
        <v>2413</v>
      </c>
    </row>
    <row r="15" spans="1:10" x14ac:dyDescent="0.35">
      <c r="I15" t="s">
        <v>17</v>
      </c>
      <c r="J15" t="s">
        <v>2414</v>
      </c>
    </row>
    <row r="16" spans="1:10" x14ac:dyDescent="0.35">
      <c r="I16" s="38" t="s">
        <v>18</v>
      </c>
      <c r="J16" s="36" t="s">
        <v>2415</v>
      </c>
    </row>
    <row r="17" spans="1:10" x14ac:dyDescent="0.35">
      <c r="A17" s="33" t="s">
        <v>2628</v>
      </c>
      <c r="B17" s="1" t="s">
        <v>315</v>
      </c>
      <c r="C17" t="s">
        <v>43</v>
      </c>
      <c r="D17" t="s">
        <v>41</v>
      </c>
      <c r="E17" s="34" t="s">
        <v>2629</v>
      </c>
      <c r="F17" s="33" t="s">
        <v>2659</v>
      </c>
      <c r="G17" s="33" t="s">
        <v>56</v>
      </c>
      <c r="H17" t="s">
        <v>73</v>
      </c>
      <c r="I17" s="1" t="s">
        <v>63</v>
      </c>
      <c r="J17" s="3" t="s">
        <v>577</v>
      </c>
    </row>
    <row r="18" spans="1:10" x14ac:dyDescent="0.35">
      <c r="E18" s="40" t="s">
        <v>169</v>
      </c>
      <c r="I18" t="s">
        <v>36</v>
      </c>
      <c r="J18" t="s">
        <v>2630</v>
      </c>
    </row>
    <row r="19" spans="1:10" x14ac:dyDescent="0.35">
      <c r="I19" t="s">
        <v>16</v>
      </c>
      <c r="J19" t="s">
        <v>2631</v>
      </c>
    </row>
    <row r="20" spans="1:10" x14ac:dyDescent="0.35">
      <c r="I20" t="s">
        <v>17</v>
      </c>
      <c r="J20" t="s">
        <v>2632</v>
      </c>
    </row>
    <row r="21" spans="1:10" x14ac:dyDescent="0.35">
      <c r="I21" s="38" t="s">
        <v>18</v>
      </c>
      <c r="J21" s="36" t="s">
        <v>2633</v>
      </c>
    </row>
    <row r="22" spans="1:10" x14ac:dyDescent="0.35">
      <c r="A22" s="33" t="s">
        <v>2416</v>
      </c>
      <c r="B22" s="2" t="s">
        <v>550</v>
      </c>
      <c r="C22" t="s">
        <v>30</v>
      </c>
      <c r="D22" t="s">
        <v>30</v>
      </c>
      <c r="E22" s="34" t="s">
        <v>2417</v>
      </c>
      <c r="F22" s="33" t="s">
        <v>63</v>
      </c>
      <c r="G22" s="33" t="s">
        <v>35</v>
      </c>
      <c r="H22" t="s">
        <v>74</v>
      </c>
      <c r="I22" s="1" t="s">
        <v>36</v>
      </c>
      <c r="J22" s="3" t="s">
        <v>2412</v>
      </c>
    </row>
    <row r="23" spans="1:10" x14ac:dyDescent="0.35">
      <c r="I23" t="s">
        <v>16</v>
      </c>
      <c r="J23" t="s">
        <v>2413</v>
      </c>
    </row>
    <row r="24" spans="1:10" x14ac:dyDescent="0.35">
      <c r="I24" t="s">
        <v>17</v>
      </c>
      <c r="J24" t="s">
        <v>2414</v>
      </c>
    </row>
    <row r="25" spans="1:10" x14ac:dyDescent="0.35">
      <c r="I25" s="38" t="s">
        <v>18</v>
      </c>
      <c r="J25" t="s">
        <v>2415</v>
      </c>
    </row>
    <row r="26" spans="1:10" x14ac:dyDescent="0.35">
      <c r="J26" s="36" t="s">
        <v>2418</v>
      </c>
    </row>
    <row r="27" spans="1:10" x14ac:dyDescent="0.35">
      <c r="A27" s="33" t="s">
        <v>2657</v>
      </c>
      <c r="B27" s="1" t="s">
        <v>315</v>
      </c>
      <c r="C27" t="s">
        <v>43</v>
      </c>
      <c r="D27" t="s">
        <v>64</v>
      </c>
      <c r="E27" s="34" t="s">
        <v>2658</v>
      </c>
      <c r="F27" s="33" t="s">
        <v>63</v>
      </c>
      <c r="G27" s="33" t="s">
        <v>2985</v>
      </c>
      <c r="H27" t="s">
        <v>130</v>
      </c>
      <c r="I27" s="1" t="s">
        <v>2659</v>
      </c>
      <c r="J27" s="3" t="s">
        <v>2660</v>
      </c>
    </row>
    <row r="28" spans="1:10" x14ac:dyDescent="0.35">
      <c r="E28" s="40" t="s">
        <v>2671</v>
      </c>
      <c r="I28" t="s">
        <v>63</v>
      </c>
      <c r="J28" t="s">
        <v>2660</v>
      </c>
    </row>
    <row r="29" spans="1:10" x14ac:dyDescent="0.35">
      <c r="I29" t="s">
        <v>36</v>
      </c>
      <c r="J29" t="s">
        <v>2661</v>
      </c>
    </row>
    <row r="30" spans="1:10" x14ac:dyDescent="0.35">
      <c r="I30" t="s">
        <v>16</v>
      </c>
      <c r="J30" t="s">
        <v>2662</v>
      </c>
    </row>
    <row r="31" spans="1:10" x14ac:dyDescent="0.35">
      <c r="I31" t="s">
        <v>17</v>
      </c>
      <c r="J31" t="s">
        <v>2663</v>
      </c>
    </row>
    <row r="32" spans="1:10" x14ac:dyDescent="0.35">
      <c r="I32" s="38" t="s">
        <v>18</v>
      </c>
      <c r="J32" t="s">
        <v>2664</v>
      </c>
    </row>
    <row r="33" spans="1:10" x14ac:dyDescent="0.35">
      <c r="J33" s="36" t="s">
        <v>2657</v>
      </c>
    </row>
    <row r="34" spans="1:10" x14ac:dyDescent="0.35">
      <c r="A34" s="33" t="s">
        <v>2669</v>
      </c>
      <c r="B34" s="1" t="s">
        <v>315</v>
      </c>
      <c r="C34" t="s">
        <v>43</v>
      </c>
      <c r="D34" t="s">
        <v>64</v>
      </c>
      <c r="E34" s="34" t="s">
        <v>2668</v>
      </c>
      <c r="F34" s="33" t="s">
        <v>63</v>
      </c>
      <c r="G34" s="33" t="s">
        <v>2985</v>
      </c>
      <c r="H34" t="s">
        <v>130</v>
      </c>
      <c r="I34" s="1" t="s">
        <v>2659</v>
      </c>
      <c r="J34" s="3" t="s">
        <v>2660</v>
      </c>
    </row>
    <row r="35" spans="1:10" x14ac:dyDescent="0.35">
      <c r="E35" s="40" t="s">
        <v>2144</v>
      </c>
      <c r="I35" t="s">
        <v>63</v>
      </c>
      <c r="J35" t="s">
        <v>2660</v>
      </c>
    </row>
    <row r="36" spans="1:10" x14ac:dyDescent="0.35">
      <c r="I36" t="s">
        <v>36</v>
      </c>
      <c r="J36" t="s">
        <v>2661</v>
      </c>
    </row>
    <row r="37" spans="1:10" x14ac:dyDescent="0.35">
      <c r="I37" t="s">
        <v>16</v>
      </c>
      <c r="J37" t="s">
        <v>2662</v>
      </c>
    </row>
    <row r="38" spans="1:10" x14ac:dyDescent="0.35">
      <c r="I38" t="s">
        <v>17</v>
      </c>
      <c r="J38" t="s">
        <v>2663</v>
      </c>
    </row>
    <row r="39" spans="1:10" x14ac:dyDescent="0.35">
      <c r="I39" s="38" t="s">
        <v>18</v>
      </c>
      <c r="J39" t="s">
        <v>2664</v>
      </c>
    </row>
    <row r="40" spans="1:10" x14ac:dyDescent="0.35">
      <c r="J40" s="36" t="s">
        <v>2670</v>
      </c>
    </row>
    <row r="41" spans="1:10" x14ac:dyDescent="0.35">
      <c r="A41" s="33" t="s">
        <v>2665</v>
      </c>
      <c r="B41" s="1" t="s">
        <v>315</v>
      </c>
      <c r="C41" t="s">
        <v>43</v>
      </c>
      <c r="D41" t="s">
        <v>414</v>
      </c>
      <c r="E41" s="34" t="s">
        <v>2666</v>
      </c>
      <c r="F41" s="33" t="s">
        <v>63</v>
      </c>
      <c r="G41" s="33" t="s">
        <v>2985</v>
      </c>
      <c r="H41" t="s">
        <v>130</v>
      </c>
      <c r="I41" s="1" t="s">
        <v>2659</v>
      </c>
      <c r="J41" s="3" t="s">
        <v>2660</v>
      </c>
    </row>
    <row r="42" spans="1:10" x14ac:dyDescent="0.35">
      <c r="E42" s="40" t="s">
        <v>1230</v>
      </c>
      <c r="I42" t="s">
        <v>63</v>
      </c>
      <c r="J42" t="s">
        <v>2660</v>
      </c>
    </row>
    <row r="43" spans="1:10" x14ac:dyDescent="0.35">
      <c r="I43" t="s">
        <v>36</v>
      </c>
      <c r="J43" t="s">
        <v>2661</v>
      </c>
    </row>
    <row r="44" spans="1:10" x14ac:dyDescent="0.35">
      <c r="I44" t="s">
        <v>16</v>
      </c>
      <c r="J44" t="s">
        <v>2662</v>
      </c>
    </row>
    <row r="45" spans="1:10" x14ac:dyDescent="0.35">
      <c r="I45" t="s">
        <v>17</v>
      </c>
      <c r="J45" t="s">
        <v>2663</v>
      </c>
    </row>
    <row r="46" spans="1:10" x14ac:dyDescent="0.35">
      <c r="I46" s="38" t="s">
        <v>18</v>
      </c>
      <c r="J46" t="s">
        <v>2664</v>
      </c>
    </row>
    <row r="47" spans="1:10" x14ac:dyDescent="0.35">
      <c r="J47" t="s">
        <v>2657</v>
      </c>
    </row>
    <row r="48" spans="1:10" x14ac:dyDescent="0.35">
      <c r="J48" s="36" t="s">
        <v>2667</v>
      </c>
    </row>
    <row r="49" spans="1:10" x14ac:dyDescent="0.35">
      <c r="A49" s="33" t="s">
        <v>4192</v>
      </c>
      <c r="B49" t="s">
        <v>3</v>
      </c>
      <c r="C49" t="s">
        <v>43</v>
      </c>
      <c r="D49" t="s">
        <v>41</v>
      </c>
      <c r="E49" s="34" t="s">
        <v>1240</v>
      </c>
      <c r="F49" s="33" t="s">
        <v>2659</v>
      </c>
      <c r="G49" s="33" t="s">
        <v>56</v>
      </c>
      <c r="H49" t="s">
        <v>73</v>
      </c>
      <c r="I49" s="1" t="s">
        <v>63</v>
      </c>
      <c r="J49" s="3" t="s">
        <v>577</v>
      </c>
    </row>
    <row r="50" spans="1:10" x14ac:dyDescent="0.35">
      <c r="E50" s="40" t="s">
        <v>1234</v>
      </c>
      <c r="I50" t="s">
        <v>36</v>
      </c>
      <c r="J50" t="s">
        <v>2630</v>
      </c>
    </row>
    <row r="51" spans="1:10" x14ac:dyDescent="0.35">
      <c r="I51" t="s">
        <v>16</v>
      </c>
      <c r="J51" t="s">
        <v>2631</v>
      </c>
    </row>
    <row r="52" spans="1:10" x14ac:dyDescent="0.35">
      <c r="I52" t="s">
        <v>17</v>
      </c>
      <c r="J52" t="s">
        <v>4193</v>
      </c>
    </row>
    <row r="53" spans="1:10" x14ac:dyDescent="0.35">
      <c r="I53" s="38" t="s">
        <v>18</v>
      </c>
      <c r="J53" s="36" t="s">
        <v>4194</v>
      </c>
    </row>
    <row r="54" spans="1:10" x14ac:dyDescent="0.35">
      <c r="A54" t="s">
        <v>4367</v>
      </c>
      <c r="B54" t="s">
        <v>3</v>
      </c>
      <c r="C54" t="s">
        <v>43</v>
      </c>
      <c r="D54" t="s">
        <v>429</v>
      </c>
      <c r="E54" s="34" t="s">
        <v>1238</v>
      </c>
      <c r="F54" s="33" t="s">
        <v>4310</v>
      </c>
      <c r="G54" s="33" t="s">
        <v>4311</v>
      </c>
      <c r="H54" t="s">
        <v>54</v>
      </c>
      <c r="I54" s="1" t="s">
        <v>63</v>
      </c>
      <c r="J54" s="3" t="s">
        <v>4313</v>
      </c>
    </row>
    <row r="55" spans="1:10" x14ac:dyDescent="0.35">
      <c r="E55" s="54"/>
      <c r="I55" t="s">
        <v>2659</v>
      </c>
      <c r="J55" t="s">
        <v>4314</v>
      </c>
    </row>
    <row r="56" spans="1:10" x14ac:dyDescent="0.35">
      <c r="I56" t="s">
        <v>63</v>
      </c>
      <c r="J56" t="s">
        <v>4315</v>
      </c>
    </row>
    <row r="57" spans="1:10" x14ac:dyDescent="0.35">
      <c r="I57" t="s">
        <v>36</v>
      </c>
      <c r="J57" t="s">
        <v>4316</v>
      </c>
    </row>
    <row r="58" spans="1:10" x14ac:dyDescent="0.35">
      <c r="I58" t="s">
        <v>16</v>
      </c>
      <c r="J58" t="s">
        <v>4317</v>
      </c>
    </row>
    <row r="59" spans="1:10" x14ac:dyDescent="0.35">
      <c r="I59" t="s">
        <v>17</v>
      </c>
      <c r="J59" t="s">
        <v>4318</v>
      </c>
    </row>
    <row r="60" spans="1:10" x14ac:dyDescent="0.35">
      <c r="I60" s="38" t="s">
        <v>18</v>
      </c>
      <c r="J60" t="s">
        <v>4213</v>
      </c>
    </row>
    <row r="61" spans="1:10" x14ac:dyDescent="0.35">
      <c r="I61" s="37"/>
      <c r="J61" s="36" t="s">
        <v>4368</v>
      </c>
    </row>
    <row r="62" spans="1:10" x14ac:dyDescent="0.35">
      <c r="A62" s="33" t="s">
        <v>1670</v>
      </c>
      <c r="B62" t="s">
        <v>3</v>
      </c>
      <c r="C62" t="s">
        <v>43</v>
      </c>
      <c r="D62" t="s">
        <v>41</v>
      </c>
      <c r="E62" s="54" t="s">
        <v>363</v>
      </c>
      <c r="F62" s="33" t="s">
        <v>2659</v>
      </c>
      <c r="G62" s="33" t="s">
        <v>56</v>
      </c>
      <c r="H62" t="s">
        <v>73</v>
      </c>
      <c r="I62" s="1" t="s">
        <v>63</v>
      </c>
      <c r="J62" s="3" t="s">
        <v>577</v>
      </c>
    </row>
    <row r="63" spans="1:10" x14ac:dyDescent="0.35">
      <c r="E63" s="34" t="s">
        <v>169</v>
      </c>
      <c r="I63" t="s">
        <v>36</v>
      </c>
      <c r="J63" t="s">
        <v>1461</v>
      </c>
    </row>
    <row r="64" spans="1:10" x14ac:dyDescent="0.35">
      <c r="I64" t="s">
        <v>16</v>
      </c>
      <c r="J64" t="s">
        <v>1462</v>
      </c>
    </row>
    <row r="65" spans="1:10" x14ac:dyDescent="0.35">
      <c r="I65" t="s">
        <v>17</v>
      </c>
      <c r="J65" t="s">
        <v>1463</v>
      </c>
    </row>
    <row r="66" spans="1:10" x14ac:dyDescent="0.35">
      <c r="I66" s="38" t="s">
        <v>18</v>
      </c>
      <c r="J66" s="36" t="s">
        <v>1464</v>
      </c>
    </row>
    <row r="67" spans="1:10" x14ac:dyDescent="0.35">
      <c r="A67" s="33" t="s">
        <v>2697</v>
      </c>
      <c r="B67" t="s">
        <v>3</v>
      </c>
      <c r="C67" t="s">
        <v>43</v>
      </c>
      <c r="D67" t="s">
        <v>41</v>
      </c>
      <c r="E67" s="34" t="s">
        <v>327</v>
      </c>
      <c r="F67" s="33" t="s">
        <v>2659</v>
      </c>
      <c r="G67" s="33" t="s">
        <v>56</v>
      </c>
      <c r="H67" t="s">
        <v>73</v>
      </c>
      <c r="I67" s="1" t="s">
        <v>63</v>
      </c>
      <c r="J67" s="3" t="s">
        <v>577</v>
      </c>
    </row>
    <row r="68" spans="1:10" x14ac:dyDescent="0.35">
      <c r="E68" s="54" t="s">
        <v>327</v>
      </c>
      <c r="I68" t="s">
        <v>36</v>
      </c>
      <c r="J68" t="s">
        <v>1461</v>
      </c>
    </row>
    <row r="69" spans="1:10" x14ac:dyDescent="0.35">
      <c r="I69" t="s">
        <v>16</v>
      </c>
      <c r="J69" t="s">
        <v>2698</v>
      </c>
    </row>
    <row r="70" spans="1:10" x14ac:dyDescent="0.35">
      <c r="I70" t="s">
        <v>17</v>
      </c>
      <c r="J70" t="s">
        <v>2699</v>
      </c>
    </row>
    <row r="71" spans="1:10" x14ac:dyDescent="0.35">
      <c r="I71" s="38" t="s">
        <v>18</v>
      </c>
      <c r="J71" s="36" t="s">
        <v>2700</v>
      </c>
    </row>
    <row r="72" spans="1:10" x14ac:dyDescent="0.35">
      <c r="A72" s="33" t="s">
        <v>4312</v>
      </c>
      <c r="B72" s="1" t="s">
        <v>315</v>
      </c>
      <c r="C72" t="s">
        <v>43</v>
      </c>
      <c r="D72" t="s">
        <v>429</v>
      </c>
      <c r="E72" s="34" t="s">
        <v>327</v>
      </c>
      <c r="F72" s="33" t="s">
        <v>4310</v>
      </c>
      <c r="G72" s="33" t="s">
        <v>4311</v>
      </c>
      <c r="H72" t="s">
        <v>54</v>
      </c>
      <c r="I72" s="1" t="s">
        <v>63</v>
      </c>
      <c r="J72" s="3" t="s">
        <v>4313</v>
      </c>
    </row>
    <row r="73" spans="1:10" x14ac:dyDescent="0.35">
      <c r="E73" s="54" t="s">
        <v>327</v>
      </c>
      <c r="I73" t="s">
        <v>2659</v>
      </c>
      <c r="J73" t="s">
        <v>4314</v>
      </c>
    </row>
    <row r="74" spans="1:10" x14ac:dyDescent="0.35">
      <c r="I74" t="s">
        <v>63</v>
      </c>
      <c r="J74" t="s">
        <v>4315</v>
      </c>
    </row>
    <row r="75" spans="1:10" x14ac:dyDescent="0.35">
      <c r="I75" t="s">
        <v>36</v>
      </c>
      <c r="J75" t="s">
        <v>4316</v>
      </c>
    </row>
    <row r="76" spans="1:10" x14ac:dyDescent="0.35">
      <c r="I76" t="s">
        <v>16</v>
      </c>
      <c r="J76" t="s">
        <v>4317</v>
      </c>
    </row>
    <row r="77" spans="1:10" x14ac:dyDescent="0.35">
      <c r="I77" t="s">
        <v>17</v>
      </c>
      <c r="J77" t="s">
        <v>4318</v>
      </c>
    </row>
    <row r="78" spans="1:10" x14ac:dyDescent="0.35">
      <c r="I78" s="38" t="s">
        <v>18</v>
      </c>
      <c r="J78" t="s">
        <v>4319</v>
      </c>
    </row>
    <row r="79" spans="1:10" x14ac:dyDescent="0.35">
      <c r="I79" s="37"/>
      <c r="J79" s="36" t="s">
        <v>4320</v>
      </c>
    </row>
    <row r="80" spans="1:10" x14ac:dyDescent="0.35">
      <c r="A80" s="33" t="s">
        <v>1460</v>
      </c>
      <c r="B80" t="s">
        <v>3</v>
      </c>
      <c r="C80" t="s">
        <v>43</v>
      </c>
      <c r="D80" t="s">
        <v>159</v>
      </c>
      <c r="E80" s="34" t="s">
        <v>169</v>
      </c>
      <c r="F80" s="33" t="s">
        <v>2659</v>
      </c>
      <c r="G80" s="33" t="s">
        <v>56</v>
      </c>
      <c r="H80" t="s">
        <v>73</v>
      </c>
      <c r="I80" s="1" t="s">
        <v>63</v>
      </c>
      <c r="J80" s="3" t="s">
        <v>577</v>
      </c>
    </row>
    <row r="81" spans="1:10" x14ac:dyDescent="0.35">
      <c r="E81" s="54" t="s">
        <v>169</v>
      </c>
      <c r="I81" t="s">
        <v>36</v>
      </c>
      <c r="J81" t="s">
        <v>1461</v>
      </c>
    </row>
    <row r="82" spans="1:10" x14ac:dyDescent="0.35">
      <c r="I82" t="s">
        <v>16</v>
      </c>
      <c r="J82" t="s">
        <v>1462</v>
      </c>
    </row>
    <row r="83" spans="1:10" x14ac:dyDescent="0.35">
      <c r="I83" t="s">
        <v>17</v>
      </c>
      <c r="J83" t="s">
        <v>1463</v>
      </c>
    </row>
    <row r="84" spans="1:10" x14ac:dyDescent="0.35">
      <c r="I84" s="38" t="s">
        <v>18</v>
      </c>
      <c r="J84" t="s">
        <v>1464</v>
      </c>
    </row>
    <row r="85" spans="1:10" x14ac:dyDescent="0.35">
      <c r="J85" s="36" t="s">
        <v>1465</v>
      </c>
    </row>
    <row r="86" spans="1:10" x14ac:dyDescent="0.35">
      <c r="A86" s="33" t="s">
        <v>3877</v>
      </c>
      <c r="B86" t="s">
        <v>3</v>
      </c>
      <c r="C86" t="s">
        <v>43</v>
      </c>
      <c r="D86" t="s">
        <v>2133</v>
      </c>
      <c r="E86" s="34" t="s">
        <v>179</v>
      </c>
      <c r="F86" s="33" t="s">
        <v>2659</v>
      </c>
      <c r="G86" s="33" t="s">
        <v>56</v>
      </c>
      <c r="H86" t="s">
        <v>73</v>
      </c>
      <c r="I86" s="1" t="s">
        <v>63</v>
      </c>
      <c r="J86" s="3" t="s">
        <v>577</v>
      </c>
    </row>
    <row r="87" spans="1:10" x14ac:dyDescent="0.35">
      <c r="E87" s="54"/>
      <c r="I87" t="s">
        <v>36</v>
      </c>
      <c r="J87" t="s">
        <v>2630</v>
      </c>
    </row>
    <row r="88" spans="1:10" x14ac:dyDescent="0.35">
      <c r="I88" t="s">
        <v>16</v>
      </c>
      <c r="J88" t="s">
        <v>2631</v>
      </c>
    </row>
    <row r="89" spans="1:10" x14ac:dyDescent="0.35">
      <c r="I89" t="s">
        <v>17</v>
      </c>
      <c r="J89" t="s">
        <v>2632</v>
      </c>
    </row>
    <row r="90" spans="1:10" x14ac:dyDescent="0.35">
      <c r="I90" s="38" t="s">
        <v>18</v>
      </c>
      <c r="J90" s="36" t="s">
        <v>3877</v>
      </c>
    </row>
    <row r="91" spans="1:10" x14ac:dyDescent="0.35">
      <c r="A91" s="33" t="s">
        <v>573</v>
      </c>
      <c r="B91" t="s">
        <v>3</v>
      </c>
      <c r="C91" t="s">
        <v>43</v>
      </c>
      <c r="D91" t="s">
        <v>30</v>
      </c>
      <c r="E91" s="34" t="s">
        <v>89</v>
      </c>
      <c r="F91" s="33" t="s">
        <v>2659</v>
      </c>
      <c r="G91" s="33" t="s">
        <v>56</v>
      </c>
      <c r="H91" t="s">
        <v>73</v>
      </c>
      <c r="I91" s="1" t="s">
        <v>63</v>
      </c>
      <c r="J91" s="3" t="s">
        <v>577</v>
      </c>
    </row>
    <row r="92" spans="1:10" x14ac:dyDescent="0.35">
      <c r="E92" s="17"/>
      <c r="I92" t="s">
        <v>36</v>
      </c>
      <c r="J92" t="s">
        <v>576</v>
      </c>
    </row>
    <row r="93" spans="1:10" x14ac:dyDescent="0.35">
      <c r="I93" t="s">
        <v>16</v>
      </c>
      <c r="J93" t="s">
        <v>575</v>
      </c>
    </row>
    <row r="94" spans="1:10" x14ac:dyDescent="0.35">
      <c r="I94" t="s">
        <v>17</v>
      </c>
      <c r="J94" s="36" t="s">
        <v>574</v>
      </c>
    </row>
    <row r="95" spans="1:10" x14ac:dyDescent="0.35">
      <c r="I95" s="38" t="s">
        <v>18</v>
      </c>
    </row>
  </sheetData>
  <autoFilter ref="E1:E95" xr:uid="{00000000-0001-0000-2100-000000000000}"/>
  <hyperlinks>
    <hyperlink ref="A1" location="Summary!B45" tooltip="Return to Totals" display="Back to Totals" xr:uid="{4BC35909-C885-475A-8C40-F646E3FF3902}"/>
    <hyperlink ref="I5" r:id="rId1" xr:uid="{9746B81A-EA9E-44D0-81EB-7BDCD066B862}"/>
    <hyperlink ref="I8" r:id="rId2" xr:uid="{27AD55C5-23E6-451A-B948-1617E12AB0A8}"/>
    <hyperlink ref="I16" r:id="rId3" xr:uid="{63EFA153-5824-46DC-9A18-9953C4C2AEDB}"/>
    <hyperlink ref="I21" r:id="rId4" xr:uid="{347230F1-05B6-412C-A83E-6FB349F535F5}"/>
    <hyperlink ref="I25" r:id="rId5" xr:uid="{137F2F41-E1F6-43BC-8284-51AE5196228B}"/>
    <hyperlink ref="I32" r:id="rId6" xr:uid="{C64B5CBA-E27B-441D-94F5-A45891E458EA}"/>
    <hyperlink ref="I39" r:id="rId7" xr:uid="{0441E9F6-927C-45BF-8769-A1FF142D71E4}"/>
    <hyperlink ref="I46" r:id="rId8" xr:uid="{23E8F29F-BE19-403F-9E2C-8313D3A783BA}"/>
    <hyperlink ref="I66" r:id="rId9" xr:uid="{F72C0C60-1F5F-4BB4-A52D-9BAF01830AD1}"/>
    <hyperlink ref="I71" r:id="rId10" xr:uid="{ABF03783-C6CD-4CE8-AC3C-1C1EE5CC880E}"/>
    <hyperlink ref="I84" r:id="rId11" xr:uid="{E55FB348-2E84-41D5-B853-22BB0A0D022E}"/>
    <hyperlink ref="I95" r:id="rId12" xr:uid="{2B7F1016-971B-430B-9D96-14F9B46C6180}"/>
    <hyperlink ref="F3" r:id="rId13" xr:uid="{B9E8CFAE-6B2D-4847-81AF-72D9C91DD796}"/>
    <hyperlink ref="F6" r:id="rId14" xr:uid="{28F86A6D-7810-435B-8153-9DFED123478B}"/>
    <hyperlink ref="G3" r:id="rId15" xr:uid="{FDD6E147-3D80-4555-94B8-1757DA87DC89}"/>
    <hyperlink ref="G6" r:id="rId16" xr:uid="{F409C887-0A6D-4D35-BB7B-D278B0B1FF9C}"/>
    <hyperlink ref="F13" r:id="rId17" xr:uid="{F7EE5D0D-672F-4AC6-B205-0B920A49A2A0}"/>
    <hyperlink ref="F22" r:id="rId18" xr:uid="{451FD52D-E88A-4F3B-B50C-92D4C3B47511}"/>
    <hyperlink ref="G13" r:id="rId19" xr:uid="{27027488-7300-4E54-9311-7AC0060E3531}"/>
    <hyperlink ref="G22" r:id="rId20" xr:uid="{AE147EC8-D6BC-46C6-9D07-F01C7AF18531}"/>
    <hyperlink ref="F17" r:id="rId21" xr:uid="{1370D03F-5A03-420B-BE21-434CB1CF8092}"/>
    <hyperlink ref="F62" r:id="rId22" xr:uid="{4F716A93-827D-4629-9F67-04274A17ADCA}"/>
    <hyperlink ref="F67" r:id="rId23" xr:uid="{03041F93-7DDC-4D9D-A513-E51F23AE4FD6}"/>
    <hyperlink ref="F80" r:id="rId24" xr:uid="{F5DC8F1A-09A9-49D5-A858-49FEDDA925BA}"/>
    <hyperlink ref="F91" r:id="rId25" xr:uid="{F34312F7-461C-4C24-B0D8-4C41B237D769}"/>
    <hyperlink ref="G91" r:id="rId26" xr:uid="{0210210C-587F-4056-9292-95F1CD6D5AD4}"/>
    <hyperlink ref="G80" r:id="rId27" xr:uid="{548F7142-46C7-421B-B3A8-872CC88D8848}"/>
    <hyperlink ref="G67" r:id="rId28" xr:uid="{0E83415B-5B1F-4602-B486-FFD0C4540F28}"/>
    <hyperlink ref="G62" r:id="rId29" xr:uid="{0F9B8694-F617-40AC-AE6D-0C304459CD1E}"/>
    <hyperlink ref="G17" r:id="rId30" xr:uid="{38F2FB79-4BCB-41AA-93F2-2D3590752347}"/>
    <hyperlink ref="F27" r:id="rId31" xr:uid="{102649E0-55A5-4B54-9A72-E83F1EF7D293}"/>
    <hyperlink ref="F34" r:id="rId32" xr:uid="{F74B2E5B-A530-41E6-93B5-ACCC5F82719E}"/>
    <hyperlink ref="F41" r:id="rId33" xr:uid="{B2FE6DEC-4E69-47DA-A4D7-5B1B33791F6B}"/>
    <hyperlink ref="G27" r:id="rId34" xr:uid="{50F29C75-35BC-427C-8E69-DDEF765CE0DB}"/>
    <hyperlink ref="G34" r:id="rId35" xr:uid="{22481D48-8AD1-4C11-974D-40B26F857FA0}"/>
    <hyperlink ref="G41" r:id="rId36" xr:uid="{C394B39C-551D-408A-911B-55DCECCCCD84}"/>
    <hyperlink ref="J5" r:id="rId37" xr:uid="{17901A36-D230-4ED2-9505-444666955914}"/>
    <hyperlink ref="A3" r:id="rId38" xr:uid="{6DD9F8C7-6708-43A6-BEAE-A941BD34372A}"/>
    <hyperlink ref="J8" r:id="rId39" xr:uid="{5C5258B4-393E-48CA-B5E6-08A000A88196}"/>
    <hyperlink ref="A6" r:id="rId40" xr:uid="{201F780E-0EAF-4E47-8126-E066D3CE6CD6}"/>
    <hyperlink ref="J16" r:id="rId41" xr:uid="{A751B366-EED8-469D-B832-EBF2BC44F8F5}"/>
    <hyperlink ref="J26" r:id="rId42" xr:uid="{5C1B0FF6-1126-40A2-BCB6-C1D190293468}"/>
    <hyperlink ref="J21" r:id="rId43" xr:uid="{21568813-AFAF-4F79-B566-BBBD29847D4F}"/>
    <hyperlink ref="J33" r:id="rId44" xr:uid="{319BCE71-ED9D-42D1-BF9A-7B6E2ECC3FD1}"/>
    <hyperlink ref="J48" r:id="rId45" xr:uid="{F73B0795-D97A-40C9-B228-FF7D6319251F}"/>
    <hyperlink ref="J40" r:id="rId46" xr:uid="{66D7B285-42A4-4C1C-B2C0-5B1E9A36D52D}"/>
    <hyperlink ref="J66" r:id="rId47" xr:uid="{EE6581E7-2707-4970-952B-A19712C446D9}"/>
    <hyperlink ref="A62" r:id="rId48" xr:uid="{15269E50-A289-4ED3-BA32-C276594C4478}"/>
    <hyperlink ref="J71" r:id="rId49" xr:uid="{5CC2C7FE-01E6-4B95-B304-5BB5EFCC40BB}"/>
    <hyperlink ref="A67" r:id="rId50" xr:uid="{D8C0CDA6-C7B5-4353-90FD-19D4E43312A3}"/>
    <hyperlink ref="J85" r:id="rId51" xr:uid="{E8FC7C7C-0504-4F01-B130-37CD8C9D4BE7}"/>
    <hyperlink ref="A80" r:id="rId52" xr:uid="{E4A2FAA5-60F2-444D-A38B-40CED505B7E5}"/>
    <hyperlink ref="J94" r:id="rId53" xr:uid="{C0F7FD2F-CEBD-403E-9938-5235CCC0E787}"/>
    <hyperlink ref="A91" r:id="rId54" xr:uid="{1F425F23-205D-4648-889D-EA7FB9D8F904}"/>
    <hyperlink ref="A27" r:id="rId55" xr:uid="{D485B4BB-E24A-428B-BB65-78BC6BB44BEE}"/>
    <hyperlink ref="A34" r:id="rId56" xr:uid="{FBAA8DE5-CADB-4BF6-8215-73375200BBA2}"/>
    <hyperlink ref="A41" r:id="rId57" xr:uid="{C4842EA7-FAD8-49F3-9EBE-733E18754A8F}"/>
    <hyperlink ref="A17" r:id="rId58" xr:uid="{79D27F08-1BF4-4385-AEC2-72EA324BC811}"/>
    <hyperlink ref="A13" r:id="rId59" xr:uid="{130643D0-430C-490A-95BA-A9EFDAC2B78B}"/>
    <hyperlink ref="A22" r:id="rId60" xr:uid="{80A097F3-E2D1-454F-8E69-5AAA4FB7A3CB}"/>
    <hyperlink ref="E91" r:id="rId61" xr:uid="{88037167-CDE4-4E2C-BB91-5C3F1A734676}"/>
    <hyperlink ref="E81" r:id="rId62" xr:uid="{2A91A3AB-72D4-450F-ABCD-10B5A0B27E21}"/>
    <hyperlink ref="E80" r:id="rId63" xr:uid="{B39B2C73-B7CA-4CE3-B0EE-6E92C892BDE2}"/>
    <hyperlink ref="E63" r:id="rId64" xr:uid="{825E9BF8-07B9-4D4E-A1B3-CAE772699621}"/>
    <hyperlink ref="E18" r:id="rId65" xr:uid="{DCB957E8-481D-4A4F-85CC-4600DC6B9860}"/>
    <hyperlink ref="E68" r:id="rId66" xr:uid="{D3DB8AB4-C618-4EB2-BDE5-4166020BE031}"/>
    <hyperlink ref="E67" r:id="rId67" xr:uid="{8694AAEE-76DB-40DF-A962-DF9EB05E9017}"/>
    <hyperlink ref="E62" r:id="rId68" xr:uid="{7C6230D9-E408-471A-AF63-703554D3C3B3}"/>
    <hyperlink ref="E42" r:id="rId69" xr:uid="{35150711-9323-46B0-853D-21106C34F808}"/>
    <hyperlink ref="E41" r:id="rId70" xr:uid="{6654224C-890D-476F-BEDA-44F89C967DE7}"/>
    <hyperlink ref="E35" r:id="rId71" xr:uid="{9E4F0603-0A51-4313-9045-2A9C8116D849}"/>
    <hyperlink ref="E34" r:id="rId72" xr:uid="{B1C5F79F-078D-4739-8DAD-D7CAC72D2DE9}"/>
    <hyperlink ref="E28" r:id="rId73" xr:uid="{D05F1E60-4AB6-4207-AC99-BDBF4437E4A3}"/>
    <hyperlink ref="E27" r:id="rId74" xr:uid="{B35E2388-E191-48E4-B837-C812B60423C5}"/>
    <hyperlink ref="E22" r:id="rId75" xr:uid="{4C7039A4-C775-4E13-87E0-A7CFCED2C0DF}"/>
    <hyperlink ref="E17" r:id="rId76" xr:uid="{22370726-C08F-4FA4-AE43-9C6B88707B41}"/>
    <hyperlink ref="E14" r:id="rId77" xr:uid="{96E82244-E2B7-409E-B071-E7DDF84BA14D}"/>
    <hyperlink ref="E13" r:id="rId78" xr:uid="{E0D7CFBF-705B-4824-8DBC-6FAED889E8AF}"/>
    <hyperlink ref="E7" r:id="rId79" xr:uid="{D3742895-2787-4658-8B55-7DAD24F86FA1}"/>
    <hyperlink ref="E6" r:id="rId80" xr:uid="{07D3473A-7C24-4D38-86F8-1DCB6909D776}"/>
    <hyperlink ref="E4" r:id="rId81" xr:uid="{3D3C0C2E-F8D7-4D69-A065-4697E2E603DE}"/>
    <hyperlink ref="E3" r:id="rId82" xr:uid="{22B8C367-AC87-49B6-A634-AE3047954E14}"/>
    <hyperlink ref="I11" r:id="rId83" xr:uid="{05D860BA-D2D8-4120-A11B-EEFDE76F3051}"/>
    <hyperlink ref="F9" r:id="rId84" xr:uid="{E7C76674-246D-44B0-B662-0E97136246E6}"/>
    <hyperlink ref="G9" r:id="rId85" xr:uid="{0415E03F-3550-4245-911B-85B615E84FA0}"/>
    <hyperlink ref="A9" r:id="rId86" xr:uid="{EF4878EB-A65D-4B26-A02C-510F17CCAB37}"/>
    <hyperlink ref="E10" r:id="rId87" xr:uid="{F10282E9-8897-4C9E-99B2-A7D6DF490B23}"/>
    <hyperlink ref="E9" r:id="rId88" xr:uid="{7BF1D28E-71AC-4942-A89A-D986D0F538A5}"/>
    <hyperlink ref="J12" r:id="rId89" xr:uid="{171B7F1F-3E88-4B77-9D9F-D4C97CA00846}"/>
    <hyperlink ref="I90" r:id="rId90" xr:uid="{20C547E0-DA60-43E4-B67A-1A2B28258B96}"/>
    <hyperlink ref="F86" r:id="rId91" xr:uid="{01AA398A-F8B1-4C43-9169-B8D84B2AF6ED}"/>
    <hyperlink ref="G86" r:id="rId92" xr:uid="{A6F8E7BA-3625-4B4D-9790-A6F862BD0B8F}"/>
    <hyperlink ref="A86" r:id="rId93" xr:uid="{DA642084-DE6E-499F-916C-A3E4676FB38B}"/>
    <hyperlink ref="E86" r:id="rId94" xr:uid="{E8B3F095-12AF-4DA1-83AF-E2EF0EC4DED3}"/>
    <hyperlink ref="J90" r:id="rId95" xr:uid="{C4DEF99D-7F45-433D-8B8D-CBE7BFE61B7D}"/>
    <hyperlink ref="I53" r:id="rId96" xr:uid="{4628BF59-CC59-4104-87D0-92997D8609B0}"/>
    <hyperlink ref="F49" r:id="rId97" xr:uid="{96392D5A-1B5E-4E09-9F0F-641048F6C8C5}"/>
    <hyperlink ref="G49" r:id="rId98" xr:uid="{16B89398-88EA-4900-A2B7-6FDEC9FD150B}"/>
    <hyperlink ref="J53" r:id="rId99" xr:uid="{2BADDD47-E1AF-4C0F-9857-DA3DAE60D801}"/>
    <hyperlink ref="A49" r:id="rId100" xr:uid="{AA4EBFE7-B1A9-4C7E-86E5-0615AC7F9831}"/>
    <hyperlink ref="E50" r:id="rId101" xr:uid="{0B4E5729-BE19-420C-A59D-694A4DCFE594}"/>
    <hyperlink ref="E49" r:id="rId102" xr:uid="{E2547784-227E-4ECF-929C-10E927BABDF7}"/>
    <hyperlink ref="I78" r:id="rId103" xr:uid="{2284CAA2-451E-4835-AE29-1688EB3FD8B5}"/>
    <hyperlink ref="F72" r:id="rId104" xr:uid="{E318BC35-1422-47BB-A459-76BE9F787A43}"/>
    <hyperlink ref="G72" r:id="rId105" xr:uid="{C4DE785A-9627-43F8-9581-BF9CA74C7D56}"/>
    <hyperlink ref="A72" r:id="rId106" xr:uid="{B13FF440-CFF0-439C-946D-A7EA030197C2}"/>
    <hyperlink ref="E73" r:id="rId107" xr:uid="{38E4EB90-469B-484D-95C2-C5653E535388}"/>
    <hyperlink ref="E72" r:id="rId108" xr:uid="{1B68BB22-952C-4CE5-B182-FFA7C952E241}"/>
    <hyperlink ref="J79" r:id="rId109" xr:uid="{55AA4247-1FD1-4DA0-8E40-EE7D1C187BE4}"/>
    <hyperlink ref="I60" r:id="rId110" xr:uid="{4D8DDD2D-2944-46E6-8A98-3C982E4981A8}"/>
    <hyperlink ref="F54" r:id="rId111" xr:uid="{5CB02A29-3315-42E0-841C-74AC7893DB2C}"/>
    <hyperlink ref="G54" r:id="rId112" xr:uid="{A2B5E7F8-0312-49B7-B2C5-9257F7853715}"/>
    <hyperlink ref="E54" r:id="rId113" display="19cM" xr:uid="{7EEB65EA-2E5C-4D6D-A913-94DB4B1843C9}"/>
    <hyperlink ref="J61" r:id="rId114" xr:uid="{C251E35C-8BC9-472C-8402-60E6C9FB7AB7}"/>
  </hyperlinks>
  <pageMargins left="0.7" right="0.7" top="0.75" bottom="0.75" header="0.3" footer="0.3"/>
  <pageSetup paperSize="9" orientation="portrait" horizontalDpi="0" verticalDpi="0" r:id="rId11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6">
    <tabColor rgb="FFFFC000"/>
  </sheetPr>
  <dimension ref="A1:M769"/>
  <sheetViews>
    <sheetView workbookViewId="0"/>
  </sheetViews>
  <sheetFormatPr defaultRowHeight="14.5" x14ac:dyDescent="0.35"/>
  <cols>
    <col min="1" max="1" width="22.7265625" customWidth="1"/>
    <col min="2" max="2" width="11.453125" customWidth="1"/>
    <col min="3" max="3" width="12.08984375" customWidth="1"/>
    <col min="4" max="4" width="20.81640625" customWidth="1"/>
    <col min="5" max="5" width="13.26953125" customWidth="1"/>
    <col min="6" max="6" width="13.36328125" customWidth="1"/>
    <col min="7" max="7" width="15.54296875" customWidth="1"/>
    <col min="8" max="8" width="16.81640625" customWidth="1"/>
    <col min="9" max="9" width="19.6328125" customWidth="1"/>
    <col min="10" max="10" width="23.36328125" customWidth="1"/>
    <col min="11" max="11" width="18.81640625" customWidth="1"/>
    <col min="12" max="12" width="19" customWidth="1"/>
    <col min="13" max="13" width="19.26953125" customWidth="1"/>
  </cols>
  <sheetData>
    <row r="1" spans="1:13" x14ac:dyDescent="0.35">
      <c r="A1" s="34" t="s">
        <v>3196</v>
      </c>
      <c r="B1" s="16">
        <f>COUNTIF(I2:I1259,C1)+COUNTIF(I2:I1259,D1)</f>
        <v>92</v>
      </c>
      <c r="C1" s="9" t="s">
        <v>18</v>
      </c>
      <c r="D1" s="17" t="s">
        <v>1249</v>
      </c>
    </row>
    <row r="2" spans="1:13" s="11" customFormat="1" x14ac:dyDescent="0.35">
      <c r="A2" s="11" t="s">
        <v>0</v>
      </c>
      <c r="B2" s="11" t="s">
        <v>2</v>
      </c>
      <c r="C2" s="11" t="s">
        <v>4</v>
      </c>
      <c r="D2" s="11" t="s">
        <v>5</v>
      </c>
      <c r="E2" s="11" t="s">
        <v>7</v>
      </c>
      <c r="F2" s="11" t="s">
        <v>10</v>
      </c>
      <c r="G2" s="11" t="s">
        <v>11</v>
      </c>
      <c r="H2" s="11" t="s">
        <v>23</v>
      </c>
      <c r="I2" s="11" t="s">
        <v>15</v>
      </c>
      <c r="J2" s="11" t="s">
        <v>906</v>
      </c>
      <c r="K2" s="11" t="s">
        <v>907</v>
      </c>
      <c r="L2" s="11" t="s">
        <v>1095</v>
      </c>
      <c r="M2" s="11" t="s">
        <v>1096</v>
      </c>
    </row>
    <row r="3" spans="1:13" x14ac:dyDescent="0.35">
      <c r="A3" s="33" t="s">
        <v>840</v>
      </c>
      <c r="B3" t="s">
        <v>3</v>
      </c>
      <c r="C3" t="s">
        <v>43</v>
      </c>
      <c r="D3" t="s">
        <v>184</v>
      </c>
      <c r="E3" s="34" t="s">
        <v>353</v>
      </c>
      <c r="F3" s="33" t="s">
        <v>841</v>
      </c>
      <c r="G3" s="33" t="s">
        <v>842</v>
      </c>
      <c r="H3" t="s">
        <v>130</v>
      </c>
      <c r="J3" s="3" t="s">
        <v>843</v>
      </c>
    </row>
    <row r="4" spans="1:13" x14ac:dyDescent="0.35">
      <c r="E4" s="54" t="s">
        <v>353</v>
      </c>
      <c r="J4" t="s">
        <v>843</v>
      </c>
    </row>
    <row r="5" spans="1:13" x14ac:dyDescent="0.35">
      <c r="J5" t="s">
        <v>844</v>
      </c>
    </row>
    <row r="6" spans="1:13" x14ac:dyDescent="0.35">
      <c r="J6" t="s">
        <v>845</v>
      </c>
    </row>
    <row r="7" spans="1:13" x14ac:dyDescent="0.35">
      <c r="J7" t="s">
        <v>846</v>
      </c>
    </row>
    <row r="8" spans="1:13" x14ac:dyDescent="0.35">
      <c r="I8" t="s">
        <v>3204</v>
      </c>
      <c r="J8" t="s">
        <v>847</v>
      </c>
    </row>
    <row r="9" spans="1:13" x14ac:dyDescent="0.35">
      <c r="I9" t="s">
        <v>104</v>
      </c>
      <c r="J9" t="s">
        <v>923</v>
      </c>
    </row>
    <row r="10" spans="1:13" x14ac:dyDescent="0.35">
      <c r="I10" s="38" t="s">
        <v>18</v>
      </c>
      <c r="J10" s="36" t="s">
        <v>848</v>
      </c>
    </row>
    <row r="11" spans="1:13" x14ac:dyDescent="0.35">
      <c r="A11" s="33" t="s">
        <v>4031</v>
      </c>
      <c r="B11" t="s">
        <v>3</v>
      </c>
      <c r="C11" t="s">
        <v>43</v>
      </c>
      <c r="D11" t="s">
        <v>184</v>
      </c>
      <c r="E11" s="34" t="s">
        <v>585</v>
      </c>
      <c r="F11" s="33" t="s">
        <v>841</v>
      </c>
      <c r="G11" s="33" t="s">
        <v>842</v>
      </c>
      <c r="H11" t="s">
        <v>130</v>
      </c>
      <c r="J11" s="3" t="s">
        <v>873</v>
      </c>
    </row>
    <row r="12" spans="1:13" x14ac:dyDescent="0.35">
      <c r="E12" s="54"/>
      <c r="J12" t="s">
        <v>874</v>
      </c>
    </row>
    <row r="13" spans="1:13" x14ac:dyDescent="0.35">
      <c r="J13" t="s">
        <v>4032</v>
      </c>
    </row>
    <row r="14" spans="1:13" x14ac:dyDescent="0.35">
      <c r="I14" t="s">
        <v>3204</v>
      </c>
      <c r="J14" t="s">
        <v>4033</v>
      </c>
    </row>
    <row r="15" spans="1:13" x14ac:dyDescent="0.35">
      <c r="I15" t="s">
        <v>104</v>
      </c>
      <c r="J15" t="s">
        <v>4034</v>
      </c>
    </row>
    <row r="16" spans="1:13" x14ac:dyDescent="0.35">
      <c r="I16" s="38" t="s">
        <v>18</v>
      </c>
      <c r="J16" s="36" t="s">
        <v>4035</v>
      </c>
    </row>
    <row r="17" spans="1:10" x14ac:dyDescent="0.35">
      <c r="A17" s="33" t="s">
        <v>849</v>
      </c>
      <c r="B17" t="s">
        <v>3</v>
      </c>
      <c r="C17" t="s">
        <v>43</v>
      </c>
      <c r="D17" t="s">
        <v>414</v>
      </c>
      <c r="E17" s="34" t="s">
        <v>132</v>
      </c>
      <c r="F17" s="33" t="s">
        <v>841</v>
      </c>
      <c r="G17" s="33" t="s">
        <v>842</v>
      </c>
      <c r="H17" t="s">
        <v>130</v>
      </c>
      <c r="J17" s="3" t="s">
        <v>850</v>
      </c>
    </row>
    <row r="18" spans="1:10" x14ac:dyDescent="0.35">
      <c r="E18" s="54" t="s">
        <v>132</v>
      </c>
      <c r="J18" t="s">
        <v>851</v>
      </c>
    </row>
    <row r="19" spans="1:10" x14ac:dyDescent="0.35">
      <c r="J19" t="s">
        <v>850</v>
      </c>
    </row>
    <row r="20" spans="1:10" x14ac:dyDescent="0.35">
      <c r="J20" t="s">
        <v>852</v>
      </c>
    </row>
    <row r="21" spans="1:10" x14ac:dyDescent="0.35">
      <c r="J21" t="s">
        <v>853</v>
      </c>
    </row>
    <row r="22" spans="1:10" x14ac:dyDescent="0.35">
      <c r="J22" t="s">
        <v>854</v>
      </c>
    </row>
    <row r="23" spans="1:10" x14ac:dyDescent="0.35">
      <c r="I23" s="38" t="s">
        <v>18</v>
      </c>
      <c r="J23" t="s">
        <v>855</v>
      </c>
    </row>
    <row r="24" spans="1:10" x14ac:dyDescent="0.35">
      <c r="J24" t="s">
        <v>856</v>
      </c>
    </row>
    <row r="25" spans="1:10" x14ac:dyDescent="0.35">
      <c r="J25" s="36" t="s">
        <v>849</v>
      </c>
    </row>
    <row r="26" spans="1:10" x14ac:dyDescent="0.35">
      <c r="A26" s="33" t="s">
        <v>4036</v>
      </c>
      <c r="B26" t="s">
        <v>3</v>
      </c>
      <c r="C26" t="s">
        <v>43</v>
      </c>
      <c r="D26" t="s">
        <v>414</v>
      </c>
      <c r="E26" s="34" t="s">
        <v>132</v>
      </c>
      <c r="F26" s="33" t="s">
        <v>841</v>
      </c>
      <c r="G26" s="33" t="s">
        <v>842</v>
      </c>
      <c r="H26" t="s">
        <v>130</v>
      </c>
      <c r="J26" s="3" t="s">
        <v>850</v>
      </c>
    </row>
    <row r="27" spans="1:10" x14ac:dyDescent="0.35">
      <c r="E27" s="54"/>
      <c r="J27" t="s">
        <v>851</v>
      </c>
    </row>
    <row r="28" spans="1:10" x14ac:dyDescent="0.35">
      <c r="J28" t="s">
        <v>850</v>
      </c>
    </row>
    <row r="29" spans="1:10" x14ac:dyDescent="0.35">
      <c r="J29" t="s">
        <v>852</v>
      </c>
    </row>
    <row r="30" spans="1:10" x14ac:dyDescent="0.35">
      <c r="J30" t="s">
        <v>853</v>
      </c>
    </row>
    <row r="31" spans="1:10" x14ac:dyDescent="0.35">
      <c r="J31" t="s">
        <v>854</v>
      </c>
    </row>
    <row r="32" spans="1:10" x14ac:dyDescent="0.35">
      <c r="I32" s="38" t="s">
        <v>18</v>
      </c>
      <c r="J32" s="36" t="s">
        <v>4037</v>
      </c>
    </row>
    <row r="33" spans="1:10" x14ac:dyDescent="0.35">
      <c r="A33" s="33" t="s">
        <v>4041</v>
      </c>
      <c r="B33" t="s">
        <v>3</v>
      </c>
      <c r="C33" t="s">
        <v>43</v>
      </c>
      <c r="D33" t="s">
        <v>64</v>
      </c>
      <c r="E33" s="34" t="s">
        <v>32</v>
      </c>
      <c r="F33" s="33" t="s">
        <v>841</v>
      </c>
      <c r="G33" s="33" t="s">
        <v>842</v>
      </c>
      <c r="H33" t="s">
        <v>130</v>
      </c>
      <c r="J33" s="3" t="s">
        <v>843</v>
      </c>
    </row>
    <row r="34" spans="1:10" x14ac:dyDescent="0.35">
      <c r="E34" s="54"/>
      <c r="J34" t="s">
        <v>858</v>
      </c>
    </row>
    <row r="35" spans="1:10" x14ac:dyDescent="0.35">
      <c r="J35" t="s">
        <v>859</v>
      </c>
    </row>
    <row r="36" spans="1:10" x14ac:dyDescent="0.35">
      <c r="J36" t="s">
        <v>860</v>
      </c>
    </row>
    <row r="37" spans="1:10" x14ac:dyDescent="0.35">
      <c r="J37" t="s">
        <v>4038</v>
      </c>
    </row>
    <row r="38" spans="1:10" x14ac:dyDescent="0.35">
      <c r="J38" t="s">
        <v>4039</v>
      </c>
    </row>
    <row r="39" spans="1:10" x14ac:dyDescent="0.35">
      <c r="I39" s="38" t="s">
        <v>18</v>
      </c>
      <c r="J39" s="36" t="s">
        <v>4040</v>
      </c>
    </row>
    <row r="40" spans="1:10" x14ac:dyDescent="0.35">
      <c r="A40" s="33" t="s">
        <v>857</v>
      </c>
      <c r="B40" t="s">
        <v>3</v>
      </c>
      <c r="C40" t="s">
        <v>43</v>
      </c>
      <c r="D40" t="s">
        <v>64</v>
      </c>
      <c r="E40" s="34" t="s">
        <v>32</v>
      </c>
      <c r="F40" s="33" t="s">
        <v>841</v>
      </c>
      <c r="G40" s="33" t="s">
        <v>842</v>
      </c>
      <c r="H40" t="s">
        <v>130</v>
      </c>
      <c r="J40" s="3" t="s">
        <v>843</v>
      </c>
    </row>
    <row r="41" spans="1:10" x14ac:dyDescent="0.35">
      <c r="E41" s="54" t="s">
        <v>32</v>
      </c>
      <c r="J41" t="s">
        <v>858</v>
      </c>
    </row>
    <row r="42" spans="1:10" x14ac:dyDescent="0.35">
      <c r="J42" t="s">
        <v>859</v>
      </c>
    </row>
    <row r="43" spans="1:10" x14ac:dyDescent="0.35">
      <c r="J43" t="s">
        <v>860</v>
      </c>
    </row>
    <row r="44" spans="1:10" x14ac:dyDescent="0.35">
      <c r="J44" t="s">
        <v>861</v>
      </c>
    </row>
    <row r="45" spans="1:10" x14ac:dyDescent="0.35">
      <c r="J45" t="s">
        <v>862</v>
      </c>
    </row>
    <row r="46" spans="1:10" x14ac:dyDescent="0.35">
      <c r="I46" s="38" t="s">
        <v>18</v>
      </c>
      <c r="J46" t="s">
        <v>863</v>
      </c>
    </row>
    <row r="47" spans="1:10" x14ac:dyDescent="0.35">
      <c r="J47" s="36" t="s">
        <v>857</v>
      </c>
    </row>
    <row r="48" spans="1:10" x14ac:dyDescent="0.35">
      <c r="A48" s="33" t="s">
        <v>864</v>
      </c>
      <c r="B48" t="s">
        <v>3</v>
      </c>
      <c r="C48" t="s">
        <v>43</v>
      </c>
      <c r="D48" t="s">
        <v>143</v>
      </c>
      <c r="E48" s="34" t="s">
        <v>32</v>
      </c>
      <c r="F48" s="33" t="s">
        <v>841</v>
      </c>
      <c r="G48" s="33" t="s">
        <v>842</v>
      </c>
      <c r="H48" t="s">
        <v>130</v>
      </c>
      <c r="J48" s="3" t="s">
        <v>843</v>
      </c>
    </row>
    <row r="49" spans="1:10" x14ac:dyDescent="0.35">
      <c r="E49" s="54" t="s">
        <v>32</v>
      </c>
      <c r="J49" t="s">
        <v>858</v>
      </c>
    </row>
    <row r="50" spans="1:10" x14ac:dyDescent="0.35">
      <c r="J50" t="s">
        <v>859</v>
      </c>
    </row>
    <row r="51" spans="1:10" x14ac:dyDescent="0.35">
      <c r="J51" t="s">
        <v>860</v>
      </c>
    </row>
    <row r="52" spans="1:10" x14ac:dyDescent="0.35">
      <c r="J52" t="s">
        <v>861</v>
      </c>
    </row>
    <row r="53" spans="1:10" x14ac:dyDescent="0.35">
      <c r="J53" t="s">
        <v>862</v>
      </c>
    </row>
    <row r="54" spans="1:10" x14ac:dyDescent="0.35">
      <c r="I54" s="38" t="s">
        <v>18</v>
      </c>
      <c r="J54" s="36" t="s">
        <v>863</v>
      </c>
    </row>
    <row r="55" spans="1:10" x14ac:dyDescent="0.35">
      <c r="A55" s="33" t="s">
        <v>865</v>
      </c>
      <c r="B55" t="s">
        <v>3</v>
      </c>
      <c r="C55" t="s">
        <v>43</v>
      </c>
      <c r="D55" t="s">
        <v>64</v>
      </c>
      <c r="E55" s="34" t="s">
        <v>145</v>
      </c>
      <c r="F55" s="33" t="s">
        <v>841</v>
      </c>
      <c r="G55" s="33" t="s">
        <v>842</v>
      </c>
      <c r="H55" t="s">
        <v>130</v>
      </c>
      <c r="J55" s="3" t="s">
        <v>850</v>
      </c>
    </row>
    <row r="56" spans="1:10" x14ac:dyDescent="0.35">
      <c r="E56" s="54" t="s">
        <v>145</v>
      </c>
      <c r="J56" t="s">
        <v>851</v>
      </c>
    </row>
    <row r="57" spans="1:10" x14ac:dyDescent="0.35">
      <c r="J57" t="s">
        <v>850</v>
      </c>
    </row>
    <row r="58" spans="1:10" x14ac:dyDescent="0.35">
      <c r="J58" t="s">
        <v>852</v>
      </c>
    </row>
    <row r="59" spans="1:10" x14ac:dyDescent="0.35">
      <c r="J59" t="s">
        <v>853</v>
      </c>
    </row>
    <row r="60" spans="1:10" x14ac:dyDescent="0.35">
      <c r="J60" t="s">
        <v>854</v>
      </c>
    </row>
    <row r="61" spans="1:10" x14ac:dyDescent="0.35">
      <c r="J61" t="s">
        <v>855</v>
      </c>
    </row>
    <row r="62" spans="1:10" x14ac:dyDescent="0.35">
      <c r="I62" s="38" t="s">
        <v>18</v>
      </c>
      <c r="J62" s="36" t="s">
        <v>856</v>
      </c>
    </row>
    <row r="63" spans="1:10" x14ac:dyDescent="0.35">
      <c r="A63" s="33" t="s">
        <v>1388</v>
      </c>
      <c r="B63" t="s">
        <v>3</v>
      </c>
      <c r="C63" t="s">
        <v>43</v>
      </c>
      <c r="D63" t="s">
        <v>64</v>
      </c>
      <c r="E63" s="34" t="s">
        <v>749</v>
      </c>
      <c r="F63" s="33" t="s">
        <v>841</v>
      </c>
      <c r="G63" s="33" t="s">
        <v>842</v>
      </c>
      <c r="H63" t="s">
        <v>130</v>
      </c>
      <c r="J63" s="3" t="s">
        <v>843</v>
      </c>
    </row>
    <row r="64" spans="1:10" x14ac:dyDescent="0.35">
      <c r="E64" s="54" t="s">
        <v>749</v>
      </c>
      <c r="J64" t="s">
        <v>858</v>
      </c>
    </row>
    <row r="65" spans="1:10" x14ac:dyDescent="0.35">
      <c r="J65" t="s">
        <v>867</v>
      </c>
    </row>
    <row r="66" spans="1:10" x14ac:dyDescent="0.35">
      <c r="J66" t="s">
        <v>868</v>
      </c>
    </row>
    <row r="67" spans="1:10" x14ac:dyDescent="0.35">
      <c r="J67" t="s">
        <v>869</v>
      </c>
    </row>
    <row r="68" spans="1:10" x14ac:dyDescent="0.35">
      <c r="J68" t="s">
        <v>869</v>
      </c>
    </row>
    <row r="69" spans="1:10" x14ac:dyDescent="0.35">
      <c r="J69" t="s">
        <v>870</v>
      </c>
    </row>
    <row r="70" spans="1:10" x14ac:dyDescent="0.35">
      <c r="I70" s="38" t="s">
        <v>18</v>
      </c>
      <c r="J70" s="36" t="s">
        <v>1388</v>
      </c>
    </row>
    <row r="71" spans="1:10" x14ac:dyDescent="0.35">
      <c r="A71" t="s">
        <v>1572</v>
      </c>
      <c r="B71" t="s">
        <v>3</v>
      </c>
      <c r="C71" t="s">
        <v>43</v>
      </c>
      <c r="D71" t="s">
        <v>64</v>
      </c>
      <c r="E71" s="34" t="s">
        <v>749</v>
      </c>
      <c r="F71" s="33" t="s">
        <v>841</v>
      </c>
      <c r="G71" s="33" t="s">
        <v>842</v>
      </c>
      <c r="H71" t="s">
        <v>130</v>
      </c>
      <c r="J71" s="3" t="s">
        <v>843</v>
      </c>
    </row>
    <row r="72" spans="1:10" x14ac:dyDescent="0.35">
      <c r="E72" s="54" t="s">
        <v>749</v>
      </c>
      <c r="J72" t="s">
        <v>881</v>
      </c>
    </row>
    <row r="73" spans="1:10" x14ac:dyDescent="0.35">
      <c r="J73" t="s">
        <v>858</v>
      </c>
    </row>
    <row r="74" spans="1:10" x14ac:dyDescent="0.35">
      <c r="J74" t="s">
        <v>1573</v>
      </c>
    </row>
    <row r="75" spans="1:10" x14ac:dyDescent="0.35">
      <c r="J75" t="s">
        <v>1574</v>
      </c>
    </row>
    <row r="76" spans="1:10" x14ac:dyDescent="0.35">
      <c r="J76" t="s">
        <v>1575</v>
      </c>
    </row>
    <row r="77" spans="1:10" x14ac:dyDescent="0.35">
      <c r="J77" t="s">
        <v>1576</v>
      </c>
    </row>
    <row r="78" spans="1:10" x14ac:dyDescent="0.35">
      <c r="I78" s="38" t="s">
        <v>18</v>
      </c>
      <c r="J78" s="36" t="s">
        <v>1577</v>
      </c>
    </row>
    <row r="79" spans="1:10" x14ac:dyDescent="0.35">
      <c r="A79" t="s">
        <v>866</v>
      </c>
      <c r="B79" t="s">
        <v>3</v>
      </c>
      <c r="C79" t="s">
        <v>43</v>
      </c>
      <c r="D79" t="s">
        <v>143</v>
      </c>
      <c r="E79" s="34" t="s">
        <v>156</v>
      </c>
      <c r="F79" s="33" t="s">
        <v>841</v>
      </c>
      <c r="G79" s="33" t="s">
        <v>842</v>
      </c>
      <c r="H79" t="s">
        <v>130</v>
      </c>
      <c r="J79" s="3" t="s">
        <v>843</v>
      </c>
    </row>
    <row r="80" spans="1:10" x14ac:dyDescent="0.35">
      <c r="E80" s="54" t="s">
        <v>156</v>
      </c>
      <c r="J80" t="s">
        <v>858</v>
      </c>
    </row>
    <row r="81" spans="1:10" x14ac:dyDescent="0.35">
      <c r="J81" t="s">
        <v>867</v>
      </c>
    </row>
    <row r="82" spans="1:10" x14ac:dyDescent="0.35">
      <c r="J82" t="s">
        <v>868</v>
      </c>
    </row>
    <row r="83" spans="1:10" x14ac:dyDescent="0.35">
      <c r="J83" t="s">
        <v>869</v>
      </c>
    </row>
    <row r="84" spans="1:10" x14ac:dyDescent="0.35">
      <c r="J84" t="s">
        <v>870</v>
      </c>
    </row>
    <row r="85" spans="1:10" x14ac:dyDescent="0.35">
      <c r="I85" s="38" t="s">
        <v>18</v>
      </c>
      <c r="J85" s="36" t="s">
        <v>871</v>
      </c>
    </row>
    <row r="86" spans="1:10" x14ac:dyDescent="0.35">
      <c r="A86" s="33" t="s">
        <v>1389</v>
      </c>
      <c r="B86" t="s">
        <v>3</v>
      </c>
      <c r="C86" t="s">
        <v>43</v>
      </c>
      <c r="D86" t="s">
        <v>143</v>
      </c>
      <c r="E86" s="34" t="s">
        <v>156</v>
      </c>
      <c r="F86" s="33" t="s">
        <v>841</v>
      </c>
      <c r="G86" s="33" t="s">
        <v>842</v>
      </c>
      <c r="H86" t="s">
        <v>130</v>
      </c>
      <c r="J86" s="3" t="s">
        <v>850</v>
      </c>
    </row>
    <row r="87" spans="1:10" x14ac:dyDescent="0.35">
      <c r="E87" s="54" t="s">
        <v>156</v>
      </c>
      <c r="J87" t="s">
        <v>1390</v>
      </c>
    </row>
    <row r="88" spans="1:10" x14ac:dyDescent="0.35">
      <c r="J88" t="s">
        <v>1391</v>
      </c>
    </row>
    <row r="89" spans="1:10" x14ac:dyDescent="0.35">
      <c r="J89" t="s">
        <v>1392</v>
      </c>
    </row>
    <row r="90" spans="1:10" x14ac:dyDescent="0.35">
      <c r="J90" t="s">
        <v>1393</v>
      </c>
    </row>
    <row r="91" spans="1:10" x14ac:dyDescent="0.35">
      <c r="J91" t="s">
        <v>1394</v>
      </c>
    </row>
    <row r="92" spans="1:10" x14ac:dyDescent="0.35">
      <c r="I92" s="38" t="s">
        <v>18</v>
      </c>
      <c r="J92" s="36" t="s">
        <v>1395</v>
      </c>
    </row>
    <row r="93" spans="1:10" x14ac:dyDescent="0.35">
      <c r="A93" s="33" t="s">
        <v>4042</v>
      </c>
      <c r="B93" t="s">
        <v>3</v>
      </c>
      <c r="C93" t="s">
        <v>43</v>
      </c>
      <c r="D93" t="s">
        <v>414</v>
      </c>
      <c r="E93" s="34" t="s">
        <v>156</v>
      </c>
      <c r="F93" s="33" t="s">
        <v>841</v>
      </c>
      <c r="G93" s="33" t="s">
        <v>842</v>
      </c>
      <c r="H93" t="s">
        <v>130</v>
      </c>
      <c r="J93" s="3" t="s">
        <v>985</v>
      </c>
    </row>
    <row r="94" spans="1:10" x14ac:dyDescent="0.35">
      <c r="E94" s="54"/>
      <c r="J94" t="s">
        <v>1579</v>
      </c>
    </row>
    <row r="95" spans="1:10" x14ac:dyDescent="0.35">
      <c r="J95" t="s">
        <v>4043</v>
      </c>
    </row>
    <row r="96" spans="1:10" x14ac:dyDescent="0.35">
      <c r="J96" t="s">
        <v>1581</v>
      </c>
    </row>
    <row r="97" spans="1:10" x14ac:dyDescent="0.35">
      <c r="J97" t="s">
        <v>1582</v>
      </c>
    </row>
    <row r="98" spans="1:10" x14ac:dyDescent="0.35">
      <c r="J98" t="s">
        <v>1583</v>
      </c>
    </row>
    <row r="99" spans="1:10" x14ac:dyDescent="0.35">
      <c r="I99" s="38" t="s">
        <v>18</v>
      </c>
      <c r="J99" t="s">
        <v>4044</v>
      </c>
    </row>
    <row r="100" spans="1:10" x14ac:dyDescent="0.35">
      <c r="I100" s="37"/>
      <c r="J100" t="s">
        <v>4045</v>
      </c>
    </row>
    <row r="101" spans="1:10" x14ac:dyDescent="0.35">
      <c r="I101" s="37"/>
      <c r="J101" s="36" t="s">
        <v>4046</v>
      </c>
    </row>
    <row r="102" spans="1:10" x14ac:dyDescent="0.35">
      <c r="A102" s="33" t="s">
        <v>1356</v>
      </c>
      <c r="B102" t="s">
        <v>3</v>
      </c>
      <c r="C102" t="s">
        <v>43</v>
      </c>
      <c r="D102" t="s">
        <v>615</v>
      </c>
      <c r="E102" s="54" t="s">
        <v>156</v>
      </c>
      <c r="F102" t="s">
        <v>902</v>
      </c>
      <c r="G102" s="33" t="s">
        <v>891</v>
      </c>
      <c r="H102" t="s">
        <v>91</v>
      </c>
      <c r="I102" s="1" t="s">
        <v>902</v>
      </c>
      <c r="J102" s="3" t="s">
        <v>892</v>
      </c>
    </row>
    <row r="103" spans="1:10" x14ac:dyDescent="0.35">
      <c r="E103" s="15"/>
      <c r="I103" t="s">
        <v>841</v>
      </c>
      <c r="J103" t="s">
        <v>1357</v>
      </c>
    </row>
    <row r="104" spans="1:10" x14ac:dyDescent="0.35">
      <c r="I104" t="s">
        <v>841</v>
      </c>
      <c r="J104" t="s">
        <v>892</v>
      </c>
    </row>
    <row r="105" spans="1:10" x14ac:dyDescent="0.35">
      <c r="J105" t="s">
        <v>1358</v>
      </c>
    </row>
    <row r="106" spans="1:10" x14ac:dyDescent="0.35">
      <c r="J106" t="s">
        <v>841</v>
      </c>
    </row>
    <row r="107" spans="1:10" x14ac:dyDescent="0.35">
      <c r="J107" t="s">
        <v>1359</v>
      </c>
    </row>
    <row r="108" spans="1:10" x14ac:dyDescent="0.35">
      <c r="J108" t="s">
        <v>1360</v>
      </c>
    </row>
    <row r="109" spans="1:10" x14ac:dyDescent="0.35">
      <c r="J109" t="s">
        <v>1361</v>
      </c>
    </row>
    <row r="110" spans="1:10" x14ac:dyDescent="0.35">
      <c r="J110" t="s">
        <v>1362</v>
      </c>
    </row>
    <row r="111" spans="1:10" x14ac:dyDescent="0.35">
      <c r="I111" s="38" t="s">
        <v>1249</v>
      </c>
      <c r="J111" s="36" t="s">
        <v>1363</v>
      </c>
    </row>
    <row r="112" spans="1:10" x14ac:dyDescent="0.35">
      <c r="A112" s="33" t="s">
        <v>1578</v>
      </c>
      <c r="B112" t="s">
        <v>3</v>
      </c>
      <c r="C112" t="s">
        <v>43</v>
      </c>
      <c r="D112" t="s">
        <v>143</v>
      </c>
      <c r="E112" s="34" t="s">
        <v>363</v>
      </c>
      <c r="F112" s="33" t="s">
        <v>841</v>
      </c>
      <c r="G112" s="33" t="s">
        <v>842</v>
      </c>
      <c r="H112" t="s">
        <v>130</v>
      </c>
      <c r="J112" s="3" t="s">
        <v>985</v>
      </c>
    </row>
    <row r="113" spans="1:10" x14ac:dyDescent="0.35">
      <c r="E113" s="54" t="s">
        <v>363</v>
      </c>
      <c r="J113" t="s">
        <v>1579</v>
      </c>
    </row>
    <row r="114" spans="1:10" x14ac:dyDescent="0.35">
      <c r="J114" t="s">
        <v>1580</v>
      </c>
    </row>
    <row r="115" spans="1:10" x14ac:dyDescent="0.35">
      <c r="J115" t="s">
        <v>1581</v>
      </c>
    </row>
    <row r="116" spans="1:10" x14ac:dyDescent="0.35">
      <c r="J116" t="s">
        <v>1582</v>
      </c>
    </row>
    <row r="117" spans="1:10" x14ac:dyDescent="0.35">
      <c r="J117" t="s">
        <v>1583</v>
      </c>
    </row>
    <row r="118" spans="1:10" x14ac:dyDescent="0.35">
      <c r="I118" s="38" t="s">
        <v>1249</v>
      </c>
      <c r="J118" s="36" t="s">
        <v>1584</v>
      </c>
    </row>
    <row r="119" spans="1:10" x14ac:dyDescent="0.35">
      <c r="A119" s="33" t="s">
        <v>4050</v>
      </c>
      <c r="B119" t="s">
        <v>3</v>
      </c>
      <c r="C119" t="s">
        <v>43</v>
      </c>
      <c r="D119" t="s">
        <v>143</v>
      </c>
      <c r="E119" s="34" t="s">
        <v>363</v>
      </c>
      <c r="F119" s="33" t="s">
        <v>841</v>
      </c>
      <c r="G119" s="33" t="s">
        <v>842</v>
      </c>
      <c r="H119" t="s">
        <v>130</v>
      </c>
      <c r="J119" s="3" t="s">
        <v>850</v>
      </c>
    </row>
    <row r="120" spans="1:10" x14ac:dyDescent="0.35">
      <c r="E120" s="54"/>
      <c r="J120" t="s">
        <v>881</v>
      </c>
    </row>
    <row r="121" spans="1:10" x14ac:dyDescent="0.35">
      <c r="J121" t="s">
        <v>858</v>
      </c>
    </row>
    <row r="122" spans="1:10" x14ac:dyDescent="0.35">
      <c r="J122" t="s">
        <v>883</v>
      </c>
    </row>
    <row r="123" spans="1:10" x14ac:dyDescent="0.35">
      <c r="J123" t="s">
        <v>4051</v>
      </c>
    </row>
    <row r="124" spans="1:10" x14ac:dyDescent="0.35">
      <c r="J124" t="s">
        <v>4052</v>
      </c>
    </row>
    <row r="125" spans="1:10" x14ac:dyDescent="0.35">
      <c r="I125" s="38" t="s">
        <v>1249</v>
      </c>
      <c r="J125" t="s">
        <v>4053</v>
      </c>
    </row>
    <row r="126" spans="1:10" x14ac:dyDescent="0.35">
      <c r="I126" s="37"/>
      <c r="J126" s="36" t="s">
        <v>4054</v>
      </c>
    </row>
    <row r="127" spans="1:10" x14ac:dyDescent="0.35">
      <c r="A127" s="33" t="s">
        <v>1585</v>
      </c>
      <c r="B127" t="s">
        <v>3</v>
      </c>
      <c r="C127" t="s">
        <v>43</v>
      </c>
      <c r="D127" t="s">
        <v>143</v>
      </c>
      <c r="E127" s="34" t="s">
        <v>327</v>
      </c>
      <c r="F127" s="33" t="s">
        <v>841</v>
      </c>
      <c r="G127" s="33" t="s">
        <v>842</v>
      </c>
      <c r="H127" t="s">
        <v>130</v>
      </c>
      <c r="J127" s="3" t="s">
        <v>985</v>
      </c>
    </row>
    <row r="128" spans="1:10" x14ac:dyDescent="0.35">
      <c r="E128" s="54" t="s">
        <v>327</v>
      </c>
      <c r="J128" t="s">
        <v>1579</v>
      </c>
    </row>
    <row r="129" spans="1:10" x14ac:dyDescent="0.35">
      <c r="J129" t="s">
        <v>1580</v>
      </c>
    </row>
    <row r="130" spans="1:10" x14ac:dyDescent="0.35">
      <c r="J130" t="s">
        <v>1581</v>
      </c>
    </row>
    <row r="131" spans="1:10" x14ac:dyDescent="0.35">
      <c r="J131" t="s">
        <v>1586</v>
      </c>
    </row>
    <row r="132" spans="1:10" x14ac:dyDescent="0.35">
      <c r="J132" s="36" t="s">
        <v>1587</v>
      </c>
    </row>
    <row r="133" spans="1:10" x14ac:dyDescent="0.35">
      <c r="I133" s="38" t="s">
        <v>18</v>
      </c>
    </row>
    <row r="134" spans="1:10" x14ac:dyDescent="0.35">
      <c r="A134" s="33" t="s">
        <v>1431</v>
      </c>
      <c r="B134" t="s">
        <v>3</v>
      </c>
      <c r="C134" t="s">
        <v>43</v>
      </c>
      <c r="D134" t="s">
        <v>143</v>
      </c>
      <c r="E134" s="54" t="s">
        <v>327</v>
      </c>
      <c r="F134" s="33" t="s">
        <v>841</v>
      </c>
      <c r="G134" s="33" t="s">
        <v>842</v>
      </c>
      <c r="H134" t="s">
        <v>130</v>
      </c>
      <c r="J134" s="3" t="s">
        <v>850</v>
      </c>
    </row>
    <row r="135" spans="1:10" x14ac:dyDescent="0.35">
      <c r="E135" s="15"/>
      <c r="J135" t="s">
        <v>1390</v>
      </c>
    </row>
    <row r="136" spans="1:10" x14ac:dyDescent="0.35">
      <c r="J136" t="s">
        <v>1391</v>
      </c>
    </row>
    <row r="137" spans="1:10" x14ac:dyDescent="0.35">
      <c r="J137" t="s">
        <v>1432</v>
      </c>
    </row>
    <row r="138" spans="1:10" x14ac:dyDescent="0.35">
      <c r="J138" t="s">
        <v>1433</v>
      </c>
    </row>
    <row r="139" spans="1:10" x14ac:dyDescent="0.35">
      <c r="J139" t="s">
        <v>1435</v>
      </c>
    </row>
    <row r="140" spans="1:10" x14ac:dyDescent="0.35">
      <c r="I140" s="38" t="s">
        <v>1249</v>
      </c>
      <c r="J140" s="36" t="s">
        <v>1434</v>
      </c>
    </row>
    <row r="141" spans="1:10" x14ac:dyDescent="0.35">
      <c r="A141" s="33" t="s">
        <v>872</v>
      </c>
      <c r="B141" t="s">
        <v>3</v>
      </c>
      <c r="C141" t="s">
        <v>43</v>
      </c>
      <c r="D141" t="s">
        <v>879</v>
      </c>
      <c r="E141" s="34" t="s">
        <v>327</v>
      </c>
      <c r="F141" s="33" t="s">
        <v>841</v>
      </c>
      <c r="G141" s="33" t="s">
        <v>842</v>
      </c>
      <c r="H141" t="s">
        <v>130</v>
      </c>
      <c r="J141" s="3" t="s">
        <v>873</v>
      </c>
    </row>
    <row r="142" spans="1:10" x14ac:dyDescent="0.35">
      <c r="E142" s="54" t="s">
        <v>327</v>
      </c>
      <c r="J142" t="s">
        <v>874</v>
      </c>
    </row>
    <row r="143" spans="1:10" x14ac:dyDescent="0.35">
      <c r="J143" t="s">
        <v>875</v>
      </c>
    </row>
    <row r="144" spans="1:10" x14ac:dyDescent="0.35">
      <c r="J144" t="s">
        <v>876</v>
      </c>
    </row>
    <row r="145" spans="1:11" x14ac:dyDescent="0.35">
      <c r="J145" t="s">
        <v>877</v>
      </c>
    </row>
    <row r="146" spans="1:11" x14ac:dyDescent="0.35">
      <c r="J146" s="36" t="s">
        <v>878</v>
      </c>
    </row>
    <row r="147" spans="1:11" x14ac:dyDescent="0.35">
      <c r="I147" s="38" t="s">
        <v>18</v>
      </c>
    </row>
    <row r="148" spans="1:11" x14ac:dyDescent="0.35">
      <c r="A148" s="33" t="s">
        <v>880</v>
      </c>
      <c r="B148" t="s">
        <v>3</v>
      </c>
      <c r="C148" t="s">
        <v>43</v>
      </c>
      <c r="D148" t="s">
        <v>888</v>
      </c>
      <c r="E148" s="34" t="s">
        <v>327</v>
      </c>
      <c r="F148" s="33" t="s">
        <v>841</v>
      </c>
      <c r="G148" s="33" t="s">
        <v>842</v>
      </c>
      <c r="H148" t="s">
        <v>130</v>
      </c>
      <c r="J148" s="3" t="s">
        <v>843</v>
      </c>
    </row>
    <row r="149" spans="1:11" x14ac:dyDescent="0.35">
      <c r="E149" s="54" t="s">
        <v>327</v>
      </c>
      <c r="J149" t="s">
        <v>881</v>
      </c>
    </row>
    <row r="150" spans="1:11" x14ac:dyDescent="0.35">
      <c r="J150" t="s">
        <v>882</v>
      </c>
    </row>
    <row r="151" spans="1:11" x14ac:dyDescent="0.35">
      <c r="J151" t="s">
        <v>883</v>
      </c>
    </row>
    <row r="152" spans="1:11" x14ac:dyDescent="0.35">
      <c r="J152" t="s">
        <v>884</v>
      </c>
    </row>
    <row r="153" spans="1:11" x14ac:dyDescent="0.35">
      <c r="J153" t="s">
        <v>885</v>
      </c>
    </row>
    <row r="154" spans="1:11" x14ac:dyDescent="0.35">
      <c r="I154" s="38" t="s">
        <v>18</v>
      </c>
      <c r="J154" t="s">
        <v>886</v>
      </c>
    </row>
    <row r="155" spans="1:11" x14ac:dyDescent="0.35">
      <c r="J155" s="36" t="s">
        <v>887</v>
      </c>
    </row>
    <row r="156" spans="1:11" x14ac:dyDescent="0.35">
      <c r="A156" s="33" t="s">
        <v>889</v>
      </c>
      <c r="B156" t="s">
        <v>3</v>
      </c>
      <c r="C156" t="s">
        <v>43</v>
      </c>
      <c r="D156" t="s">
        <v>615</v>
      </c>
      <c r="E156" s="34" t="s">
        <v>327</v>
      </c>
      <c r="F156" s="33" t="s">
        <v>902</v>
      </c>
      <c r="G156" s="33" t="s">
        <v>891</v>
      </c>
      <c r="H156" t="s">
        <v>91</v>
      </c>
      <c r="I156" s="1" t="s">
        <v>902</v>
      </c>
      <c r="J156" s="3" t="s">
        <v>892</v>
      </c>
      <c r="K156" s="3" t="s">
        <v>902</v>
      </c>
    </row>
    <row r="157" spans="1:11" x14ac:dyDescent="0.35">
      <c r="E157" s="17"/>
      <c r="I157" t="s">
        <v>841</v>
      </c>
      <c r="J157" t="s">
        <v>893</v>
      </c>
      <c r="K157" t="s">
        <v>903</v>
      </c>
    </row>
    <row r="158" spans="1:11" x14ac:dyDescent="0.35">
      <c r="I158" t="s">
        <v>841</v>
      </c>
      <c r="J158" t="s">
        <v>894</v>
      </c>
      <c r="K158" t="s">
        <v>904</v>
      </c>
    </row>
    <row r="159" spans="1:11" x14ac:dyDescent="0.35">
      <c r="J159" s="12" t="s">
        <v>895</v>
      </c>
      <c r="K159" s="12" t="s">
        <v>905</v>
      </c>
    </row>
    <row r="160" spans="1:11" x14ac:dyDescent="0.35">
      <c r="J160" t="s">
        <v>896</v>
      </c>
    </row>
    <row r="161" spans="1:10" x14ac:dyDescent="0.35">
      <c r="J161" t="s">
        <v>897</v>
      </c>
    </row>
    <row r="162" spans="1:10" x14ac:dyDescent="0.35">
      <c r="J162" t="s">
        <v>898</v>
      </c>
    </row>
    <row r="163" spans="1:10" x14ac:dyDescent="0.35">
      <c r="J163" t="s">
        <v>900</v>
      </c>
    </row>
    <row r="164" spans="1:10" x14ac:dyDescent="0.35">
      <c r="J164" t="s">
        <v>899</v>
      </c>
    </row>
    <row r="165" spans="1:10" x14ac:dyDescent="0.35">
      <c r="I165" s="38" t="s">
        <v>18</v>
      </c>
      <c r="J165" s="36" t="s">
        <v>901</v>
      </c>
    </row>
    <row r="166" spans="1:10" x14ac:dyDescent="0.35">
      <c r="A166" s="33" t="s">
        <v>4059</v>
      </c>
      <c r="B166" t="s">
        <v>3</v>
      </c>
      <c r="C166" t="s">
        <v>43</v>
      </c>
      <c r="D166" t="s">
        <v>615</v>
      </c>
      <c r="E166" s="34" t="s">
        <v>327</v>
      </c>
      <c r="F166" s="33" t="s">
        <v>841</v>
      </c>
      <c r="G166" s="33" t="s">
        <v>842</v>
      </c>
      <c r="H166" t="s">
        <v>130</v>
      </c>
      <c r="J166" s="3" t="s">
        <v>850</v>
      </c>
    </row>
    <row r="167" spans="1:10" x14ac:dyDescent="0.35">
      <c r="E167" s="17"/>
      <c r="J167" t="s">
        <v>843</v>
      </c>
    </row>
    <row r="168" spans="1:10" x14ac:dyDescent="0.35">
      <c r="J168" t="s">
        <v>4060</v>
      </c>
    </row>
    <row r="169" spans="1:10" x14ac:dyDescent="0.35">
      <c r="J169" t="s">
        <v>4061</v>
      </c>
    </row>
    <row r="170" spans="1:10" x14ac:dyDescent="0.35">
      <c r="J170" t="s">
        <v>4062</v>
      </c>
    </row>
    <row r="171" spans="1:10" x14ac:dyDescent="0.35">
      <c r="J171" t="s">
        <v>4063</v>
      </c>
    </row>
    <row r="172" spans="1:10" x14ac:dyDescent="0.35">
      <c r="I172" s="38" t="s">
        <v>18</v>
      </c>
      <c r="J172" t="s">
        <v>4064</v>
      </c>
    </row>
    <row r="173" spans="1:10" x14ac:dyDescent="0.35">
      <c r="I173" s="37"/>
      <c r="J173" s="36" t="s">
        <v>4065</v>
      </c>
    </row>
    <row r="174" spans="1:10" x14ac:dyDescent="0.35">
      <c r="A174" s="33" t="s">
        <v>922</v>
      </c>
      <c r="B174" t="s">
        <v>3</v>
      </c>
      <c r="C174" t="s">
        <v>43</v>
      </c>
      <c r="D174" t="s">
        <v>888</v>
      </c>
      <c r="E174" s="54" t="s">
        <v>161</v>
      </c>
      <c r="F174" s="33" t="s">
        <v>841</v>
      </c>
      <c r="G174" s="33" t="s">
        <v>842</v>
      </c>
      <c r="H174" t="s">
        <v>130</v>
      </c>
      <c r="J174" s="3" t="s">
        <v>850</v>
      </c>
    </row>
    <row r="175" spans="1:10" x14ac:dyDescent="0.35">
      <c r="E175" s="34" t="s">
        <v>608</v>
      </c>
      <c r="J175" t="s">
        <v>851</v>
      </c>
    </row>
    <row r="176" spans="1:10" x14ac:dyDescent="0.35">
      <c r="J176" t="s">
        <v>923</v>
      </c>
    </row>
    <row r="177" spans="1:10" x14ac:dyDescent="0.35">
      <c r="J177" t="s">
        <v>924</v>
      </c>
    </row>
    <row r="178" spans="1:10" x14ac:dyDescent="0.35">
      <c r="J178" t="s">
        <v>925</v>
      </c>
    </row>
    <row r="179" spans="1:10" x14ac:dyDescent="0.35">
      <c r="J179" t="s">
        <v>926</v>
      </c>
    </row>
    <row r="180" spans="1:10" x14ac:dyDescent="0.35">
      <c r="I180" s="38" t="s">
        <v>18</v>
      </c>
      <c r="J180" t="s">
        <v>927</v>
      </c>
    </row>
    <row r="181" spans="1:10" x14ac:dyDescent="0.35">
      <c r="J181" s="36" t="s">
        <v>928</v>
      </c>
    </row>
    <row r="182" spans="1:10" x14ac:dyDescent="0.35">
      <c r="A182" s="33" t="s">
        <v>929</v>
      </c>
      <c r="B182" t="s">
        <v>3</v>
      </c>
      <c r="C182" t="s">
        <v>43</v>
      </c>
      <c r="D182" t="s">
        <v>888</v>
      </c>
      <c r="E182" s="54" t="s">
        <v>161</v>
      </c>
      <c r="F182" s="33" t="s">
        <v>841</v>
      </c>
      <c r="G182" s="33" t="s">
        <v>842</v>
      </c>
      <c r="H182" t="s">
        <v>130</v>
      </c>
      <c r="J182" s="3" t="s">
        <v>850</v>
      </c>
    </row>
    <row r="183" spans="1:10" x14ac:dyDescent="0.35">
      <c r="E183" s="34" t="s">
        <v>608</v>
      </c>
      <c r="J183" t="s">
        <v>851</v>
      </c>
    </row>
    <row r="184" spans="1:10" x14ac:dyDescent="0.35">
      <c r="J184" t="s">
        <v>923</v>
      </c>
    </row>
    <row r="185" spans="1:10" x14ac:dyDescent="0.35">
      <c r="J185" t="s">
        <v>924</v>
      </c>
    </row>
    <row r="186" spans="1:10" x14ac:dyDescent="0.35">
      <c r="J186" t="s">
        <v>930</v>
      </c>
    </row>
    <row r="187" spans="1:10" x14ac:dyDescent="0.35">
      <c r="J187" t="s">
        <v>931</v>
      </c>
    </row>
    <row r="188" spans="1:10" x14ac:dyDescent="0.35">
      <c r="I188" s="38" t="s">
        <v>18</v>
      </c>
      <c r="J188" t="s">
        <v>932</v>
      </c>
    </row>
    <row r="189" spans="1:10" x14ac:dyDescent="0.35">
      <c r="J189" s="36" t="s">
        <v>929</v>
      </c>
    </row>
    <row r="190" spans="1:10" x14ac:dyDescent="0.35">
      <c r="A190" s="33" t="s">
        <v>1221</v>
      </c>
      <c r="B190" s="2" t="s">
        <v>517</v>
      </c>
      <c r="C190" t="s">
        <v>43</v>
      </c>
      <c r="D190" t="s">
        <v>41</v>
      </c>
      <c r="E190" s="34" t="s">
        <v>161</v>
      </c>
      <c r="F190" s="33" t="s">
        <v>841</v>
      </c>
      <c r="G190" s="33" t="s">
        <v>842</v>
      </c>
      <c r="H190" t="s">
        <v>130</v>
      </c>
      <c r="J190" s="3" t="s">
        <v>850</v>
      </c>
    </row>
    <row r="191" spans="1:10" x14ac:dyDescent="0.35">
      <c r="J191" t="s">
        <v>851</v>
      </c>
    </row>
    <row r="192" spans="1:10" x14ac:dyDescent="0.35">
      <c r="J192" t="s">
        <v>923</v>
      </c>
    </row>
    <row r="193" spans="1:10" x14ac:dyDescent="0.35">
      <c r="J193" t="s">
        <v>924</v>
      </c>
    </row>
    <row r="194" spans="1:10" x14ac:dyDescent="0.35">
      <c r="J194" t="s">
        <v>925</v>
      </c>
    </row>
    <row r="195" spans="1:10" x14ac:dyDescent="0.35">
      <c r="J195" t="s">
        <v>999</v>
      </c>
    </row>
    <row r="196" spans="1:10" x14ac:dyDescent="0.35">
      <c r="I196" s="38" t="s">
        <v>18</v>
      </c>
      <c r="J196" s="36" t="s">
        <v>1222</v>
      </c>
    </row>
    <row r="197" spans="1:10" x14ac:dyDescent="0.35">
      <c r="A197" s="33" t="s">
        <v>3205</v>
      </c>
      <c r="B197" s="2" t="s">
        <v>517</v>
      </c>
      <c r="C197" t="s">
        <v>43</v>
      </c>
      <c r="D197" t="s">
        <v>41</v>
      </c>
      <c r="E197" s="34" t="s">
        <v>169</v>
      </c>
      <c r="F197" s="33" t="s">
        <v>841</v>
      </c>
      <c r="G197" s="33" t="s">
        <v>842</v>
      </c>
      <c r="H197" t="s">
        <v>130</v>
      </c>
      <c r="J197" s="3" t="s">
        <v>850</v>
      </c>
    </row>
    <row r="198" spans="1:10" x14ac:dyDescent="0.35">
      <c r="J198" t="s">
        <v>851</v>
      </c>
    </row>
    <row r="199" spans="1:10" x14ac:dyDescent="0.35">
      <c r="J199" t="s">
        <v>923</v>
      </c>
    </row>
    <row r="200" spans="1:10" x14ac:dyDescent="0.35">
      <c r="J200" t="s">
        <v>924</v>
      </c>
    </row>
    <row r="201" spans="1:10" x14ac:dyDescent="0.35">
      <c r="J201" t="s">
        <v>925</v>
      </c>
    </row>
    <row r="202" spans="1:10" x14ac:dyDescent="0.35">
      <c r="J202" t="s">
        <v>999</v>
      </c>
    </row>
    <row r="203" spans="1:10" x14ac:dyDescent="0.35">
      <c r="J203" t="s">
        <v>3206</v>
      </c>
    </row>
    <row r="204" spans="1:10" x14ac:dyDescent="0.35">
      <c r="I204" s="38" t="s">
        <v>18</v>
      </c>
      <c r="J204" s="36" t="s">
        <v>3205</v>
      </c>
    </row>
    <row r="205" spans="1:10" x14ac:dyDescent="0.35">
      <c r="A205" s="33" t="s">
        <v>4099</v>
      </c>
      <c r="B205" t="s">
        <v>3</v>
      </c>
      <c r="C205" t="s">
        <v>43</v>
      </c>
      <c r="D205" t="s">
        <v>41</v>
      </c>
      <c r="E205" s="34" t="s">
        <v>169</v>
      </c>
      <c r="F205" s="33" t="s">
        <v>841</v>
      </c>
      <c r="G205" s="33" t="s">
        <v>842</v>
      </c>
      <c r="H205" t="s">
        <v>130</v>
      </c>
      <c r="J205" s="3" t="s">
        <v>985</v>
      </c>
    </row>
    <row r="206" spans="1:10" x14ac:dyDescent="0.35">
      <c r="J206" t="s">
        <v>1579</v>
      </c>
    </row>
    <row r="207" spans="1:10" x14ac:dyDescent="0.35">
      <c r="J207" t="s">
        <v>4043</v>
      </c>
    </row>
    <row r="208" spans="1:10" x14ac:dyDescent="0.35">
      <c r="J208" t="s">
        <v>1581</v>
      </c>
    </row>
    <row r="209" spans="1:10" x14ac:dyDescent="0.35">
      <c r="J209" t="s">
        <v>1582</v>
      </c>
    </row>
    <row r="210" spans="1:10" x14ac:dyDescent="0.35">
      <c r="J210" t="s">
        <v>1583</v>
      </c>
    </row>
    <row r="211" spans="1:10" x14ac:dyDescent="0.35">
      <c r="J211" t="s">
        <v>4044</v>
      </c>
    </row>
    <row r="212" spans="1:10" x14ac:dyDescent="0.35">
      <c r="I212" s="38" t="s">
        <v>18</v>
      </c>
      <c r="J212" s="36" t="s">
        <v>4100</v>
      </c>
    </row>
    <row r="213" spans="1:10" x14ac:dyDescent="0.35">
      <c r="A213" s="33" t="s">
        <v>4104</v>
      </c>
      <c r="B213" t="s">
        <v>3</v>
      </c>
      <c r="C213" t="s">
        <v>43</v>
      </c>
      <c r="D213" t="s">
        <v>41</v>
      </c>
      <c r="E213" s="34" t="s">
        <v>340</v>
      </c>
      <c r="F213" s="33" t="s">
        <v>841</v>
      </c>
      <c r="G213" s="33" t="s">
        <v>842</v>
      </c>
      <c r="H213" t="s">
        <v>130</v>
      </c>
      <c r="J213" s="3" t="s">
        <v>850</v>
      </c>
    </row>
    <row r="214" spans="1:10" x14ac:dyDescent="0.35">
      <c r="J214" t="s">
        <v>1390</v>
      </c>
    </row>
    <row r="215" spans="1:10" x14ac:dyDescent="0.35">
      <c r="J215" t="s">
        <v>4101</v>
      </c>
    </row>
    <row r="216" spans="1:10" x14ac:dyDescent="0.35">
      <c r="J216" t="s">
        <v>1392</v>
      </c>
    </row>
    <row r="217" spans="1:10" x14ac:dyDescent="0.35">
      <c r="J217" t="s">
        <v>1393</v>
      </c>
    </row>
    <row r="218" spans="1:10" x14ac:dyDescent="0.35">
      <c r="J218" t="s">
        <v>1394</v>
      </c>
    </row>
    <row r="219" spans="1:10" x14ac:dyDescent="0.35">
      <c r="J219" t="s">
        <v>1395</v>
      </c>
    </row>
    <row r="220" spans="1:10" x14ac:dyDescent="0.35">
      <c r="I220" s="38" t="s">
        <v>18</v>
      </c>
      <c r="J220" t="s">
        <v>4102</v>
      </c>
    </row>
    <row r="221" spans="1:10" x14ac:dyDescent="0.35">
      <c r="I221" s="37"/>
      <c r="J221" s="36" t="s">
        <v>4103</v>
      </c>
    </row>
    <row r="222" spans="1:10" x14ac:dyDescent="0.35">
      <c r="A222" s="33" t="s">
        <v>4109</v>
      </c>
      <c r="B222" t="s">
        <v>3</v>
      </c>
      <c r="C222" t="s">
        <v>43</v>
      </c>
      <c r="D222" t="s">
        <v>41</v>
      </c>
      <c r="E222" s="34" t="s">
        <v>340</v>
      </c>
      <c r="F222" s="33" t="s">
        <v>841</v>
      </c>
      <c r="G222" s="33" t="s">
        <v>842</v>
      </c>
      <c r="H222" t="s">
        <v>130</v>
      </c>
      <c r="J222" s="3" t="s">
        <v>850</v>
      </c>
    </row>
    <row r="223" spans="1:10" x14ac:dyDescent="0.35">
      <c r="J223" t="s">
        <v>843</v>
      </c>
    </row>
    <row r="224" spans="1:10" x14ac:dyDescent="0.35">
      <c r="J224" t="s">
        <v>844</v>
      </c>
    </row>
    <row r="225" spans="1:10" x14ac:dyDescent="0.35">
      <c r="J225" t="s">
        <v>4105</v>
      </c>
    </row>
    <row r="226" spans="1:10" x14ac:dyDescent="0.35">
      <c r="J226" t="s">
        <v>4106</v>
      </c>
    </row>
    <row r="227" spans="1:10" x14ac:dyDescent="0.35">
      <c r="J227" t="s">
        <v>4107</v>
      </c>
    </row>
    <row r="228" spans="1:10" x14ac:dyDescent="0.35">
      <c r="J228" s="36" t="s">
        <v>4108</v>
      </c>
    </row>
    <row r="229" spans="1:10" x14ac:dyDescent="0.35">
      <c r="I229" s="38" t="s">
        <v>18</v>
      </c>
    </row>
    <row r="230" spans="1:10" x14ac:dyDescent="0.35">
      <c r="A230" s="33" t="s">
        <v>908</v>
      </c>
      <c r="B230" t="s">
        <v>3</v>
      </c>
      <c r="C230" t="s">
        <v>43</v>
      </c>
      <c r="D230" t="s">
        <v>888</v>
      </c>
      <c r="E230" s="34" t="s">
        <v>909</v>
      </c>
      <c r="F230" s="33" t="s">
        <v>841</v>
      </c>
      <c r="G230" s="33" t="s">
        <v>842</v>
      </c>
      <c r="H230" t="s">
        <v>130</v>
      </c>
      <c r="J230" s="3" t="s">
        <v>843</v>
      </c>
    </row>
    <row r="231" spans="1:10" x14ac:dyDescent="0.35">
      <c r="E231" s="54" t="s">
        <v>909</v>
      </c>
      <c r="J231" t="s">
        <v>843</v>
      </c>
    </row>
    <row r="232" spans="1:10" x14ac:dyDescent="0.35">
      <c r="J232" t="s">
        <v>910</v>
      </c>
    </row>
    <row r="233" spans="1:10" x14ac:dyDescent="0.35">
      <c r="J233" t="s">
        <v>911</v>
      </c>
    </row>
    <row r="234" spans="1:10" x14ac:dyDescent="0.35">
      <c r="J234" t="s">
        <v>912</v>
      </c>
    </row>
    <row r="235" spans="1:10" x14ac:dyDescent="0.35">
      <c r="J235" t="s">
        <v>913</v>
      </c>
    </row>
    <row r="236" spans="1:10" x14ac:dyDescent="0.35">
      <c r="I236" s="38" t="s">
        <v>18</v>
      </c>
      <c r="J236" t="s">
        <v>914</v>
      </c>
    </row>
    <row r="237" spans="1:10" x14ac:dyDescent="0.35">
      <c r="J237" s="36" t="s">
        <v>915</v>
      </c>
    </row>
    <row r="238" spans="1:10" x14ac:dyDescent="0.35">
      <c r="A238" s="33" t="s">
        <v>1130</v>
      </c>
      <c r="B238" t="s">
        <v>3</v>
      </c>
      <c r="C238" t="s">
        <v>43</v>
      </c>
      <c r="D238" t="s">
        <v>888</v>
      </c>
      <c r="E238" s="34" t="s">
        <v>909</v>
      </c>
      <c r="F238" s="33" t="s">
        <v>841</v>
      </c>
      <c r="G238" s="33" t="s">
        <v>842</v>
      </c>
      <c r="H238" t="s">
        <v>130</v>
      </c>
      <c r="J238" s="3" t="s">
        <v>850</v>
      </c>
    </row>
    <row r="239" spans="1:10" x14ac:dyDescent="0.35">
      <c r="E239" s="54" t="s">
        <v>909</v>
      </c>
      <c r="J239" t="s">
        <v>1131</v>
      </c>
    </row>
    <row r="240" spans="1:10" x14ac:dyDescent="0.35">
      <c r="J240" t="s">
        <v>1132</v>
      </c>
    </row>
    <row r="241" spans="1:10" x14ac:dyDescent="0.35">
      <c r="J241" t="s">
        <v>1133</v>
      </c>
    </row>
    <row r="242" spans="1:10" x14ac:dyDescent="0.35">
      <c r="J242" t="s">
        <v>1134</v>
      </c>
    </row>
    <row r="243" spans="1:10" x14ac:dyDescent="0.35">
      <c r="J243" s="36" t="s">
        <v>1135</v>
      </c>
    </row>
    <row r="244" spans="1:10" x14ac:dyDescent="0.35">
      <c r="I244" s="38" t="s">
        <v>18</v>
      </c>
    </row>
    <row r="245" spans="1:10" x14ac:dyDescent="0.35">
      <c r="A245" s="33" t="s">
        <v>1588</v>
      </c>
      <c r="B245" t="s">
        <v>3</v>
      </c>
      <c r="C245" t="s">
        <v>43</v>
      </c>
      <c r="D245" t="s">
        <v>888</v>
      </c>
      <c r="E245" s="34" t="s">
        <v>909</v>
      </c>
      <c r="F245" s="33" t="s">
        <v>841</v>
      </c>
      <c r="G245" s="33" t="s">
        <v>842</v>
      </c>
      <c r="H245" t="s">
        <v>130</v>
      </c>
      <c r="J245" s="3" t="s">
        <v>850</v>
      </c>
    </row>
    <row r="246" spans="1:10" x14ac:dyDescent="0.35">
      <c r="E246" s="54" t="s">
        <v>608</v>
      </c>
      <c r="J246" t="s">
        <v>851</v>
      </c>
    </row>
    <row r="247" spans="1:10" x14ac:dyDescent="0.35">
      <c r="J247" t="s">
        <v>936</v>
      </c>
    </row>
    <row r="248" spans="1:10" x14ac:dyDescent="0.35">
      <c r="J248" t="s">
        <v>937</v>
      </c>
    </row>
    <row r="249" spans="1:10" x14ac:dyDescent="0.35">
      <c r="J249" t="s">
        <v>938</v>
      </c>
    </row>
    <row r="250" spans="1:10" x14ac:dyDescent="0.35">
      <c r="J250" t="s">
        <v>1589</v>
      </c>
    </row>
    <row r="251" spans="1:10" x14ac:dyDescent="0.35">
      <c r="I251" s="38" t="s">
        <v>18</v>
      </c>
      <c r="J251" s="36" t="s">
        <v>1590</v>
      </c>
    </row>
    <row r="252" spans="1:10" x14ac:dyDescent="0.35">
      <c r="A252" s="33" t="s">
        <v>4111</v>
      </c>
      <c r="B252" t="s">
        <v>3</v>
      </c>
      <c r="C252" t="s">
        <v>43</v>
      </c>
      <c r="D252" t="s">
        <v>888</v>
      </c>
      <c r="E252" s="34" t="s">
        <v>909</v>
      </c>
      <c r="F252" s="33" t="s">
        <v>841</v>
      </c>
      <c r="G252" s="33" t="s">
        <v>842</v>
      </c>
      <c r="H252" t="s">
        <v>130</v>
      </c>
      <c r="J252" s="3" t="s">
        <v>873</v>
      </c>
    </row>
    <row r="253" spans="1:10" x14ac:dyDescent="0.35">
      <c r="E253" s="54"/>
      <c r="J253" t="s">
        <v>873</v>
      </c>
    </row>
    <row r="254" spans="1:10" x14ac:dyDescent="0.35">
      <c r="J254" t="s">
        <v>4032</v>
      </c>
    </row>
    <row r="255" spans="1:10" x14ac:dyDescent="0.35">
      <c r="J255" t="s">
        <v>4033</v>
      </c>
    </row>
    <row r="256" spans="1:10" x14ac:dyDescent="0.35">
      <c r="J256" t="s">
        <v>4034</v>
      </c>
    </row>
    <row r="257" spans="1:10" x14ac:dyDescent="0.35">
      <c r="J257" t="s">
        <v>4035</v>
      </c>
    </row>
    <row r="258" spans="1:10" x14ac:dyDescent="0.35">
      <c r="I258" s="38" t="s">
        <v>18</v>
      </c>
      <c r="J258" s="36" t="s">
        <v>4111</v>
      </c>
    </row>
    <row r="259" spans="1:10" x14ac:dyDescent="0.35">
      <c r="A259" s="33" t="s">
        <v>933</v>
      </c>
      <c r="B259" t="s">
        <v>3</v>
      </c>
      <c r="C259" t="s">
        <v>43</v>
      </c>
      <c r="D259" t="s">
        <v>143</v>
      </c>
      <c r="E259" s="54" t="s">
        <v>909</v>
      </c>
      <c r="F259" s="33" t="s">
        <v>841</v>
      </c>
      <c r="G259" s="33" t="s">
        <v>842</v>
      </c>
      <c r="H259" t="s">
        <v>130</v>
      </c>
      <c r="J259" s="3" t="s">
        <v>850</v>
      </c>
    </row>
    <row r="260" spans="1:10" x14ac:dyDescent="0.35">
      <c r="E260" s="34" t="s">
        <v>179</v>
      </c>
      <c r="J260" t="s">
        <v>851</v>
      </c>
    </row>
    <row r="261" spans="1:10" x14ac:dyDescent="0.35">
      <c r="J261" t="s">
        <v>923</v>
      </c>
    </row>
    <row r="262" spans="1:10" x14ac:dyDescent="0.35">
      <c r="J262" t="s">
        <v>924</v>
      </c>
    </row>
    <row r="263" spans="1:10" x14ac:dyDescent="0.35">
      <c r="J263" t="s">
        <v>925</v>
      </c>
    </row>
    <row r="264" spans="1:10" x14ac:dyDescent="0.35">
      <c r="J264" t="s">
        <v>925</v>
      </c>
    </row>
    <row r="265" spans="1:10" x14ac:dyDescent="0.35">
      <c r="I265" s="38" t="s">
        <v>18</v>
      </c>
      <c r="J265" s="36" t="s">
        <v>934</v>
      </c>
    </row>
    <row r="266" spans="1:10" x14ac:dyDescent="0.35">
      <c r="A266" s="33" t="s">
        <v>916</v>
      </c>
      <c r="B266" t="s">
        <v>3</v>
      </c>
      <c r="C266" t="s">
        <v>43</v>
      </c>
      <c r="D266" t="s">
        <v>888</v>
      </c>
      <c r="E266" s="34" t="s">
        <v>608</v>
      </c>
      <c r="F266" s="33" t="s">
        <v>841</v>
      </c>
      <c r="G266" s="33" t="s">
        <v>842</v>
      </c>
      <c r="H266" t="s">
        <v>130</v>
      </c>
      <c r="J266" s="3" t="s">
        <v>843</v>
      </c>
    </row>
    <row r="267" spans="1:10" x14ac:dyDescent="0.35">
      <c r="E267" s="54" t="s">
        <v>608</v>
      </c>
      <c r="J267" t="s">
        <v>843</v>
      </c>
    </row>
    <row r="268" spans="1:10" x14ac:dyDescent="0.35">
      <c r="J268" t="s">
        <v>910</v>
      </c>
    </row>
    <row r="269" spans="1:10" x14ac:dyDescent="0.35">
      <c r="J269" t="s">
        <v>917</v>
      </c>
    </row>
    <row r="270" spans="1:10" x14ac:dyDescent="0.35">
      <c r="J270" t="s">
        <v>918</v>
      </c>
    </row>
    <row r="271" spans="1:10" x14ac:dyDescent="0.35">
      <c r="J271" t="s">
        <v>919</v>
      </c>
    </row>
    <row r="272" spans="1:10" x14ac:dyDescent="0.35">
      <c r="I272" s="38" t="s">
        <v>18</v>
      </c>
      <c r="J272" t="s">
        <v>920</v>
      </c>
    </row>
    <row r="273" spans="1:10" x14ac:dyDescent="0.35">
      <c r="J273" s="36" t="s">
        <v>921</v>
      </c>
    </row>
    <row r="274" spans="1:10" x14ac:dyDescent="0.35">
      <c r="A274" s="33" t="s">
        <v>1097</v>
      </c>
      <c r="B274" s="1" t="s">
        <v>315</v>
      </c>
      <c r="C274" t="s">
        <v>603</v>
      </c>
      <c r="D274" t="s">
        <v>888</v>
      </c>
      <c r="E274" s="34" t="s">
        <v>608</v>
      </c>
      <c r="F274" s="33" t="s">
        <v>841</v>
      </c>
      <c r="G274" s="33" t="s">
        <v>842</v>
      </c>
      <c r="H274" t="s">
        <v>130</v>
      </c>
      <c r="J274" s="3" t="s">
        <v>843</v>
      </c>
    </row>
    <row r="275" spans="1:10" x14ac:dyDescent="0.35">
      <c r="E275" s="54" t="s">
        <v>1372</v>
      </c>
      <c r="J275" t="s">
        <v>858</v>
      </c>
    </row>
    <row r="276" spans="1:10" x14ac:dyDescent="0.35">
      <c r="J276" t="s">
        <v>1098</v>
      </c>
    </row>
    <row r="277" spans="1:10" x14ac:dyDescent="0.35">
      <c r="J277" t="s">
        <v>1099</v>
      </c>
    </row>
    <row r="278" spans="1:10" x14ac:dyDescent="0.35">
      <c r="J278" t="s">
        <v>1100</v>
      </c>
    </row>
    <row r="279" spans="1:10" x14ac:dyDescent="0.35">
      <c r="J279" t="s">
        <v>1101</v>
      </c>
    </row>
    <row r="280" spans="1:10" x14ac:dyDescent="0.35">
      <c r="I280" s="38" t="s">
        <v>18</v>
      </c>
      <c r="J280" t="s">
        <v>1102</v>
      </c>
    </row>
    <row r="281" spans="1:10" x14ac:dyDescent="0.35">
      <c r="J281" s="36" t="s">
        <v>1097</v>
      </c>
    </row>
    <row r="282" spans="1:10" x14ac:dyDescent="0.35">
      <c r="A282" s="33" t="s">
        <v>1103</v>
      </c>
      <c r="B282" s="1" t="s">
        <v>315</v>
      </c>
      <c r="C282" t="s">
        <v>603</v>
      </c>
      <c r="D282" t="s">
        <v>888</v>
      </c>
      <c r="E282" s="34" t="s">
        <v>608</v>
      </c>
      <c r="F282" s="33" t="s">
        <v>841</v>
      </c>
      <c r="G282" s="33" t="s">
        <v>842</v>
      </c>
      <c r="H282" t="s">
        <v>130</v>
      </c>
      <c r="J282" s="3" t="s">
        <v>843</v>
      </c>
    </row>
    <row r="283" spans="1:10" x14ac:dyDescent="0.35">
      <c r="E283" s="17"/>
      <c r="J283" t="s">
        <v>858</v>
      </c>
    </row>
    <row r="284" spans="1:10" x14ac:dyDescent="0.35">
      <c r="J284" t="s">
        <v>1098</v>
      </c>
    </row>
    <row r="285" spans="1:10" x14ac:dyDescent="0.35">
      <c r="J285" t="s">
        <v>1099</v>
      </c>
    </row>
    <row r="286" spans="1:10" x14ac:dyDescent="0.35">
      <c r="J286" t="s">
        <v>1100</v>
      </c>
    </row>
    <row r="287" spans="1:10" x14ac:dyDescent="0.35">
      <c r="J287" t="s">
        <v>1101</v>
      </c>
    </row>
    <row r="288" spans="1:10" x14ac:dyDescent="0.35">
      <c r="I288" s="38" t="s">
        <v>18</v>
      </c>
      <c r="J288" s="36" t="s">
        <v>1102</v>
      </c>
    </row>
    <row r="289" spans="1:10" x14ac:dyDescent="0.35">
      <c r="A289" s="33" t="s">
        <v>1640</v>
      </c>
      <c r="B289" t="s">
        <v>3</v>
      </c>
      <c r="C289" t="s">
        <v>43</v>
      </c>
      <c r="D289" t="s">
        <v>888</v>
      </c>
      <c r="E289" s="54" t="s">
        <v>608</v>
      </c>
      <c r="F289" s="33" t="s">
        <v>841</v>
      </c>
      <c r="G289" s="33" t="s">
        <v>842</v>
      </c>
      <c r="H289" t="s">
        <v>130</v>
      </c>
      <c r="J289" s="3" t="s">
        <v>850</v>
      </c>
    </row>
    <row r="290" spans="1:10" x14ac:dyDescent="0.35">
      <c r="E290" s="34" t="s">
        <v>179</v>
      </c>
      <c r="J290" t="s">
        <v>851</v>
      </c>
    </row>
    <row r="291" spans="1:10" x14ac:dyDescent="0.35">
      <c r="J291" t="s">
        <v>923</v>
      </c>
    </row>
    <row r="292" spans="1:10" x14ac:dyDescent="0.35">
      <c r="J292" t="s">
        <v>924</v>
      </c>
    </row>
    <row r="293" spans="1:10" x14ac:dyDescent="0.35">
      <c r="J293" t="s">
        <v>930</v>
      </c>
    </row>
    <row r="294" spans="1:10" x14ac:dyDescent="0.35">
      <c r="J294" s="36" t="s">
        <v>1641</v>
      </c>
    </row>
    <row r="295" spans="1:10" x14ac:dyDescent="0.35">
      <c r="I295" s="38" t="s">
        <v>1249</v>
      </c>
    </row>
    <row r="296" spans="1:10" x14ac:dyDescent="0.35">
      <c r="A296" t="s">
        <v>1104</v>
      </c>
      <c r="B296" t="s">
        <v>3</v>
      </c>
      <c r="C296" t="s">
        <v>603</v>
      </c>
      <c r="D296" t="s">
        <v>1112</v>
      </c>
      <c r="E296" s="34" t="s">
        <v>179</v>
      </c>
      <c r="F296" s="33" t="s">
        <v>902</v>
      </c>
      <c r="G296" s="33" t="s">
        <v>891</v>
      </c>
      <c r="H296" t="s">
        <v>91</v>
      </c>
      <c r="I296" s="1" t="s">
        <v>902</v>
      </c>
      <c r="J296" s="3" t="s">
        <v>892</v>
      </c>
    </row>
    <row r="297" spans="1:10" x14ac:dyDescent="0.35">
      <c r="E297" s="17"/>
      <c r="I297" t="s">
        <v>841</v>
      </c>
      <c r="J297" t="s">
        <v>1105</v>
      </c>
    </row>
    <row r="298" spans="1:10" x14ac:dyDescent="0.35">
      <c r="I298" t="s">
        <v>841</v>
      </c>
      <c r="J298" t="s">
        <v>892</v>
      </c>
    </row>
    <row r="299" spans="1:10" x14ac:dyDescent="0.35">
      <c r="J299" t="s">
        <v>1106</v>
      </c>
    </row>
    <row r="300" spans="1:10" x14ac:dyDescent="0.35">
      <c r="J300" t="s">
        <v>1107</v>
      </c>
    </row>
    <row r="301" spans="1:10" x14ac:dyDescent="0.35">
      <c r="J301" t="s">
        <v>1108</v>
      </c>
    </row>
    <row r="302" spans="1:10" x14ac:dyDescent="0.35">
      <c r="J302" t="s">
        <v>1109</v>
      </c>
    </row>
    <row r="303" spans="1:10" x14ac:dyDescent="0.35">
      <c r="J303" t="s">
        <v>1110</v>
      </c>
    </row>
    <row r="304" spans="1:10" x14ac:dyDescent="0.35">
      <c r="I304" s="38" t="s">
        <v>18</v>
      </c>
      <c r="J304" t="s">
        <v>1111</v>
      </c>
    </row>
    <row r="305" spans="1:10" x14ac:dyDescent="0.35">
      <c r="J305" s="36" t="s">
        <v>1104</v>
      </c>
    </row>
    <row r="306" spans="1:10" x14ac:dyDescent="0.35">
      <c r="A306" s="33" t="s">
        <v>1364</v>
      </c>
      <c r="B306" t="s">
        <v>3</v>
      </c>
      <c r="C306" t="s">
        <v>43</v>
      </c>
      <c r="D306" t="s">
        <v>143</v>
      </c>
      <c r="E306" s="54" t="s">
        <v>179</v>
      </c>
      <c r="F306" s="33" t="s">
        <v>841</v>
      </c>
      <c r="G306" s="33" t="s">
        <v>842</v>
      </c>
      <c r="H306" t="s">
        <v>130</v>
      </c>
      <c r="J306" s="3" t="s">
        <v>850</v>
      </c>
    </row>
    <row r="307" spans="1:10" x14ac:dyDescent="0.35">
      <c r="E307" s="15"/>
      <c r="J307" t="s">
        <v>1370</v>
      </c>
    </row>
    <row r="308" spans="1:10" x14ac:dyDescent="0.35">
      <c r="J308" t="s">
        <v>1369</v>
      </c>
    </row>
    <row r="309" spans="1:10" x14ac:dyDescent="0.35">
      <c r="J309" t="s">
        <v>1368</v>
      </c>
    </row>
    <row r="310" spans="1:10" x14ac:dyDescent="0.35">
      <c r="J310" t="s">
        <v>1367</v>
      </c>
    </row>
    <row r="311" spans="1:10" x14ac:dyDescent="0.35">
      <c r="J311" t="s">
        <v>1366</v>
      </c>
    </row>
    <row r="312" spans="1:10" x14ac:dyDescent="0.35">
      <c r="J312" t="s">
        <v>1365</v>
      </c>
    </row>
    <row r="313" spans="1:10" x14ac:dyDescent="0.35">
      <c r="I313" s="38" t="s">
        <v>1249</v>
      </c>
      <c r="J313" s="36" t="s">
        <v>1364</v>
      </c>
    </row>
    <row r="314" spans="1:10" x14ac:dyDescent="0.35">
      <c r="A314" s="33" t="s">
        <v>4162</v>
      </c>
      <c r="B314" t="s">
        <v>3</v>
      </c>
      <c r="C314" t="s">
        <v>43</v>
      </c>
      <c r="D314" t="s">
        <v>143</v>
      </c>
      <c r="E314" s="54" t="s">
        <v>179</v>
      </c>
      <c r="F314" s="33" t="s">
        <v>902</v>
      </c>
      <c r="G314" s="33" t="s">
        <v>891</v>
      </c>
      <c r="H314" t="s">
        <v>91</v>
      </c>
      <c r="J314" s="3" t="s">
        <v>892</v>
      </c>
    </row>
    <row r="315" spans="1:10" x14ac:dyDescent="0.35">
      <c r="E315" s="15"/>
      <c r="J315" t="s">
        <v>1357</v>
      </c>
    </row>
    <row r="316" spans="1:10" x14ac:dyDescent="0.35">
      <c r="J316" t="s">
        <v>1058</v>
      </c>
    </row>
    <row r="317" spans="1:10" x14ac:dyDescent="0.35">
      <c r="J317" t="s">
        <v>4163</v>
      </c>
    </row>
    <row r="318" spans="1:10" x14ac:dyDescent="0.35">
      <c r="J318" t="s">
        <v>1399</v>
      </c>
    </row>
    <row r="319" spans="1:10" x14ac:dyDescent="0.35">
      <c r="J319" t="s">
        <v>1400</v>
      </c>
    </row>
    <row r="320" spans="1:10" x14ac:dyDescent="0.35">
      <c r="J320" t="s">
        <v>1401</v>
      </c>
    </row>
    <row r="321" spans="1:10" x14ac:dyDescent="0.35">
      <c r="I321" s="38" t="s">
        <v>1249</v>
      </c>
      <c r="J321" t="s">
        <v>4164</v>
      </c>
    </row>
    <row r="322" spans="1:10" x14ac:dyDescent="0.35">
      <c r="I322" s="37"/>
      <c r="J322" t="s">
        <v>4165</v>
      </c>
    </row>
    <row r="323" spans="1:10" x14ac:dyDescent="0.35">
      <c r="I323" s="37"/>
      <c r="J323" s="36" t="s">
        <v>4166</v>
      </c>
    </row>
    <row r="324" spans="1:10" x14ac:dyDescent="0.35">
      <c r="A324" s="33" t="s">
        <v>935</v>
      </c>
      <c r="B324" t="s">
        <v>3</v>
      </c>
      <c r="C324" t="s">
        <v>43</v>
      </c>
      <c r="D324" t="s">
        <v>143</v>
      </c>
      <c r="E324" s="34" t="s">
        <v>179</v>
      </c>
      <c r="F324" s="33" t="s">
        <v>841</v>
      </c>
      <c r="G324" s="33" t="s">
        <v>842</v>
      </c>
      <c r="H324" t="s">
        <v>130</v>
      </c>
      <c r="J324" s="3" t="s">
        <v>850</v>
      </c>
    </row>
    <row r="325" spans="1:10" x14ac:dyDescent="0.35">
      <c r="E325" s="54" t="s">
        <v>179</v>
      </c>
      <c r="J325" t="s">
        <v>851</v>
      </c>
    </row>
    <row r="326" spans="1:10" x14ac:dyDescent="0.35">
      <c r="J326" t="s">
        <v>936</v>
      </c>
    </row>
    <row r="327" spans="1:10" x14ac:dyDescent="0.35">
      <c r="J327" t="s">
        <v>937</v>
      </c>
    </row>
    <row r="328" spans="1:10" x14ac:dyDescent="0.35">
      <c r="J328" t="s">
        <v>938</v>
      </c>
    </row>
    <row r="329" spans="1:10" x14ac:dyDescent="0.35">
      <c r="J329" t="s">
        <v>939</v>
      </c>
    </row>
    <row r="330" spans="1:10" x14ac:dyDescent="0.35">
      <c r="I330" s="38" t="s">
        <v>18</v>
      </c>
      <c r="J330" s="36" t="s">
        <v>940</v>
      </c>
    </row>
    <row r="331" spans="1:10" x14ac:dyDescent="0.35">
      <c r="A331" s="33" t="s">
        <v>941</v>
      </c>
      <c r="B331" t="s">
        <v>3</v>
      </c>
      <c r="C331" t="s">
        <v>43</v>
      </c>
      <c r="D331" t="s">
        <v>951</v>
      </c>
      <c r="E331" s="34" t="s">
        <v>179</v>
      </c>
      <c r="F331" s="33" t="s">
        <v>902</v>
      </c>
      <c r="G331" s="33" t="s">
        <v>891</v>
      </c>
      <c r="H331" t="s">
        <v>91</v>
      </c>
      <c r="I331" s="1" t="s">
        <v>902</v>
      </c>
      <c r="J331" s="3" t="s">
        <v>942</v>
      </c>
    </row>
    <row r="332" spans="1:10" x14ac:dyDescent="0.35">
      <c r="E332" s="17"/>
      <c r="I332" t="s">
        <v>841</v>
      </c>
      <c r="J332" t="s">
        <v>943</v>
      </c>
    </row>
    <row r="333" spans="1:10" x14ac:dyDescent="0.35">
      <c r="I333" t="s">
        <v>841</v>
      </c>
      <c r="J333" t="s">
        <v>944</v>
      </c>
    </row>
    <row r="334" spans="1:10" x14ac:dyDescent="0.35">
      <c r="J334" t="s">
        <v>945</v>
      </c>
    </row>
    <row r="335" spans="1:10" x14ac:dyDescent="0.35">
      <c r="J335" t="s">
        <v>946</v>
      </c>
    </row>
    <row r="336" spans="1:10" x14ac:dyDescent="0.35">
      <c r="J336" t="s">
        <v>947</v>
      </c>
    </row>
    <row r="337" spans="1:10" x14ac:dyDescent="0.35">
      <c r="J337" t="s">
        <v>948</v>
      </c>
    </row>
    <row r="338" spans="1:10" x14ac:dyDescent="0.35">
      <c r="I338" s="38" t="s">
        <v>18</v>
      </c>
      <c r="J338" t="s">
        <v>949</v>
      </c>
    </row>
    <row r="339" spans="1:10" x14ac:dyDescent="0.35">
      <c r="J339" s="36" t="s">
        <v>950</v>
      </c>
    </row>
    <row r="340" spans="1:10" x14ac:dyDescent="0.35">
      <c r="A340" s="33" t="s">
        <v>952</v>
      </c>
      <c r="B340" t="s">
        <v>3</v>
      </c>
      <c r="C340" t="s">
        <v>43</v>
      </c>
      <c r="D340" t="s">
        <v>143</v>
      </c>
      <c r="E340" s="34" t="s">
        <v>179</v>
      </c>
      <c r="F340" s="33" t="s">
        <v>841</v>
      </c>
      <c r="G340" s="33" t="s">
        <v>842</v>
      </c>
      <c r="H340" t="s">
        <v>130</v>
      </c>
      <c r="J340" s="3" t="s">
        <v>873</v>
      </c>
    </row>
    <row r="341" spans="1:10" x14ac:dyDescent="0.35">
      <c r="E341" s="54" t="s">
        <v>179</v>
      </c>
      <c r="J341" t="s">
        <v>953</v>
      </c>
    </row>
    <row r="342" spans="1:10" x14ac:dyDescent="0.35">
      <c r="J342" t="s">
        <v>954</v>
      </c>
    </row>
    <row r="343" spans="1:10" x14ac:dyDescent="0.35">
      <c r="J343" t="s">
        <v>955</v>
      </c>
    </row>
    <row r="344" spans="1:10" x14ac:dyDescent="0.35">
      <c r="J344" t="s">
        <v>956</v>
      </c>
    </row>
    <row r="345" spans="1:10" x14ac:dyDescent="0.35">
      <c r="J345" t="s">
        <v>957</v>
      </c>
    </row>
    <row r="346" spans="1:10" x14ac:dyDescent="0.35">
      <c r="I346" s="38" t="s">
        <v>18</v>
      </c>
      <c r="J346" s="36" t="s">
        <v>952</v>
      </c>
    </row>
    <row r="348" spans="1:10" x14ac:dyDescent="0.35">
      <c r="A348" s="33" t="s">
        <v>958</v>
      </c>
      <c r="B348" t="s">
        <v>3</v>
      </c>
      <c r="C348" t="s">
        <v>43</v>
      </c>
      <c r="D348" t="s">
        <v>951</v>
      </c>
      <c r="E348" s="34" t="s">
        <v>189</v>
      </c>
      <c r="F348" s="33" t="s">
        <v>902</v>
      </c>
      <c r="G348" s="33" t="s">
        <v>891</v>
      </c>
      <c r="H348" t="s">
        <v>91</v>
      </c>
      <c r="I348" s="1" t="s">
        <v>902</v>
      </c>
      <c r="J348" s="3" t="s">
        <v>902</v>
      </c>
    </row>
    <row r="349" spans="1:10" x14ac:dyDescent="0.35">
      <c r="E349" s="17"/>
      <c r="I349" t="s">
        <v>841</v>
      </c>
      <c r="J349" t="s">
        <v>902</v>
      </c>
    </row>
    <row r="350" spans="1:10" x14ac:dyDescent="0.35">
      <c r="I350" t="s">
        <v>841</v>
      </c>
      <c r="J350" t="s">
        <v>959</v>
      </c>
    </row>
    <row r="351" spans="1:10" x14ac:dyDescent="0.35">
      <c r="J351" t="s">
        <v>960</v>
      </c>
    </row>
    <row r="352" spans="1:10" x14ac:dyDescent="0.35">
      <c r="J352" t="s">
        <v>961</v>
      </c>
    </row>
    <row r="353" spans="1:10" x14ac:dyDescent="0.35">
      <c r="J353" t="s">
        <v>962</v>
      </c>
    </row>
    <row r="354" spans="1:10" x14ac:dyDescent="0.35">
      <c r="J354" t="s">
        <v>963</v>
      </c>
    </row>
    <row r="355" spans="1:10" x14ac:dyDescent="0.35">
      <c r="J355" t="s">
        <v>964</v>
      </c>
    </row>
    <row r="356" spans="1:10" x14ac:dyDescent="0.35">
      <c r="I356" s="38" t="s">
        <v>18</v>
      </c>
      <c r="J356" t="s">
        <v>965</v>
      </c>
    </row>
    <row r="357" spans="1:10" x14ac:dyDescent="0.35">
      <c r="J357" s="36" t="s">
        <v>966</v>
      </c>
    </row>
    <row r="358" spans="1:10" x14ac:dyDescent="0.35">
      <c r="A358" s="33" t="s">
        <v>1642</v>
      </c>
      <c r="B358" t="s">
        <v>3</v>
      </c>
      <c r="C358" t="s">
        <v>43</v>
      </c>
      <c r="D358" t="s">
        <v>951</v>
      </c>
      <c r="E358" s="54" t="s">
        <v>189</v>
      </c>
      <c r="F358" t="s">
        <v>890</v>
      </c>
      <c r="G358" t="s">
        <v>842</v>
      </c>
      <c r="H358" t="s">
        <v>91</v>
      </c>
      <c r="I358" s="1"/>
      <c r="J358" s="3" t="s">
        <v>843</v>
      </c>
    </row>
    <row r="359" spans="1:10" x14ac:dyDescent="0.35">
      <c r="E359" s="15"/>
      <c r="J359" t="s">
        <v>843</v>
      </c>
    </row>
    <row r="360" spans="1:10" x14ac:dyDescent="0.35">
      <c r="J360" t="s">
        <v>844</v>
      </c>
    </row>
    <row r="361" spans="1:10" x14ac:dyDescent="0.35">
      <c r="J361" t="s">
        <v>845</v>
      </c>
    </row>
    <row r="362" spans="1:10" x14ac:dyDescent="0.35">
      <c r="J362" t="s">
        <v>993</v>
      </c>
    </row>
    <row r="363" spans="1:10" x14ac:dyDescent="0.35">
      <c r="J363" t="s">
        <v>1643</v>
      </c>
    </row>
    <row r="364" spans="1:10" x14ac:dyDescent="0.35">
      <c r="J364" t="s">
        <v>1644</v>
      </c>
    </row>
    <row r="365" spans="1:10" x14ac:dyDescent="0.35">
      <c r="I365" s="38" t="s">
        <v>1249</v>
      </c>
      <c r="J365" s="36" t="s">
        <v>1645</v>
      </c>
    </row>
    <row r="366" spans="1:10" x14ac:dyDescent="0.35">
      <c r="A366" s="33" t="s">
        <v>967</v>
      </c>
      <c r="B366" t="s">
        <v>3</v>
      </c>
      <c r="C366" t="s">
        <v>43</v>
      </c>
      <c r="D366" t="s">
        <v>64</v>
      </c>
      <c r="E366" s="54" t="s">
        <v>189</v>
      </c>
      <c r="F366" t="s">
        <v>841</v>
      </c>
      <c r="G366" t="s">
        <v>842</v>
      </c>
      <c r="H366" t="s">
        <v>130</v>
      </c>
      <c r="J366" s="3" t="s">
        <v>843</v>
      </c>
    </row>
    <row r="367" spans="1:10" x14ac:dyDescent="0.35">
      <c r="E367" s="34" t="s">
        <v>201</v>
      </c>
      <c r="J367" t="s">
        <v>843</v>
      </c>
    </row>
    <row r="368" spans="1:10" x14ac:dyDescent="0.35">
      <c r="J368" t="s">
        <v>910</v>
      </c>
    </row>
    <row r="369" spans="1:10" x14ac:dyDescent="0.35">
      <c r="J369" t="s">
        <v>911</v>
      </c>
    </row>
    <row r="370" spans="1:10" x14ac:dyDescent="0.35">
      <c r="J370" t="s">
        <v>968</v>
      </c>
    </row>
    <row r="371" spans="1:10" x14ac:dyDescent="0.35">
      <c r="J371" t="s">
        <v>969</v>
      </c>
    </row>
    <row r="372" spans="1:10" x14ac:dyDescent="0.35">
      <c r="I372" s="38" t="s">
        <v>18</v>
      </c>
      <c r="J372" t="s">
        <v>970</v>
      </c>
    </row>
    <row r="373" spans="1:10" x14ac:dyDescent="0.35">
      <c r="J373" s="36" t="s">
        <v>971</v>
      </c>
    </row>
    <row r="374" spans="1:10" x14ac:dyDescent="0.35">
      <c r="A374" s="33" t="s">
        <v>4112</v>
      </c>
      <c r="B374" t="s">
        <v>3</v>
      </c>
      <c r="C374" t="s">
        <v>43</v>
      </c>
      <c r="D374" t="s">
        <v>414</v>
      </c>
      <c r="E374" s="34" t="s">
        <v>189</v>
      </c>
      <c r="F374" t="s">
        <v>841</v>
      </c>
      <c r="G374" t="s">
        <v>842</v>
      </c>
      <c r="H374" t="s">
        <v>130</v>
      </c>
      <c r="J374" s="3" t="s">
        <v>850</v>
      </c>
    </row>
    <row r="375" spans="1:10" x14ac:dyDescent="0.35">
      <c r="E375" s="40"/>
      <c r="J375" t="s">
        <v>881</v>
      </c>
    </row>
    <row r="376" spans="1:10" x14ac:dyDescent="0.35">
      <c r="J376" t="s">
        <v>882</v>
      </c>
    </row>
    <row r="377" spans="1:10" x14ac:dyDescent="0.35">
      <c r="J377" t="s">
        <v>883</v>
      </c>
    </row>
    <row r="378" spans="1:10" x14ac:dyDescent="0.35">
      <c r="J378" t="s">
        <v>1596</v>
      </c>
    </row>
    <row r="379" spans="1:10" x14ac:dyDescent="0.35">
      <c r="J379" t="s">
        <v>1597</v>
      </c>
    </row>
    <row r="380" spans="1:10" x14ac:dyDescent="0.35">
      <c r="I380" s="38" t="s">
        <v>18</v>
      </c>
      <c r="J380" t="s">
        <v>4029</v>
      </c>
    </row>
    <row r="381" spans="1:10" x14ac:dyDescent="0.35">
      <c r="J381" t="s">
        <v>4113</v>
      </c>
    </row>
    <row r="382" spans="1:10" x14ac:dyDescent="0.35">
      <c r="J382" s="36" t="s">
        <v>4114</v>
      </c>
    </row>
    <row r="383" spans="1:10" x14ac:dyDescent="0.35">
      <c r="A383" s="33" t="s">
        <v>4115</v>
      </c>
      <c r="B383" t="s">
        <v>3</v>
      </c>
      <c r="C383" t="s">
        <v>43</v>
      </c>
      <c r="D383" t="s">
        <v>3936</v>
      </c>
      <c r="E383" s="34" t="s">
        <v>201</v>
      </c>
      <c r="F383" t="s">
        <v>841</v>
      </c>
      <c r="G383" t="s">
        <v>842</v>
      </c>
      <c r="H383" t="s">
        <v>130</v>
      </c>
      <c r="J383" s="3" t="s">
        <v>850</v>
      </c>
    </row>
    <row r="384" spans="1:10" x14ac:dyDescent="0.35">
      <c r="E384" s="40"/>
      <c r="J384" t="s">
        <v>881</v>
      </c>
    </row>
    <row r="385" spans="1:10" x14ac:dyDescent="0.35">
      <c r="J385" t="s">
        <v>882</v>
      </c>
    </row>
    <row r="386" spans="1:10" x14ac:dyDescent="0.35">
      <c r="J386" t="s">
        <v>883</v>
      </c>
    </row>
    <row r="387" spans="1:10" x14ac:dyDescent="0.35">
      <c r="J387" t="s">
        <v>1596</v>
      </c>
    </row>
    <row r="388" spans="1:10" x14ac:dyDescent="0.35">
      <c r="J388" t="s">
        <v>1597</v>
      </c>
    </row>
    <row r="389" spans="1:10" x14ac:dyDescent="0.35">
      <c r="I389" s="38" t="s">
        <v>18</v>
      </c>
      <c r="J389" t="s">
        <v>4029</v>
      </c>
    </row>
    <row r="390" spans="1:10" x14ac:dyDescent="0.35">
      <c r="J390" t="s">
        <v>4113</v>
      </c>
    </row>
    <row r="391" spans="1:10" x14ac:dyDescent="0.35">
      <c r="J391" t="s">
        <v>4114</v>
      </c>
    </row>
    <row r="392" spans="1:10" x14ac:dyDescent="0.35">
      <c r="J392" s="36" t="s">
        <v>4116</v>
      </c>
    </row>
    <row r="393" spans="1:10" x14ac:dyDescent="0.35">
      <c r="A393" s="33" t="s">
        <v>972</v>
      </c>
      <c r="B393" t="s">
        <v>3</v>
      </c>
      <c r="C393" t="s">
        <v>43</v>
      </c>
      <c r="D393" t="s">
        <v>159</v>
      </c>
      <c r="E393" s="34" t="s">
        <v>201</v>
      </c>
      <c r="F393" t="s">
        <v>841</v>
      </c>
      <c r="G393" t="s">
        <v>842</v>
      </c>
      <c r="H393" t="s">
        <v>130</v>
      </c>
      <c r="J393" s="3" t="s">
        <v>873</v>
      </c>
    </row>
    <row r="394" spans="1:10" x14ac:dyDescent="0.35">
      <c r="E394" s="54" t="s">
        <v>201</v>
      </c>
      <c r="J394" t="s">
        <v>975</v>
      </c>
    </row>
    <row r="395" spans="1:10" x14ac:dyDescent="0.35">
      <c r="J395" t="s">
        <v>973</v>
      </c>
    </row>
    <row r="396" spans="1:10" x14ac:dyDescent="0.35">
      <c r="J396" t="s">
        <v>974</v>
      </c>
    </row>
    <row r="397" spans="1:10" x14ac:dyDescent="0.35">
      <c r="J397" t="s">
        <v>976</v>
      </c>
    </row>
    <row r="398" spans="1:10" x14ac:dyDescent="0.35">
      <c r="J398" s="36" t="s">
        <v>977</v>
      </c>
    </row>
    <row r="399" spans="1:10" x14ac:dyDescent="0.35">
      <c r="I399" s="38" t="s">
        <v>18</v>
      </c>
    </row>
    <row r="400" spans="1:10" x14ac:dyDescent="0.35">
      <c r="A400" s="33" t="s">
        <v>4028</v>
      </c>
      <c r="B400" t="s">
        <v>3</v>
      </c>
      <c r="C400" t="s">
        <v>43</v>
      </c>
      <c r="D400" t="s">
        <v>64</v>
      </c>
      <c r="E400" s="34" t="s">
        <v>201</v>
      </c>
      <c r="F400" t="s">
        <v>841</v>
      </c>
      <c r="G400" t="s">
        <v>842</v>
      </c>
      <c r="H400" t="s">
        <v>130</v>
      </c>
      <c r="J400" s="3" t="s">
        <v>850</v>
      </c>
    </row>
    <row r="401" spans="1:10" x14ac:dyDescent="0.35">
      <c r="E401" s="54"/>
      <c r="J401" t="s">
        <v>881</v>
      </c>
    </row>
    <row r="402" spans="1:10" x14ac:dyDescent="0.35">
      <c r="J402" t="s">
        <v>858</v>
      </c>
    </row>
    <row r="403" spans="1:10" x14ac:dyDescent="0.35">
      <c r="J403" t="s">
        <v>883</v>
      </c>
    </row>
    <row r="404" spans="1:10" x14ac:dyDescent="0.35">
      <c r="J404" t="s">
        <v>1596</v>
      </c>
    </row>
    <row r="405" spans="1:10" x14ac:dyDescent="0.35">
      <c r="J405" t="s">
        <v>1597</v>
      </c>
    </row>
    <row r="406" spans="1:10" x14ac:dyDescent="0.35">
      <c r="I406" s="38" t="s">
        <v>18</v>
      </c>
      <c r="J406" t="s">
        <v>4029</v>
      </c>
    </row>
    <row r="407" spans="1:10" x14ac:dyDescent="0.35">
      <c r="I407" s="37"/>
      <c r="J407" s="36" t="s">
        <v>4030</v>
      </c>
    </row>
    <row r="408" spans="1:10" x14ac:dyDescent="0.35">
      <c r="A408" s="33" t="s">
        <v>2994</v>
      </c>
      <c r="B408" t="s">
        <v>3</v>
      </c>
      <c r="C408" t="s">
        <v>43</v>
      </c>
      <c r="D408" t="s">
        <v>159</v>
      </c>
      <c r="E408" s="34" t="s">
        <v>201</v>
      </c>
      <c r="F408" t="s">
        <v>841</v>
      </c>
      <c r="G408" t="s">
        <v>842</v>
      </c>
      <c r="H408" t="s">
        <v>130</v>
      </c>
      <c r="J408" s="3" t="s">
        <v>985</v>
      </c>
    </row>
    <row r="409" spans="1:10" x14ac:dyDescent="0.35">
      <c r="E409" s="54" t="s">
        <v>201</v>
      </c>
      <c r="J409" t="s">
        <v>986</v>
      </c>
    </row>
    <row r="410" spans="1:10" x14ac:dyDescent="0.35">
      <c r="J410" t="s">
        <v>2995</v>
      </c>
    </row>
    <row r="411" spans="1:10" x14ac:dyDescent="0.35">
      <c r="J411" t="s">
        <v>2996</v>
      </c>
    </row>
    <row r="412" spans="1:10" x14ac:dyDescent="0.35">
      <c r="J412" t="s">
        <v>2997</v>
      </c>
    </row>
    <row r="413" spans="1:10" x14ac:dyDescent="0.35">
      <c r="J413" t="s">
        <v>2998</v>
      </c>
    </row>
    <row r="414" spans="1:10" x14ac:dyDescent="0.35">
      <c r="I414" s="38" t="s">
        <v>18</v>
      </c>
      <c r="J414" s="36" t="s">
        <v>2994</v>
      </c>
    </row>
    <row r="415" spans="1:10" x14ac:dyDescent="0.35">
      <c r="A415" s="33" t="s">
        <v>1591</v>
      </c>
      <c r="B415" t="s">
        <v>3</v>
      </c>
      <c r="C415" t="s">
        <v>43</v>
      </c>
      <c r="D415" t="s">
        <v>159</v>
      </c>
      <c r="E415" s="34" t="s">
        <v>201</v>
      </c>
      <c r="F415" t="s">
        <v>841</v>
      </c>
      <c r="G415" t="s">
        <v>842</v>
      </c>
      <c r="H415" t="s">
        <v>130</v>
      </c>
      <c r="J415" s="3" t="s">
        <v>843</v>
      </c>
    </row>
    <row r="416" spans="1:10" x14ac:dyDescent="0.35">
      <c r="E416" s="54" t="s">
        <v>201</v>
      </c>
      <c r="J416" t="s">
        <v>1592</v>
      </c>
    </row>
    <row r="417" spans="1:11" x14ac:dyDescent="0.35">
      <c r="J417" t="s">
        <v>1593</v>
      </c>
    </row>
    <row r="418" spans="1:11" x14ac:dyDescent="0.35">
      <c r="J418" t="s">
        <v>1594</v>
      </c>
    </row>
    <row r="419" spans="1:11" x14ac:dyDescent="0.35">
      <c r="J419" t="s">
        <v>1595</v>
      </c>
    </row>
    <row r="420" spans="1:11" x14ac:dyDescent="0.35">
      <c r="J420" t="s">
        <v>1596</v>
      </c>
    </row>
    <row r="421" spans="1:11" x14ac:dyDescent="0.35">
      <c r="I421" s="38" t="s">
        <v>18</v>
      </c>
      <c r="J421" t="s">
        <v>1597</v>
      </c>
    </row>
    <row r="422" spans="1:11" x14ac:dyDescent="0.35">
      <c r="J422" s="36" t="s">
        <v>1598</v>
      </c>
    </row>
    <row r="423" spans="1:11" x14ac:dyDescent="0.35">
      <c r="A423" s="33" t="s">
        <v>978</v>
      </c>
      <c r="B423" t="s">
        <v>3</v>
      </c>
      <c r="C423" t="s">
        <v>43</v>
      </c>
      <c r="D423" t="s">
        <v>159</v>
      </c>
      <c r="E423" s="34" t="s">
        <v>201</v>
      </c>
      <c r="F423" t="s">
        <v>841</v>
      </c>
      <c r="G423" t="s">
        <v>842</v>
      </c>
      <c r="H423" t="s">
        <v>130</v>
      </c>
      <c r="J423" s="3" t="s">
        <v>843</v>
      </c>
      <c r="K423" s="3" t="s">
        <v>843</v>
      </c>
    </row>
    <row r="424" spans="1:11" x14ac:dyDescent="0.35">
      <c r="E424" s="54" t="s">
        <v>201</v>
      </c>
      <c r="J424" t="s">
        <v>843</v>
      </c>
      <c r="K424" t="s">
        <v>843</v>
      </c>
    </row>
    <row r="425" spans="1:11" x14ac:dyDescent="0.35">
      <c r="J425" t="s">
        <v>843</v>
      </c>
      <c r="K425" t="s">
        <v>910</v>
      </c>
    </row>
    <row r="426" spans="1:11" x14ac:dyDescent="0.35">
      <c r="J426" t="s">
        <v>845</v>
      </c>
      <c r="K426" t="s">
        <v>983</v>
      </c>
    </row>
    <row r="427" spans="1:11" x14ac:dyDescent="0.35">
      <c r="J427" t="s">
        <v>979</v>
      </c>
      <c r="K427" t="s">
        <v>873</v>
      </c>
    </row>
    <row r="428" spans="1:11" x14ac:dyDescent="0.35">
      <c r="J428" s="12" t="s">
        <v>980</v>
      </c>
      <c r="K428" s="12" t="s">
        <v>980</v>
      </c>
    </row>
    <row r="429" spans="1:11" x14ac:dyDescent="0.35">
      <c r="I429" s="38" t="s">
        <v>18</v>
      </c>
      <c r="J429" t="s">
        <v>981</v>
      </c>
    </row>
    <row r="430" spans="1:11" x14ac:dyDescent="0.35">
      <c r="J430" s="36" t="s">
        <v>982</v>
      </c>
    </row>
    <row r="431" spans="1:11" x14ac:dyDescent="0.35">
      <c r="A431" s="33" t="s">
        <v>1396</v>
      </c>
      <c r="B431" t="s">
        <v>3</v>
      </c>
      <c r="C431" t="s">
        <v>603</v>
      </c>
      <c r="D431" t="s">
        <v>1121</v>
      </c>
      <c r="E431" s="54" t="s">
        <v>201</v>
      </c>
      <c r="F431" t="s">
        <v>902</v>
      </c>
      <c r="G431" t="s">
        <v>891</v>
      </c>
      <c r="H431" t="s">
        <v>91</v>
      </c>
      <c r="I431" s="1" t="s">
        <v>902</v>
      </c>
      <c r="J431" s="3" t="s">
        <v>902</v>
      </c>
    </row>
    <row r="432" spans="1:11" x14ac:dyDescent="0.35">
      <c r="E432" s="15"/>
      <c r="I432" t="s">
        <v>841</v>
      </c>
      <c r="J432" t="s">
        <v>1397</v>
      </c>
    </row>
    <row r="433" spans="1:10" x14ac:dyDescent="0.35">
      <c r="I433" t="s">
        <v>841</v>
      </c>
      <c r="J433" t="s">
        <v>1397</v>
      </c>
    </row>
    <row r="434" spans="1:10" x14ac:dyDescent="0.35">
      <c r="J434" t="s">
        <v>1398</v>
      </c>
    </row>
    <row r="435" spans="1:10" x14ac:dyDescent="0.35">
      <c r="J435" t="s">
        <v>1399</v>
      </c>
    </row>
    <row r="436" spans="1:10" x14ac:dyDescent="0.35">
      <c r="J436" t="s">
        <v>1400</v>
      </c>
    </row>
    <row r="437" spans="1:10" x14ac:dyDescent="0.35">
      <c r="J437" t="s">
        <v>1401</v>
      </c>
    </row>
    <row r="438" spans="1:10" x14ac:dyDescent="0.35">
      <c r="J438" t="s">
        <v>1402</v>
      </c>
    </row>
    <row r="439" spans="1:10" x14ac:dyDescent="0.35">
      <c r="I439" s="38" t="s">
        <v>1249</v>
      </c>
      <c r="J439" t="s">
        <v>1403</v>
      </c>
    </row>
    <row r="440" spans="1:10" x14ac:dyDescent="0.35">
      <c r="J440" s="36" t="s">
        <v>1404</v>
      </c>
    </row>
    <row r="441" spans="1:10" x14ac:dyDescent="0.35">
      <c r="A441" s="33" t="s">
        <v>998</v>
      </c>
      <c r="B441" t="s">
        <v>3</v>
      </c>
      <c r="C441" t="s">
        <v>43</v>
      </c>
      <c r="D441" t="s">
        <v>64</v>
      </c>
      <c r="E441" s="54" t="s">
        <v>201</v>
      </c>
      <c r="F441" t="s">
        <v>841</v>
      </c>
      <c r="G441" t="s">
        <v>842</v>
      </c>
      <c r="H441" t="s">
        <v>130</v>
      </c>
      <c r="J441" s="3" t="s">
        <v>850</v>
      </c>
    </row>
    <row r="442" spans="1:10" x14ac:dyDescent="0.35">
      <c r="E442" s="34" t="s">
        <v>216</v>
      </c>
      <c r="J442" t="s">
        <v>851</v>
      </c>
    </row>
    <row r="443" spans="1:10" x14ac:dyDescent="0.35">
      <c r="J443" t="s">
        <v>923</v>
      </c>
    </row>
    <row r="444" spans="1:10" x14ac:dyDescent="0.35">
      <c r="J444" t="s">
        <v>924</v>
      </c>
    </row>
    <row r="445" spans="1:10" x14ac:dyDescent="0.35">
      <c r="J445" t="s">
        <v>925</v>
      </c>
    </row>
    <row r="446" spans="1:10" x14ac:dyDescent="0.35">
      <c r="J446" t="s">
        <v>999</v>
      </c>
    </row>
    <row r="447" spans="1:10" x14ac:dyDescent="0.35">
      <c r="I447" s="38" t="s">
        <v>18</v>
      </c>
      <c r="J447" t="s">
        <v>1000</v>
      </c>
    </row>
    <row r="448" spans="1:10" x14ac:dyDescent="0.35">
      <c r="J448" s="36" t="s">
        <v>998</v>
      </c>
    </row>
    <row r="449" spans="1:10" x14ac:dyDescent="0.35">
      <c r="A449" s="33" t="s">
        <v>984</v>
      </c>
      <c r="B449" t="s">
        <v>3</v>
      </c>
      <c r="C449" t="s">
        <v>43</v>
      </c>
      <c r="D449" t="s">
        <v>64</v>
      </c>
      <c r="E449" s="34" t="s">
        <v>216</v>
      </c>
      <c r="F449" t="s">
        <v>841</v>
      </c>
      <c r="G449" t="s">
        <v>842</v>
      </c>
      <c r="H449" t="s">
        <v>130</v>
      </c>
      <c r="J449" s="3" t="s">
        <v>843</v>
      </c>
    </row>
    <row r="450" spans="1:10" x14ac:dyDescent="0.35">
      <c r="E450" s="17"/>
      <c r="J450" t="s">
        <v>985</v>
      </c>
    </row>
    <row r="451" spans="1:10" x14ac:dyDescent="0.35">
      <c r="J451" t="s">
        <v>986</v>
      </c>
    </row>
    <row r="452" spans="1:10" x14ac:dyDescent="0.35">
      <c r="J452" t="s">
        <v>987</v>
      </c>
    </row>
    <row r="453" spans="1:10" x14ac:dyDescent="0.35">
      <c r="J453" t="s">
        <v>988</v>
      </c>
    </row>
    <row r="454" spans="1:10" x14ac:dyDescent="0.35">
      <c r="J454" t="s">
        <v>989</v>
      </c>
    </row>
    <row r="455" spans="1:10" x14ac:dyDescent="0.35">
      <c r="I455" s="38" t="s">
        <v>18</v>
      </c>
      <c r="J455" t="s">
        <v>990</v>
      </c>
    </row>
    <row r="456" spans="1:10" x14ac:dyDescent="0.35">
      <c r="J456" s="36" t="s">
        <v>991</v>
      </c>
    </row>
    <row r="457" spans="1:10" x14ac:dyDescent="0.35">
      <c r="A457" s="33" t="s">
        <v>4120</v>
      </c>
      <c r="B457" t="s">
        <v>3</v>
      </c>
      <c r="C457" t="s">
        <v>43</v>
      </c>
      <c r="D457" t="s">
        <v>64</v>
      </c>
      <c r="E457" s="34" t="s">
        <v>216</v>
      </c>
      <c r="F457" t="s">
        <v>841</v>
      </c>
      <c r="G457" t="s">
        <v>842</v>
      </c>
      <c r="H457" t="s">
        <v>130</v>
      </c>
      <c r="J457" s="3" t="s">
        <v>985</v>
      </c>
    </row>
    <row r="458" spans="1:10" x14ac:dyDescent="0.35">
      <c r="E458" s="17"/>
      <c r="J458" t="s">
        <v>986</v>
      </c>
    </row>
    <row r="459" spans="1:10" x14ac:dyDescent="0.35">
      <c r="J459" t="s">
        <v>4121</v>
      </c>
    </row>
    <row r="460" spans="1:10" x14ac:dyDescent="0.35">
      <c r="J460" t="s">
        <v>987</v>
      </c>
    </row>
    <row r="461" spans="1:10" x14ac:dyDescent="0.35">
      <c r="J461" t="s">
        <v>4122</v>
      </c>
    </row>
    <row r="462" spans="1:10" x14ac:dyDescent="0.35">
      <c r="J462" t="s">
        <v>4123</v>
      </c>
    </row>
    <row r="463" spans="1:10" x14ac:dyDescent="0.35">
      <c r="I463" s="38" t="s">
        <v>18</v>
      </c>
      <c r="J463" t="s">
        <v>4124</v>
      </c>
    </row>
    <row r="464" spans="1:10" x14ac:dyDescent="0.35">
      <c r="J464" t="s">
        <v>4125</v>
      </c>
    </row>
    <row r="465" spans="1:10" x14ac:dyDescent="0.35">
      <c r="J465" s="36" t="s">
        <v>4126</v>
      </c>
    </row>
    <row r="466" spans="1:10" x14ac:dyDescent="0.35">
      <c r="A466" s="33" t="s">
        <v>3002</v>
      </c>
      <c r="B466" t="s">
        <v>3</v>
      </c>
      <c r="C466" t="s">
        <v>43</v>
      </c>
      <c r="D466" t="s">
        <v>64</v>
      </c>
      <c r="E466" s="34" t="s">
        <v>216</v>
      </c>
      <c r="F466" t="s">
        <v>841</v>
      </c>
      <c r="G466" t="s">
        <v>842</v>
      </c>
      <c r="H466" t="s">
        <v>130</v>
      </c>
      <c r="J466" s="3" t="s">
        <v>850</v>
      </c>
    </row>
    <row r="467" spans="1:10" x14ac:dyDescent="0.35">
      <c r="E467" s="17"/>
      <c r="J467" t="s">
        <v>843</v>
      </c>
    </row>
    <row r="468" spans="1:10" x14ac:dyDescent="0.35">
      <c r="J468" t="s">
        <v>844</v>
      </c>
    </row>
    <row r="469" spans="1:10" x14ac:dyDescent="0.35">
      <c r="J469" t="s">
        <v>845</v>
      </c>
    </row>
    <row r="470" spans="1:10" x14ac:dyDescent="0.35">
      <c r="J470" t="s">
        <v>2999</v>
      </c>
    </row>
    <row r="471" spans="1:10" x14ac:dyDescent="0.35">
      <c r="J471" t="s">
        <v>3000</v>
      </c>
    </row>
    <row r="472" spans="1:10" x14ac:dyDescent="0.35">
      <c r="I472" s="38" t="s">
        <v>18</v>
      </c>
      <c r="J472" s="36" t="s">
        <v>3001</v>
      </c>
    </row>
    <row r="473" spans="1:10" x14ac:dyDescent="0.35">
      <c r="A473" s="33" t="s">
        <v>1608</v>
      </c>
      <c r="B473" t="s">
        <v>3</v>
      </c>
      <c r="C473" t="s">
        <v>43</v>
      </c>
      <c r="D473" t="s">
        <v>64</v>
      </c>
      <c r="E473" s="34" t="s">
        <v>216</v>
      </c>
      <c r="F473" t="s">
        <v>841</v>
      </c>
      <c r="G473" t="s">
        <v>842</v>
      </c>
      <c r="H473" t="s">
        <v>130</v>
      </c>
      <c r="J473" s="3" t="s">
        <v>843</v>
      </c>
    </row>
    <row r="474" spans="1:10" x14ac:dyDescent="0.35">
      <c r="E474" s="54" t="s">
        <v>216</v>
      </c>
      <c r="J474" t="s">
        <v>858</v>
      </c>
    </row>
    <row r="475" spans="1:10" x14ac:dyDescent="0.35">
      <c r="J475" t="s">
        <v>867</v>
      </c>
    </row>
    <row r="476" spans="1:10" x14ac:dyDescent="0.35">
      <c r="J476" t="s">
        <v>1609</v>
      </c>
    </row>
    <row r="477" spans="1:10" x14ac:dyDescent="0.35">
      <c r="J477" t="s">
        <v>1610</v>
      </c>
    </row>
    <row r="478" spans="1:10" x14ac:dyDescent="0.35">
      <c r="J478" t="s">
        <v>1611</v>
      </c>
    </row>
    <row r="479" spans="1:10" x14ac:dyDescent="0.35">
      <c r="I479" s="38" t="s">
        <v>18</v>
      </c>
      <c r="J479" t="s">
        <v>1612</v>
      </c>
    </row>
    <row r="480" spans="1:10" x14ac:dyDescent="0.35">
      <c r="J480" s="36" t="s">
        <v>1613</v>
      </c>
    </row>
    <row r="481" spans="1:10" x14ac:dyDescent="0.35">
      <c r="A481" s="33" t="s">
        <v>992</v>
      </c>
      <c r="B481" t="s">
        <v>3</v>
      </c>
      <c r="C481" t="s">
        <v>43</v>
      </c>
      <c r="D481" t="s">
        <v>64</v>
      </c>
      <c r="E481" s="34" t="s">
        <v>216</v>
      </c>
      <c r="F481" t="s">
        <v>841</v>
      </c>
      <c r="G481" t="s">
        <v>842</v>
      </c>
      <c r="H481" t="s">
        <v>130</v>
      </c>
      <c r="J481" s="3" t="s">
        <v>843</v>
      </c>
    </row>
    <row r="482" spans="1:10" x14ac:dyDescent="0.35">
      <c r="E482" s="54" t="s">
        <v>216</v>
      </c>
      <c r="J482" t="s">
        <v>843</v>
      </c>
    </row>
    <row r="483" spans="1:10" x14ac:dyDescent="0.35">
      <c r="J483" t="s">
        <v>843</v>
      </c>
    </row>
    <row r="484" spans="1:10" x14ac:dyDescent="0.35">
      <c r="J484" t="s">
        <v>844</v>
      </c>
    </row>
    <row r="485" spans="1:10" x14ac:dyDescent="0.35">
      <c r="J485" t="s">
        <v>845</v>
      </c>
    </row>
    <row r="486" spans="1:10" x14ac:dyDescent="0.35">
      <c r="J486" t="s">
        <v>993</v>
      </c>
    </row>
    <row r="487" spans="1:10" x14ac:dyDescent="0.35">
      <c r="I487" s="38" t="s">
        <v>18</v>
      </c>
      <c r="J487" t="s">
        <v>994</v>
      </c>
    </row>
    <row r="488" spans="1:10" x14ac:dyDescent="0.35">
      <c r="J488" s="36" t="s">
        <v>992</v>
      </c>
    </row>
    <row r="489" spans="1:10" x14ac:dyDescent="0.35">
      <c r="A489" s="33" t="s">
        <v>995</v>
      </c>
      <c r="B489" t="s">
        <v>3</v>
      </c>
      <c r="C489" t="s">
        <v>43</v>
      </c>
      <c r="D489" t="s">
        <v>184</v>
      </c>
      <c r="E489" s="34" t="s">
        <v>216</v>
      </c>
      <c r="F489" t="s">
        <v>841</v>
      </c>
      <c r="G489" t="s">
        <v>842</v>
      </c>
      <c r="H489" t="s">
        <v>130</v>
      </c>
      <c r="J489" s="3" t="s">
        <v>843</v>
      </c>
    </row>
    <row r="490" spans="1:10" x14ac:dyDescent="0.35">
      <c r="E490" s="17"/>
      <c r="J490" t="s">
        <v>985</v>
      </c>
    </row>
    <row r="491" spans="1:10" x14ac:dyDescent="0.35">
      <c r="J491" t="s">
        <v>986</v>
      </c>
    </row>
    <row r="492" spans="1:10" x14ac:dyDescent="0.35">
      <c r="J492" t="s">
        <v>987</v>
      </c>
    </row>
    <row r="493" spans="1:10" x14ac:dyDescent="0.35">
      <c r="J493" t="s">
        <v>988</v>
      </c>
    </row>
    <row r="494" spans="1:10" x14ac:dyDescent="0.35">
      <c r="J494" t="s">
        <v>996</v>
      </c>
    </row>
    <row r="495" spans="1:10" x14ac:dyDescent="0.35">
      <c r="I495" s="38" t="s">
        <v>18</v>
      </c>
      <c r="J495" s="36" t="s">
        <v>997</v>
      </c>
    </row>
    <row r="496" spans="1:10" x14ac:dyDescent="0.35">
      <c r="A496" s="33" t="s">
        <v>4133</v>
      </c>
      <c r="B496" t="s">
        <v>3</v>
      </c>
      <c r="C496" t="s">
        <v>43</v>
      </c>
      <c r="D496" t="s">
        <v>184</v>
      </c>
      <c r="E496" s="34" t="s">
        <v>216</v>
      </c>
      <c r="F496" t="s">
        <v>841</v>
      </c>
      <c r="G496" t="s">
        <v>842</v>
      </c>
      <c r="H496" t="s">
        <v>130</v>
      </c>
      <c r="J496" s="3" t="s">
        <v>985</v>
      </c>
    </row>
    <row r="497" spans="1:10" x14ac:dyDescent="0.35">
      <c r="E497" s="17"/>
      <c r="J497" t="s">
        <v>986</v>
      </c>
    </row>
    <row r="498" spans="1:10" x14ac:dyDescent="0.35">
      <c r="J498" t="s">
        <v>4121</v>
      </c>
    </row>
    <row r="499" spans="1:10" x14ac:dyDescent="0.35">
      <c r="J499" t="s">
        <v>4122</v>
      </c>
    </row>
    <row r="500" spans="1:10" x14ac:dyDescent="0.35">
      <c r="J500" t="s">
        <v>4130</v>
      </c>
    </row>
    <row r="501" spans="1:10" x14ac:dyDescent="0.35">
      <c r="J501" t="s">
        <v>4131</v>
      </c>
    </row>
    <row r="502" spans="1:10" x14ac:dyDescent="0.35">
      <c r="I502" s="38" t="s">
        <v>18</v>
      </c>
      <c r="J502" s="36" t="s">
        <v>4132</v>
      </c>
    </row>
    <row r="503" spans="1:10" x14ac:dyDescent="0.35">
      <c r="A503" s="33" t="s">
        <v>4127</v>
      </c>
      <c r="B503" t="s">
        <v>3</v>
      </c>
      <c r="C503" t="s">
        <v>43</v>
      </c>
      <c r="D503" t="s">
        <v>429</v>
      </c>
      <c r="E503" s="34" t="s">
        <v>216</v>
      </c>
      <c r="F503" t="s">
        <v>902</v>
      </c>
      <c r="G503" t="s">
        <v>1152</v>
      </c>
      <c r="H503" t="s">
        <v>413</v>
      </c>
      <c r="I503" s="1" t="s">
        <v>841</v>
      </c>
      <c r="J503" s="3" t="s">
        <v>1188</v>
      </c>
    </row>
    <row r="504" spans="1:10" x14ac:dyDescent="0.35">
      <c r="E504" s="17"/>
      <c r="I504" t="s">
        <v>841</v>
      </c>
      <c r="J504" t="s">
        <v>1198</v>
      </c>
    </row>
    <row r="505" spans="1:10" x14ac:dyDescent="0.35">
      <c r="J505" t="s">
        <v>1199</v>
      </c>
    </row>
    <row r="506" spans="1:10" x14ac:dyDescent="0.35">
      <c r="J506" t="s">
        <v>1200</v>
      </c>
    </row>
    <row r="507" spans="1:10" x14ac:dyDescent="0.35">
      <c r="J507" t="s">
        <v>1201</v>
      </c>
    </row>
    <row r="508" spans="1:10" x14ac:dyDescent="0.35">
      <c r="J508" t="s">
        <v>1202</v>
      </c>
    </row>
    <row r="509" spans="1:10" x14ac:dyDescent="0.35">
      <c r="J509" t="s">
        <v>4128</v>
      </c>
    </row>
    <row r="510" spans="1:10" x14ac:dyDescent="0.35">
      <c r="J510" s="36" t="s">
        <v>4129</v>
      </c>
    </row>
    <row r="511" spans="1:10" x14ac:dyDescent="0.35">
      <c r="I511" s="38" t="s">
        <v>18</v>
      </c>
    </row>
    <row r="512" spans="1:10" x14ac:dyDescent="0.35">
      <c r="A512" t="s">
        <v>1113</v>
      </c>
      <c r="B512" t="s">
        <v>3</v>
      </c>
      <c r="C512" t="s">
        <v>603</v>
      </c>
      <c r="D512" t="s">
        <v>1121</v>
      </c>
      <c r="E512" s="34" t="s">
        <v>72</v>
      </c>
      <c r="F512" t="s">
        <v>902</v>
      </c>
      <c r="G512" t="s">
        <v>891</v>
      </c>
      <c r="H512" t="s">
        <v>91</v>
      </c>
      <c r="I512" s="1" t="s">
        <v>902</v>
      </c>
      <c r="J512" s="3" t="s">
        <v>892</v>
      </c>
    </row>
    <row r="513" spans="1:10" x14ac:dyDescent="0.35">
      <c r="E513" s="17"/>
      <c r="I513" t="s">
        <v>841</v>
      </c>
      <c r="J513" t="s">
        <v>1114</v>
      </c>
    </row>
    <row r="514" spans="1:10" x14ac:dyDescent="0.35">
      <c r="I514" t="s">
        <v>841</v>
      </c>
      <c r="J514" t="s">
        <v>1115</v>
      </c>
    </row>
    <row r="515" spans="1:10" x14ac:dyDescent="0.35">
      <c r="J515" t="s">
        <v>1116</v>
      </c>
    </row>
    <row r="516" spans="1:10" x14ac:dyDescent="0.35">
      <c r="J516" t="s">
        <v>1117</v>
      </c>
    </row>
    <row r="517" spans="1:10" x14ac:dyDescent="0.35">
      <c r="J517" t="s">
        <v>1118</v>
      </c>
    </row>
    <row r="518" spans="1:10" x14ac:dyDescent="0.35">
      <c r="J518" t="s">
        <v>1119</v>
      </c>
    </row>
    <row r="519" spans="1:10" x14ac:dyDescent="0.35">
      <c r="J519" t="s">
        <v>1120</v>
      </c>
    </row>
    <row r="520" spans="1:10" x14ac:dyDescent="0.35">
      <c r="I520" s="38" t="s">
        <v>18</v>
      </c>
      <c r="J520" s="36" t="s">
        <v>1113</v>
      </c>
    </row>
    <row r="521" spans="1:10" x14ac:dyDescent="0.35">
      <c r="A521" t="s">
        <v>1122</v>
      </c>
      <c r="B521" t="s">
        <v>3</v>
      </c>
      <c r="C521" t="s">
        <v>603</v>
      </c>
      <c r="D521" t="s">
        <v>1065</v>
      </c>
      <c r="E521" s="34" t="s">
        <v>72</v>
      </c>
      <c r="F521" t="s">
        <v>902</v>
      </c>
      <c r="G521" t="s">
        <v>891</v>
      </c>
      <c r="H521" t="s">
        <v>91</v>
      </c>
      <c r="I521" s="1" t="s">
        <v>902</v>
      </c>
      <c r="J521" s="3" t="s">
        <v>892</v>
      </c>
    </row>
    <row r="522" spans="1:10" x14ac:dyDescent="0.35">
      <c r="E522" s="17"/>
      <c r="I522" t="s">
        <v>841</v>
      </c>
      <c r="J522" t="s">
        <v>1084</v>
      </c>
    </row>
    <row r="523" spans="1:10" x14ac:dyDescent="0.35">
      <c r="I523" t="s">
        <v>841</v>
      </c>
      <c r="J523" t="s">
        <v>1123</v>
      </c>
    </row>
    <row r="524" spans="1:10" x14ac:dyDescent="0.35">
      <c r="J524" t="s">
        <v>1125</v>
      </c>
    </row>
    <row r="525" spans="1:10" x14ac:dyDescent="0.35">
      <c r="J525" t="s">
        <v>1124</v>
      </c>
    </row>
    <row r="526" spans="1:10" x14ac:dyDescent="0.35">
      <c r="J526" t="s">
        <v>1126</v>
      </c>
    </row>
    <row r="527" spans="1:10" x14ac:dyDescent="0.35">
      <c r="J527" t="s">
        <v>1127</v>
      </c>
    </row>
    <row r="528" spans="1:10" x14ac:dyDescent="0.35">
      <c r="J528" t="s">
        <v>1128</v>
      </c>
    </row>
    <row r="529" spans="1:10" x14ac:dyDescent="0.35">
      <c r="I529" s="38" t="s">
        <v>18</v>
      </c>
      <c r="J529" t="s">
        <v>1129</v>
      </c>
    </row>
    <row r="530" spans="1:10" x14ac:dyDescent="0.35">
      <c r="J530" s="36" t="s">
        <v>1122</v>
      </c>
    </row>
    <row r="531" spans="1:10" x14ac:dyDescent="0.35">
      <c r="A531" s="33" t="s">
        <v>1001</v>
      </c>
      <c r="B531" t="s">
        <v>3</v>
      </c>
      <c r="C531" t="s">
        <v>43</v>
      </c>
      <c r="D531" t="s">
        <v>64</v>
      </c>
      <c r="E531" s="34" t="s">
        <v>72</v>
      </c>
      <c r="F531" t="s">
        <v>841</v>
      </c>
      <c r="G531" t="s">
        <v>842</v>
      </c>
      <c r="H531" t="s">
        <v>130</v>
      </c>
      <c r="J531" s="3" t="s">
        <v>1120</v>
      </c>
    </row>
    <row r="532" spans="1:10" x14ac:dyDescent="0.35">
      <c r="E532" s="54" t="s">
        <v>72</v>
      </c>
      <c r="J532" t="s">
        <v>881</v>
      </c>
    </row>
    <row r="533" spans="1:10" x14ac:dyDescent="0.35">
      <c r="J533" t="s">
        <v>882</v>
      </c>
    </row>
    <row r="534" spans="1:10" x14ac:dyDescent="0.35">
      <c r="J534" t="s">
        <v>883</v>
      </c>
    </row>
    <row r="535" spans="1:10" x14ac:dyDescent="0.35">
      <c r="J535" t="s">
        <v>1002</v>
      </c>
    </row>
    <row r="536" spans="1:10" x14ac:dyDescent="0.35">
      <c r="J536" t="s">
        <v>1003</v>
      </c>
    </row>
    <row r="537" spans="1:10" x14ac:dyDescent="0.35">
      <c r="I537" s="38" t="s">
        <v>18</v>
      </c>
      <c r="J537" t="s">
        <v>1004</v>
      </c>
    </row>
    <row r="538" spans="1:10" x14ac:dyDescent="0.35">
      <c r="J538" s="36" t="s">
        <v>1005</v>
      </c>
    </row>
    <row r="539" spans="1:10" x14ac:dyDescent="0.35">
      <c r="A539" s="33" t="s">
        <v>1614</v>
      </c>
      <c r="B539" t="s">
        <v>3</v>
      </c>
      <c r="C539" t="s">
        <v>43</v>
      </c>
      <c r="D539" t="s">
        <v>64</v>
      </c>
      <c r="E539" s="34" t="s">
        <v>72</v>
      </c>
      <c r="F539" t="s">
        <v>841</v>
      </c>
      <c r="G539" t="s">
        <v>842</v>
      </c>
      <c r="H539" t="s">
        <v>130</v>
      </c>
      <c r="J539" s="3" t="s">
        <v>850</v>
      </c>
    </row>
    <row r="540" spans="1:10" x14ac:dyDescent="0.35">
      <c r="E540" s="54" t="s">
        <v>72</v>
      </c>
      <c r="J540" t="s">
        <v>851</v>
      </c>
    </row>
    <row r="541" spans="1:10" x14ac:dyDescent="0.35">
      <c r="J541" t="s">
        <v>850</v>
      </c>
    </row>
    <row r="542" spans="1:10" x14ac:dyDescent="0.35">
      <c r="J542" t="s">
        <v>1615</v>
      </c>
    </row>
    <row r="543" spans="1:10" x14ac:dyDescent="0.35">
      <c r="J543" t="s">
        <v>1008</v>
      </c>
    </row>
    <row r="544" spans="1:10" x14ac:dyDescent="0.35">
      <c r="J544" t="s">
        <v>1009</v>
      </c>
    </row>
    <row r="545" spans="1:10" x14ac:dyDescent="0.35">
      <c r="I545" s="38" t="s">
        <v>18</v>
      </c>
      <c r="J545" s="36" t="s">
        <v>1616</v>
      </c>
    </row>
    <row r="546" spans="1:10" x14ac:dyDescent="0.35">
      <c r="A546" s="33" t="s">
        <v>1006</v>
      </c>
      <c r="B546" t="s">
        <v>3</v>
      </c>
      <c r="C546" t="s">
        <v>43</v>
      </c>
      <c r="D546" t="s">
        <v>64</v>
      </c>
      <c r="E546" s="34" t="s">
        <v>72</v>
      </c>
      <c r="F546" t="s">
        <v>841</v>
      </c>
      <c r="G546" t="s">
        <v>842</v>
      </c>
      <c r="H546" t="s">
        <v>130</v>
      </c>
      <c r="J546" s="3" t="s">
        <v>850</v>
      </c>
    </row>
    <row r="547" spans="1:10" x14ac:dyDescent="0.35">
      <c r="E547" s="54" t="s">
        <v>72</v>
      </c>
      <c r="J547" t="s">
        <v>851</v>
      </c>
    </row>
    <row r="548" spans="1:10" x14ac:dyDescent="0.35">
      <c r="J548" t="s">
        <v>850</v>
      </c>
    </row>
    <row r="549" spans="1:10" x14ac:dyDescent="0.35">
      <c r="J549" t="s">
        <v>1007</v>
      </c>
    </row>
    <row r="550" spans="1:10" x14ac:dyDescent="0.35">
      <c r="J550" t="s">
        <v>1008</v>
      </c>
    </row>
    <row r="551" spans="1:10" x14ac:dyDescent="0.35">
      <c r="J551" t="s">
        <v>1009</v>
      </c>
    </row>
    <row r="552" spans="1:10" x14ac:dyDescent="0.35">
      <c r="I552" s="38" t="s">
        <v>18</v>
      </c>
      <c r="J552" t="s">
        <v>1010</v>
      </c>
    </row>
    <row r="553" spans="1:10" x14ac:dyDescent="0.35">
      <c r="J553" s="36" t="s">
        <v>1006</v>
      </c>
    </row>
    <row r="554" spans="1:10" x14ac:dyDescent="0.35">
      <c r="A554" s="33" t="s">
        <v>1015</v>
      </c>
      <c r="B554" t="s">
        <v>3</v>
      </c>
      <c r="C554" t="s">
        <v>43</v>
      </c>
      <c r="D554" t="s">
        <v>951</v>
      </c>
      <c r="E554" s="54" t="s">
        <v>72</v>
      </c>
      <c r="F554" t="s">
        <v>890</v>
      </c>
      <c r="G554" t="s">
        <v>891</v>
      </c>
      <c r="H554" t="s">
        <v>91</v>
      </c>
      <c r="I554" s="1" t="s">
        <v>902</v>
      </c>
      <c r="J554" s="3" t="s">
        <v>892</v>
      </c>
    </row>
    <row r="555" spans="1:10" x14ac:dyDescent="0.35">
      <c r="E555" s="34" t="s">
        <v>65</v>
      </c>
      <c r="I555" t="s">
        <v>841</v>
      </c>
      <c r="J555" t="s">
        <v>893</v>
      </c>
    </row>
    <row r="556" spans="1:10" x14ac:dyDescent="0.35">
      <c r="I556" t="s">
        <v>841</v>
      </c>
      <c r="J556" t="s">
        <v>1016</v>
      </c>
    </row>
    <row r="557" spans="1:10" x14ac:dyDescent="0.35">
      <c r="J557" t="s">
        <v>1017</v>
      </c>
    </row>
    <row r="558" spans="1:10" x14ac:dyDescent="0.35">
      <c r="J558" t="s">
        <v>1018</v>
      </c>
    </row>
    <row r="559" spans="1:10" x14ac:dyDescent="0.35">
      <c r="J559" t="s">
        <v>1019</v>
      </c>
    </row>
    <row r="560" spans="1:10" x14ac:dyDescent="0.35">
      <c r="J560" t="s">
        <v>1020</v>
      </c>
    </row>
    <row r="561" spans="1:10" x14ac:dyDescent="0.35">
      <c r="J561" t="s">
        <v>1021</v>
      </c>
    </row>
    <row r="562" spans="1:10" x14ac:dyDescent="0.35">
      <c r="I562" s="38" t="s">
        <v>18</v>
      </c>
      <c r="J562" t="s">
        <v>1022</v>
      </c>
    </row>
    <row r="563" spans="1:10" x14ac:dyDescent="0.35">
      <c r="J563" s="36" t="s">
        <v>1023</v>
      </c>
    </row>
    <row r="564" spans="1:10" x14ac:dyDescent="0.35">
      <c r="A564" s="33" t="s">
        <v>4167</v>
      </c>
      <c r="B564" t="s">
        <v>3</v>
      </c>
      <c r="C564" t="s">
        <v>43</v>
      </c>
      <c r="D564" t="s">
        <v>951</v>
      </c>
      <c r="E564" s="54" t="s">
        <v>72</v>
      </c>
      <c r="F564" t="s">
        <v>890</v>
      </c>
      <c r="G564" t="s">
        <v>891</v>
      </c>
      <c r="H564" t="s">
        <v>91</v>
      </c>
      <c r="I564" s="1" t="s">
        <v>902</v>
      </c>
      <c r="J564" s="3" t="s">
        <v>892</v>
      </c>
    </row>
    <row r="565" spans="1:10" x14ac:dyDescent="0.35">
      <c r="E565" s="34"/>
      <c r="I565" t="s">
        <v>841</v>
      </c>
      <c r="J565" t="s">
        <v>902</v>
      </c>
    </row>
    <row r="566" spans="1:10" x14ac:dyDescent="0.35">
      <c r="I566" t="s">
        <v>841</v>
      </c>
      <c r="J566" t="s">
        <v>1058</v>
      </c>
    </row>
    <row r="567" spans="1:10" x14ac:dyDescent="0.35">
      <c r="J567" t="s">
        <v>4163</v>
      </c>
    </row>
    <row r="568" spans="1:10" x14ac:dyDescent="0.35">
      <c r="J568" t="s">
        <v>4168</v>
      </c>
    </row>
    <row r="569" spans="1:10" x14ac:dyDescent="0.35">
      <c r="J569" t="s">
        <v>4169</v>
      </c>
    </row>
    <row r="570" spans="1:10" x14ac:dyDescent="0.35">
      <c r="J570" t="s">
        <v>4170</v>
      </c>
    </row>
    <row r="571" spans="1:10" x14ac:dyDescent="0.35">
      <c r="J571" t="s">
        <v>4171</v>
      </c>
    </row>
    <row r="572" spans="1:10" x14ac:dyDescent="0.35">
      <c r="I572" s="38" t="s">
        <v>18</v>
      </c>
      <c r="J572" t="s">
        <v>4172</v>
      </c>
    </row>
    <row r="573" spans="1:10" x14ac:dyDescent="0.35">
      <c r="J573" s="36" t="s">
        <v>4173</v>
      </c>
    </row>
    <row r="574" spans="1:10" x14ac:dyDescent="0.35">
      <c r="A574" s="33" t="s">
        <v>1011</v>
      </c>
      <c r="B574" t="s">
        <v>3</v>
      </c>
      <c r="C574" t="s">
        <v>43</v>
      </c>
      <c r="D574" t="s">
        <v>184</v>
      </c>
      <c r="E574" s="34" t="s">
        <v>65</v>
      </c>
      <c r="F574" t="s">
        <v>841</v>
      </c>
      <c r="G574" t="s">
        <v>842</v>
      </c>
      <c r="H574" t="s">
        <v>130</v>
      </c>
      <c r="J574" s="3" t="s">
        <v>843</v>
      </c>
    </row>
    <row r="575" spans="1:10" x14ac:dyDescent="0.35">
      <c r="E575" s="17"/>
      <c r="J575" t="s">
        <v>843</v>
      </c>
    </row>
    <row r="576" spans="1:10" x14ac:dyDescent="0.35">
      <c r="J576" t="s">
        <v>843</v>
      </c>
    </row>
    <row r="577" spans="1:10" x14ac:dyDescent="0.35">
      <c r="J577" t="s">
        <v>910</v>
      </c>
    </row>
    <row r="578" spans="1:10" x14ac:dyDescent="0.35">
      <c r="J578" t="s">
        <v>1012</v>
      </c>
    </row>
    <row r="579" spans="1:10" x14ac:dyDescent="0.35">
      <c r="J579" t="s">
        <v>1013</v>
      </c>
    </row>
    <row r="580" spans="1:10" x14ac:dyDescent="0.35">
      <c r="I580" s="38" t="s">
        <v>18</v>
      </c>
      <c r="J580" s="36" t="s">
        <v>1014</v>
      </c>
    </row>
    <row r="581" spans="1:10" x14ac:dyDescent="0.35">
      <c r="A581" s="33" t="s">
        <v>1617</v>
      </c>
      <c r="B581" t="s">
        <v>3</v>
      </c>
      <c r="C581" t="s">
        <v>43</v>
      </c>
      <c r="D581" t="s">
        <v>184</v>
      </c>
      <c r="E581" s="34" t="s">
        <v>65</v>
      </c>
      <c r="F581" t="s">
        <v>841</v>
      </c>
      <c r="G581" t="s">
        <v>842</v>
      </c>
      <c r="H581" t="s">
        <v>130</v>
      </c>
      <c r="J581" s="3" t="s">
        <v>843</v>
      </c>
    </row>
    <row r="582" spans="1:10" x14ac:dyDescent="0.35">
      <c r="E582" s="17"/>
      <c r="J582" t="s">
        <v>858</v>
      </c>
    </row>
    <row r="583" spans="1:10" x14ac:dyDescent="0.35">
      <c r="J583" t="s">
        <v>859</v>
      </c>
    </row>
    <row r="584" spans="1:10" x14ac:dyDescent="0.35">
      <c r="J584" t="s">
        <v>1618</v>
      </c>
    </row>
    <row r="585" spans="1:10" x14ac:dyDescent="0.35">
      <c r="J585" t="s">
        <v>1619</v>
      </c>
    </row>
    <row r="586" spans="1:10" x14ac:dyDescent="0.35">
      <c r="J586" t="s">
        <v>1620</v>
      </c>
    </row>
    <row r="587" spans="1:10" x14ac:dyDescent="0.35">
      <c r="I587" s="38" t="s">
        <v>18</v>
      </c>
      <c r="J587" t="s">
        <v>1621</v>
      </c>
    </row>
    <row r="588" spans="1:10" x14ac:dyDescent="0.35">
      <c r="J588" s="36" t="s">
        <v>1622</v>
      </c>
    </row>
    <row r="589" spans="1:10" x14ac:dyDescent="0.35">
      <c r="A589" s="33" t="s">
        <v>4141</v>
      </c>
      <c r="B589" t="s">
        <v>3</v>
      </c>
      <c r="C589" t="s">
        <v>43</v>
      </c>
      <c r="D589" t="s">
        <v>414</v>
      </c>
      <c r="E589" s="34" t="s">
        <v>65</v>
      </c>
      <c r="F589" t="s">
        <v>841</v>
      </c>
      <c r="G589" t="s">
        <v>842</v>
      </c>
      <c r="H589" t="s">
        <v>130</v>
      </c>
      <c r="J589" s="3" t="s">
        <v>843</v>
      </c>
    </row>
    <row r="590" spans="1:10" x14ac:dyDescent="0.35">
      <c r="E590" s="17"/>
      <c r="J590" t="s">
        <v>858</v>
      </c>
    </row>
    <row r="591" spans="1:10" x14ac:dyDescent="0.35">
      <c r="J591" t="s">
        <v>859</v>
      </c>
    </row>
    <row r="592" spans="1:10" x14ac:dyDescent="0.35">
      <c r="J592" t="s">
        <v>1629</v>
      </c>
    </row>
    <row r="593" spans="1:10" x14ac:dyDescent="0.35">
      <c r="J593" t="s">
        <v>4142</v>
      </c>
    </row>
    <row r="594" spans="1:10" x14ac:dyDescent="0.35">
      <c r="J594" t="s">
        <v>4143</v>
      </c>
    </row>
    <row r="595" spans="1:10" x14ac:dyDescent="0.35">
      <c r="I595" s="38" t="s">
        <v>18</v>
      </c>
      <c r="J595" t="s">
        <v>4144</v>
      </c>
    </row>
    <row r="596" spans="1:10" x14ac:dyDescent="0.35">
      <c r="J596" t="s">
        <v>4145</v>
      </c>
    </row>
    <row r="597" spans="1:10" x14ac:dyDescent="0.35">
      <c r="J597" s="36" t="s">
        <v>4141</v>
      </c>
    </row>
    <row r="598" spans="1:10" x14ac:dyDescent="0.35">
      <c r="A598" s="33" t="s">
        <v>1151</v>
      </c>
      <c r="B598" t="s">
        <v>3</v>
      </c>
      <c r="C598" t="s">
        <v>43</v>
      </c>
      <c r="D598" t="s">
        <v>951</v>
      </c>
      <c r="E598" s="34" t="s">
        <v>65</v>
      </c>
      <c r="F598" t="s">
        <v>902</v>
      </c>
      <c r="G598" t="s">
        <v>1152</v>
      </c>
      <c r="H598" t="s">
        <v>413</v>
      </c>
      <c r="I598" s="1" t="s">
        <v>841</v>
      </c>
      <c r="J598" s="3" t="s">
        <v>902</v>
      </c>
    </row>
    <row r="599" spans="1:10" x14ac:dyDescent="0.35">
      <c r="E599" s="17"/>
      <c r="I599" t="s">
        <v>841</v>
      </c>
      <c r="J599" t="s">
        <v>902</v>
      </c>
    </row>
    <row r="600" spans="1:10" x14ac:dyDescent="0.35">
      <c r="J600" t="s">
        <v>1051</v>
      </c>
    </row>
    <row r="601" spans="1:10" x14ac:dyDescent="0.35">
      <c r="J601" t="s">
        <v>1153</v>
      </c>
    </row>
    <row r="602" spans="1:10" x14ac:dyDescent="0.35">
      <c r="J602" t="s">
        <v>1154</v>
      </c>
    </row>
    <row r="603" spans="1:10" x14ac:dyDescent="0.35">
      <c r="J603" t="s">
        <v>1155</v>
      </c>
    </row>
    <row r="604" spans="1:10" x14ac:dyDescent="0.35">
      <c r="J604" t="s">
        <v>1156</v>
      </c>
    </row>
    <row r="605" spans="1:10" x14ac:dyDescent="0.35">
      <c r="J605" t="s">
        <v>1157</v>
      </c>
    </row>
    <row r="606" spans="1:10" x14ac:dyDescent="0.35">
      <c r="I606" s="38" t="s">
        <v>18</v>
      </c>
      <c r="J606" t="s">
        <v>1158</v>
      </c>
    </row>
    <row r="607" spans="1:10" x14ac:dyDescent="0.35">
      <c r="J607" s="36" t="s">
        <v>1159</v>
      </c>
    </row>
    <row r="608" spans="1:10" x14ac:dyDescent="0.35">
      <c r="A608" s="33" t="s">
        <v>1024</v>
      </c>
      <c r="B608" t="s">
        <v>3</v>
      </c>
      <c r="C608" t="s">
        <v>43</v>
      </c>
      <c r="D608" t="s">
        <v>159</v>
      </c>
      <c r="E608" s="34" t="s">
        <v>65</v>
      </c>
      <c r="F608" t="s">
        <v>841</v>
      </c>
      <c r="G608" t="s">
        <v>842</v>
      </c>
      <c r="H608" t="s">
        <v>130</v>
      </c>
      <c r="J608" s="3" t="s">
        <v>873</v>
      </c>
    </row>
    <row r="609" spans="1:10" x14ac:dyDescent="0.35">
      <c r="E609" s="17"/>
      <c r="J609" t="s">
        <v>874</v>
      </c>
    </row>
    <row r="610" spans="1:10" x14ac:dyDescent="0.35">
      <c r="J610" t="s">
        <v>875</v>
      </c>
    </row>
    <row r="611" spans="1:10" x14ac:dyDescent="0.35">
      <c r="J611" t="s">
        <v>1025</v>
      </c>
    </row>
    <row r="612" spans="1:10" x14ac:dyDescent="0.35">
      <c r="J612" t="s">
        <v>1026</v>
      </c>
    </row>
    <row r="613" spans="1:10" x14ac:dyDescent="0.35">
      <c r="J613" s="36" t="s">
        <v>1027</v>
      </c>
    </row>
    <row r="614" spans="1:10" x14ac:dyDescent="0.35">
      <c r="I614" s="38" t="s">
        <v>18</v>
      </c>
    </row>
    <row r="615" spans="1:10" x14ac:dyDescent="0.35">
      <c r="A615" s="33" t="s">
        <v>1028</v>
      </c>
      <c r="B615" t="s">
        <v>3</v>
      </c>
      <c r="C615" t="s">
        <v>43</v>
      </c>
      <c r="D615" t="s">
        <v>615</v>
      </c>
      <c r="E615" s="34" t="s">
        <v>65</v>
      </c>
      <c r="F615" t="s">
        <v>890</v>
      </c>
      <c r="G615" t="s">
        <v>891</v>
      </c>
      <c r="H615" t="s">
        <v>91</v>
      </c>
      <c r="I615" s="1" t="s">
        <v>902</v>
      </c>
      <c r="J615" s="3" t="s">
        <v>902</v>
      </c>
    </row>
    <row r="616" spans="1:10" x14ac:dyDescent="0.35">
      <c r="E616" s="17"/>
      <c r="I616" t="s">
        <v>841</v>
      </c>
      <c r="J616" t="s">
        <v>1029</v>
      </c>
    </row>
    <row r="617" spans="1:10" x14ac:dyDescent="0.35">
      <c r="I617" t="s">
        <v>841</v>
      </c>
      <c r="J617" t="s">
        <v>1030</v>
      </c>
    </row>
    <row r="618" spans="1:10" x14ac:dyDescent="0.35">
      <c r="J618" t="s">
        <v>1031</v>
      </c>
    </row>
    <row r="619" spans="1:10" x14ac:dyDescent="0.35">
      <c r="J619" t="s">
        <v>1032</v>
      </c>
    </row>
    <row r="620" spans="1:10" x14ac:dyDescent="0.35">
      <c r="J620" t="s">
        <v>1033</v>
      </c>
    </row>
    <row r="621" spans="1:10" x14ac:dyDescent="0.35">
      <c r="J621" t="s">
        <v>1034</v>
      </c>
    </row>
    <row r="622" spans="1:10" x14ac:dyDescent="0.35">
      <c r="J622" t="s">
        <v>1035</v>
      </c>
    </row>
    <row r="623" spans="1:10" x14ac:dyDescent="0.35">
      <c r="I623" s="38" t="s">
        <v>18</v>
      </c>
      <c r="J623" s="36" t="s">
        <v>1036</v>
      </c>
    </row>
    <row r="624" spans="1:10" x14ac:dyDescent="0.35">
      <c r="A624" s="33" t="s">
        <v>1628</v>
      </c>
      <c r="B624" t="s">
        <v>3</v>
      </c>
      <c r="C624" t="s">
        <v>43</v>
      </c>
      <c r="D624" t="s">
        <v>184</v>
      </c>
      <c r="E624" s="34" t="s">
        <v>89</v>
      </c>
      <c r="F624" t="s">
        <v>841</v>
      </c>
      <c r="G624" t="s">
        <v>842</v>
      </c>
      <c r="H624" t="s">
        <v>130</v>
      </c>
      <c r="J624" s="3" t="s">
        <v>843</v>
      </c>
    </row>
    <row r="625" spans="1:10" x14ac:dyDescent="0.35">
      <c r="E625" s="17"/>
      <c r="J625" t="s">
        <v>858</v>
      </c>
    </row>
    <row r="626" spans="1:10" x14ac:dyDescent="0.35">
      <c r="J626" t="s">
        <v>859</v>
      </c>
    </row>
    <row r="627" spans="1:10" x14ac:dyDescent="0.35">
      <c r="J627" t="s">
        <v>1629</v>
      </c>
    </row>
    <row r="628" spans="1:10" x14ac:dyDescent="0.35">
      <c r="J628" t="s">
        <v>1630</v>
      </c>
    </row>
    <row r="629" spans="1:10" x14ac:dyDescent="0.35">
      <c r="J629" t="s">
        <v>1631</v>
      </c>
    </row>
    <row r="630" spans="1:10" x14ac:dyDescent="0.35">
      <c r="I630" s="38" t="s">
        <v>18</v>
      </c>
      <c r="J630" t="s">
        <v>1632</v>
      </c>
    </row>
    <row r="631" spans="1:10" x14ac:dyDescent="0.35">
      <c r="J631" s="36" t="s">
        <v>1633</v>
      </c>
    </row>
    <row r="632" spans="1:10" x14ac:dyDescent="0.35">
      <c r="A632" s="33" t="s">
        <v>1037</v>
      </c>
      <c r="B632" t="s">
        <v>3</v>
      </c>
      <c r="C632" t="s">
        <v>43</v>
      </c>
      <c r="D632" t="s">
        <v>1048</v>
      </c>
      <c r="E632" s="34" t="s">
        <v>89</v>
      </c>
      <c r="F632" t="s">
        <v>890</v>
      </c>
      <c r="G632" t="s">
        <v>891</v>
      </c>
      <c r="H632" t="s">
        <v>91</v>
      </c>
      <c r="I632" s="1" t="s">
        <v>902</v>
      </c>
      <c r="J632" s="3" t="s">
        <v>902</v>
      </c>
    </row>
    <row r="633" spans="1:10" x14ac:dyDescent="0.35">
      <c r="E633" s="17"/>
      <c r="I633" t="s">
        <v>841</v>
      </c>
      <c r="J633" t="s">
        <v>1038</v>
      </c>
    </row>
    <row r="634" spans="1:10" x14ac:dyDescent="0.35">
      <c r="I634" t="s">
        <v>841</v>
      </c>
      <c r="J634" t="s">
        <v>1039</v>
      </c>
    </row>
    <row r="635" spans="1:10" x14ac:dyDescent="0.35">
      <c r="J635" t="s">
        <v>1040</v>
      </c>
    </row>
    <row r="636" spans="1:10" x14ac:dyDescent="0.35">
      <c r="J636" t="s">
        <v>1040</v>
      </c>
    </row>
    <row r="637" spans="1:10" x14ac:dyDescent="0.35">
      <c r="J637" t="s">
        <v>1041</v>
      </c>
    </row>
    <row r="638" spans="1:10" x14ac:dyDescent="0.35">
      <c r="J638" t="s">
        <v>1042</v>
      </c>
    </row>
    <row r="639" spans="1:10" x14ac:dyDescent="0.35">
      <c r="J639" t="s">
        <v>1043</v>
      </c>
    </row>
    <row r="640" spans="1:10" x14ac:dyDescent="0.35">
      <c r="I640" s="38" t="s">
        <v>18</v>
      </c>
      <c r="J640" t="s">
        <v>1044</v>
      </c>
    </row>
    <row r="641" spans="1:10" x14ac:dyDescent="0.35">
      <c r="J641" t="s">
        <v>1045</v>
      </c>
    </row>
    <row r="642" spans="1:10" x14ac:dyDescent="0.35">
      <c r="J642" t="s">
        <v>1046</v>
      </c>
    </row>
    <row r="643" spans="1:10" x14ac:dyDescent="0.35">
      <c r="J643" s="36" t="s">
        <v>1047</v>
      </c>
    </row>
    <row r="644" spans="1:10" x14ac:dyDescent="0.35">
      <c r="A644" s="33" t="s">
        <v>1049</v>
      </c>
      <c r="B644" t="s">
        <v>3</v>
      </c>
      <c r="C644" t="s">
        <v>43</v>
      </c>
      <c r="D644" t="s">
        <v>656</v>
      </c>
      <c r="E644" s="34" t="s">
        <v>89</v>
      </c>
      <c r="F644" t="s">
        <v>890</v>
      </c>
      <c r="G644" t="s">
        <v>891</v>
      </c>
      <c r="H644" t="s">
        <v>91</v>
      </c>
      <c r="I644" s="1" t="s">
        <v>902</v>
      </c>
      <c r="J644" s="3" t="s">
        <v>902</v>
      </c>
    </row>
    <row r="645" spans="1:10" x14ac:dyDescent="0.35">
      <c r="E645" s="17"/>
      <c r="I645" t="s">
        <v>841</v>
      </c>
      <c r="J645" t="s">
        <v>902</v>
      </c>
    </row>
    <row r="646" spans="1:10" x14ac:dyDescent="0.35">
      <c r="I646" t="s">
        <v>841</v>
      </c>
      <c r="J646" t="s">
        <v>959</v>
      </c>
    </row>
    <row r="647" spans="1:10" x14ac:dyDescent="0.35">
      <c r="J647" t="s">
        <v>1050</v>
      </c>
    </row>
    <row r="648" spans="1:10" x14ac:dyDescent="0.35">
      <c r="J648" t="s">
        <v>1050</v>
      </c>
    </row>
    <row r="649" spans="1:10" x14ac:dyDescent="0.35">
      <c r="J649" t="s">
        <v>1051</v>
      </c>
    </row>
    <row r="650" spans="1:10" x14ac:dyDescent="0.35">
      <c r="J650" t="s">
        <v>1052</v>
      </c>
    </row>
    <row r="651" spans="1:10" x14ac:dyDescent="0.35">
      <c r="J651" t="s">
        <v>1053</v>
      </c>
    </row>
    <row r="652" spans="1:10" x14ac:dyDescent="0.35">
      <c r="I652" s="38" t="s">
        <v>18</v>
      </c>
      <c r="J652" t="s">
        <v>1054</v>
      </c>
    </row>
    <row r="653" spans="1:10" x14ac:dyDescent="0.35">
      <c r="J653" t="s">
        <v>1055</v>
      </c>
    </row>
    <row r="654" spans="1:10" x14ac:dyDescent="0.35">
      <c r="J654" s="36" t="s">
        <v>1056</v>
      </c>
    </row>
    <row r="655" spans="1:10" x14ac:dyDescent="0.35">
      <c r="A655" s="33" t="s">
        <v>1057</v>
      </c>
      <c r="B655" t="s">
        <v>3</v>
      </c>
      <c r="C655" t="s">
        <v>43</v>
      </c>
      <c r="D655" t="s">
        <v>1065</v>
      </c>
      <c r="E655" s="34" t="s">
        <v>89</v>
      </c>
      <c r="F655" t="s">
        <v>890</v>
      </c>
      <c r="G655" t="s">
        <v>891</v>
      </c>
      <c r="H655" t="s">
        <v>91</v>
      </c>
      <c r="I655" s="1" t="s">
        <v>902</v>
      </c>
      <c r="J655" s="3" t="s">
        <v>892</v>
      </c>
    </row>
    <row r="656" spans="1:10" x14ac:dyDescent="0.35">
      <c r="E656" s="17"/>
      <c r="I656" t="s">
        <v>841</v>
      </c>
      <c r="J656" t="s">
        <v>902</v>
      </c>
    </row>
    <row r="657" spans="1:10" x14ac:dyDescent="0.35">
      <c r="I657" t="s">
        <v>841</v>
      </c>
      <c r="J657" t="s">
        <v>1058</v>
      </c>
    </row>
    <row r="658" spans="1:10" x14ac:dyDescent="0.35">
      <c r="J658" t="s">
        <v>1058</v>
      </c>
    </row>
    <row r="659" spans="1:10" x14ac:dyDescent="0.35">
      <c r="J659" t="s">
        <v>1059</v>
      </c>
    </row>
    <row r="660" spans="1:10" x14ac:dyDescent="0.35">
      <c r="J660" t="s">
        <v>1060</v>
      </c>
    </row>
    <row r="661" spans="1:10" x14ac:dyDescent="0.35">
      <c r="J661" t="s">
        <v>1061</v>
      </c>
    </row>
    <row r="662" spans="1:10" x14ac:dyDescent="0.35">
      <c r="J662" t="s">
        <v>1062</v>
      </c>
    </row>
    <row r="663" spans="1:10" x14ac:dyDescent="0.35">
      <c r="I663" s="38" t="s">
        <v>18</v>
      </c>
      <c r="J663" t="s">
        <v>1063</v>
      </c>
    </row>
    <row r="664" spans="1:10" x14ac:dyDescent="0.35">
      <c r="J664" s="36" t="s">
        <v>1064</v>
      </c>
    </row>
    <row r="665" spans="1:10" x14ac:dyDescent="0.35">
      <c r="A665" s="33" t="s">
        <v>1066</v>
      </c>
      <c r="B665" t="s">
        <v>3</v>
      </c>
      <c r="C665" t="s">
        <v>43</v>
      </c>
      <c r="D665" t="s">
        <v>1065</v>
      </c>
      <c r="E665" s="34" t="s">
        <v>89</v>
      </c>
      <c r="F665" t="s">
        <v>890</v>
      </c>
      <c r="G665" t="s">
        <v>891</v>
      </c>
      <c r="H665" t="s">
        <v>91</v>
      </c>
      <c r="I665" s="1" t="s">
        <v>902</v>
      </c>
      <c r="J665" s="3" t="s">
        <v>902</v>
      </c>
    </row>
    <row r="666" spans="1:10" x14ac:dyDescent="0.35">
      <c r="E666" s="17"/>
      <c r="I666" t="s">
        <v>841</v>
      </c>
      <c r="J666" t="s">
        <v>1067</v>
      </c>
    </row>
    <row r="667" spans="1:10" x14ac:dyDescent="0.35">
      <c r="I667" t="s">
        <v>841</v>
      </c>
      <c r="J667" t="s">
        <v>1068</v>
      </c>
    </row>
    <row r="668" spans="1:10" x14ac:dyDescent="0.35">
      <c r="J668" t="s">
        <v>1069</v>
      </c>
    </row>
    <row r="669" spans="1:10" x14ac:dyDescent="0.35">
      <c r="J669" t="s">
        <v>1070</v>
      </c>
    </row>
    <row r="670" spans="1:10" x14ac:dyDescent="0.35">
      <c r="J670" t="s">
        <v>1071</v>
      </c>
    </row>
    <row r="671" spans="1:10" x14ac:dyDescent="0.35">
      <c r="J671" t="s">
        <v>1072</v>
      </c>
    </row>
    <row r="672" spans="1:10" x14ac:dyDescent="0.35">
      <c r="J672" t="s">
        <v>1073</v>
      </c>
    </row>
    <row r="673" spans="1:13" x14ac:dyDescent="0.35">
      <c r="I673" s="38" t="s">
        <v>18</v>
      </c>
      <c r="J673" t="s">
        <v>1074</v>
      </c>
    </row>
    <row r="674" spans="1:13" x14ac:dyDescent="0.35">
      <c r="J674" s="36" t="s">
        <v>1075</v>
      </c>
    </row>
    <row r="675" spans="1:13" x14ac:dyDescent="0.35">
      <c r="A675" s="33" t="s">
        <v>1076</v>
      </c>
      <c r="B675" t="s">
        <v>3</v>
      </c>
      <c r="C675" t="s">
        <v>43</v>
      </c>
      <c r="D675" t="s">
        <v>1065</v>
      </c>
      <c r="E675" s="34" t="s">
        <v>89</v>
      </c>
      <c r="F675" t="s">
        <v>890</v>
      </c>
      <c r="G675" t="s">
        <v>891</v>
      </c>
      <c r="H675" t="s">
        <v>91</v>
      </c>
      <c r="I675" s="1" t="s">
        <v>902</v>
      </c>
      <c r="J675" s="3" t="s">
        <v>892</v>
      </c>
    </row>
    <row r="676" spans="1:13" x14ac:dyDescent="0.35">
      <c r="E676" s="17"/>
      <c r="I676" t="s">
        <v>841</v>
      </c>
      <c r="J676" t="s">
        <v>893</v>
      </c>
    </row>
    <row r="677" spans="1:13" x14ac:dyDescent="0.35">
      <c r="I677" t="s">
        <v>841</v>
      </c>
      <c r="J677" t="s">
        <v>1077</v>
      </c>
    </row>
    <row r="678" spans="1:13" x14ac:dyDescent="0.35">
      <c r="J678" t="s">
        <v>1078</v>
      </c>
    </row>
    <row r="679" spans="1:13" x14ac:dyDescent="0.35">
      <c r="J679" t="s">
        <v>1079</v>
      </c>
    </row>
    <row r="680" spans="1:13" x14ac:dyDescent="0.35">
      <c r="J680" t="s">
        <v>355</v>
      </c>
    </row>
    <row r="681" spans="1:13" x14ac:dyDescent="0.35">
      <c r="J681" t="s">
        <v>1080</v>
      </c>
    </row>
    <row r="682" spans="1:13" x14ac:dyDescent="0.35">
      <c r="J682" t="s">
        <v>1081</v>
      </c>
    </row>
    <row r="683" spans="1:13" x14ac:dyDescent="0.35">
      <c r="I683" s="38" t="s">
        <v>18</v>
      </c>
      <c r="J683" t="s">
        <v>1082</v>
      </c>
    </row>
    <row r="684" spans="1:13" x14ac:dyDescent="0.35">
      <c r="J684" s="36" t="s">
        <v>1076</v>
      </c>
    </row>
    <row r="685" spans="1:13" x14ac:dyDescent="0.35">
      <c r="A685" s="33" t="s">
        <v>1083</v>
      </c>
      <c r="B685" t="s">
        <v>3</v>
      </c>
      <c r="C685" t="s">
        <v>43</v>
      </c>
      <c r="D685" t="s">
        <v>1065</v>
      </c>
      <c r="E685" s="34" t="s">
        <v>89</v>
      </c>
      <c r="F685" t="s">
        <v>890</v>
      </c>
      <c r="G685" t="s">
        <v>891</v>
      </c>
      <c r="H685" t="s">
        <v>91</v>
      </c>
      <c r="I685" s="1" t="s">
        <v>902</v>
      </c>
      <c r="J685" s="3" t="s">
        <v>902</v>
      </c>
      <c r="K685" s="3" t="s">
        <v>902</v>
      </c>
      <c r="L685" s="3" t="s">
        <v>1092</v>
      </c>
      <c r="M685" s="3" t="s">
        <v>902</v>
      </c>
    </row>
    <row r="686" spans="1:13" x14ac:dyDescent="0.35">
      <c r="E686" s="17"/>
      <c r="I686" t="s">
        <v>841</v>
      </c>
      <c r="J686" t="s">
        <v>902</v>
      </c>
      <c r="K686" t="s">
        <v>902</v>
      </c>
      <c r="L686" t="s">
        <v>1092</v>
      </c>
      <c r="M686" t="s">
        <v>902</v>
      </c>
    </row>
    <row r="687" spans="1:13" x14ac:dyDescent="0.35">
      <c r="I687" t="s">
        <v>841</v>
      </c>
      <c r="J687" t="s">
        <v>959</v>
      </c>
      <c r="K687" t="s">
        <v>902</v>
      </c>
      <c r="L687" s="14" t="s">
        <v>1094</v>
      </c>
      <c r="M687" t="s">
        <v>1093</v>
      </c>
    </row>
    <row r="688" spans="1:13" x14ac:dyDescent="0.35">
      <c r="J688" t="s">
        <v>1050</v>
      </c>
      <c r="K688" t="s">
        <v>1088</v>
      </c>
      <c r="L688" t="s">
        <v>1090</v>
      </c>
      <c r="M688" s="14" t="s">
        <v>1094</v>
      </c>
    </row>
    <row r="689" spans="1:12" x14ac:dyDescent="0.35">
      <c r="J689" t="s">
        <v>905</v>
      </c>
      <c r="K689" t="s">
        <v>1089</v>
      </c>
      <c r="L689" s="13" t="s">
        <v>1090</v>
      </c>
    </row>
    <row r="690" spans="1:12" x14ac:dyDescent="0.35">
      <c r="J690" t="s">
        <v>1084</v>
      </c>
      <c r="K690" s="13" t="s">
        <v>1090</v>
      </c>
    </row>
    <row r="691" spans="1:12" x14ac:dyDescent="0.35">
      <c r="J691" s="12" t="s">
        <v>1085</v>
      </c>
      <c r="K691" t="s">
        <v>1091</v>
      </c>
    </row>
    <row r="692" spans="1:12" x14ac:dyDescent="0.35">
      <c r="J692" t="s">
        <v>1086</v>
      </c>
      <c r="K692" s="12" t="s">
        <v>1085</v>
      </c>
    </row>
    <row r="693" spans="1:12" x14ac:dyDescent="0.35">
      <c r="I693" s="38" t="s">
        <v>18</v>
      </c>
      <c r="J693" t="s">
        <v>1086</v>
      </c>
    </row>
    <row r="694" spans="1:12" x14ac:dyDescent="0.35">
      <c r="J694" s="36" t="s">
        <v>1087</v>
      </c>
    </row>
    <row r="695" spans="1:12" x14ac:dyDescent="0.35">
      <c r="A695" s="33" t="s">
        <v>1160</v>
      </c>
      <c r="B695" t="s">
        <v>3</v>
      </c>
      <c r="C695" t="s">
        <v>43</v>
      </c>
      <c r="D695" t="s">
        <v>1065</v>
      </c>
      <c r="E695" s="34" t="s">
        <v>89</v>
      </c>
      <c r="F695" t="s">
        <v>890</v>
      </c>
      <c r="G695" t="s">
        <v>891</v>
      </c>
      <c r="H695" t="s">
        <v>91</v>
      </c>
      <c r="I695" s="1" t="s">
        <v>902</v>
      </c>
      <c r="J695" s="3" t="s">
        <v>892</v>
      </c>
    </row>
    <row r="696" spans="1:12" x14ac:dyDescent="0.35">
      <c r="E696" s="17"/>
      <c r="I696" t="s">
        <v>841</v>
      </c>
      <c r="J696" t="s">
        <v>1161</v>
      </c>
    </row>
    <row r="697" spans="1:12" x14ac:dyDescent="0.35">
      <c r="I697" t="s">
        <v>841</v>
      </c>
      <c r="J697" t="s">
        <v>1162</v>
      </c>
    </row>
    <row r="698" spans="1:12" x14ac:dyDescent="0.35">
      <c r="J698" t="s">
        <v>1162</v>
      </c>
    </row>
    <row r="699" spans="1:12" x14ac:dyDescent="0.35">
      <c r="J699" t="s">
        <v>1163</v>
      </c>
    </row>
    <row r="700" spans="1:12" x14ac:dyDescent="0.35">
      <c r="J700" t="s">
        <v>1164</v>
      </c>
    </row>
    <row r="701" spans="1:12" x14ac:dyDescent="0.35">
      <c r="J701" t="s">
        <v>1165</v>
      </c>
    </row>
    <row r="702" spans="1:12" x14ac:dyDescent="0.35">
      <c r="J702" t="s">
        <v>1166</v>
      </c>
    </row>
    <row r="703" spans="1:12" x14ac:dyDescent="0.35">
      <c r="I703" s="38" t="s">
        <v>18</v>
      </c>
      <c r="J703" t="s">
        <v>1167</v>
      </c>
    </row>
    <row r="704" spans="1:12" x14ac:dyDescent="0.35">
      <c r="J704" s="36" t="s">
        <v>1168</v>
      </c>
    </row>
    <row r="705" spans="1:10" x14ac:dyDescent="0.35">
      <c r="A705" s="33" t="s">
        <v>1623</v>
      </c>
      <c r="B705" t="s">
        <v>3</v>
      </c>
      <c r="C705" t="s">
        <v>43</v>
      </c>
      <c r="D705" t="s">
        <v>1178</v>
      </c>
      <c r="E705" s="34" t="s">
        <v>89</v>
      </c>
      <c r="F705" t="s">
        <v>841</v>
      </c>
      <c r="G705" t="s">
        <v>842</v>
      </c>
      <c r="H705" t="s">
        <v>130</v>
      </c>
      <c r="J705" s="3" t="s">
        <v>843</v>
      </c>
    </row>
    <row r="706" spans="1:10" x14ac:dyDescent="0.35">
      <c r="E706" s="17"/>
      <c r="J706" t="s">
        <v>843</v>
      </c>
    </row>
    <row r="707" spans="1:10" x14ac:dyDescent="0.35">
      <c r="J707" t="s">
        <v>1593</v>
      </c>
    </row>
    <row r="708" spans="1:10" x14ac:dyDescent="0.35">
      <c r="J708" t="s">
        <v>1624</v>
      </c>
    </row>
    <row r="709" spans="1:10" x14ac:dyDescent="0.35">
      <c r="J709" t="s">
        <v>1625</v>
      </c>
    </row>
    <row r="710" spans="1:10" x14ac:dyDescent="0.35">
      <c r="J710" t="s">
        <v>1626</v>
      </c>
    </row>
    <row r="711" spans="1:10" x14ac:dyDescent="0.35">
      <c r="I711" s="38" t="s">
        <v>18</v>
      </c>
      <c r="J711" s="36" t="s">
        <v>1627</v>
      </c>
    </row>
    <row r="712" spans="1:10" x14ac:dyDescent="0.35">
      <c r="A712" s="33" t="s">
        <v>1634</v>
      </c>
      <c r="B712" t="s">
        <v>3</v>
      </c>
      <c r="C712" t="s">
        <v>43</v>
      </c>
      <c r="D712" t="s">
        <v>1178</v>
      </c>
      <c r="E712" s="34" t="s">
        <v>89</v>
      </c>
      <c r="F712" t="s">
        <v>841</v>
      </c>
      <c r="G712" t="s">
        <v>842</v>
      </c>
      <c r="H712" t="s">
        <v>130</v>
      </c>
      <c r="J712" s="3" t="s">
        <v>843</v>
      </c>
    </row>
    <row r="713" spans="1:10" x14ac:dyDescent="0.35">
      <c r="E713" s="17"/>
      <c r="J713" t="s">
        <v>881</v>
      </c>
    </row>
    <row r="714" spans="1:10" x14ac:dyDescent="0.35">
      <c r="J714" t="s">
        <v>858</v>
      </c>
    </row>
    <row r="715" spans="1:10" x14ac:dyDescent="0.35">
      <c r="J715" t="s">
        <v>1635</v>
      </c>
    </row>
    <row r="716" spans="1:10" x14ac:dyDescent="0.35">
      <c r="J716" t="s">
        <v>1636</v>
      </c>
    </row>
    <row r="717" spans="1:10" x14ac:dyDescent="0.35">
      <c r="J717" t="s">
        <v>1637</v>
      </c>
    </row>
    <row r="718" spans="1:10" x14ac:dyDescent="0.35">
      <c r="I718" s="38" t="s">
        <v>18</v>
      </c>
      <c r="J718" t="s">
        <v>1638</v>
      </c>
    </row>
    <row r="719" spans="1:10" x14ac:dyDescent="0.35">
      <c r="J719" s="36" t="s">
        <v>1639</v>
      </c>
    </row>
    <row r="720" spans="1:10" x14ac:dyDescent="0.35">
      <c r="A720" s="33" t="s">
        <v>1169</v>
      </c>
      <c r="B720" t="s">
        <v>3</v>
      </c>
      <c r="C720" t="s">
        <v>43</v>
      </c>
      <c r="D720" t="s">
        <v>1178</v>
      </c>
      <c r="E720" s="34" t="s">
        <v>44</v>
      </c>
      <c r="F720" t="s">
        <v>841</v>
      </c>
      <c r="G720" t="s">
        <v>842</v>
      </c>
      <c r="H720" t="s">
        <v>130</v>
      </c>
      <c r="J720" s="3" t="s">
        <v>1170</v>
      </c>
    </row>
    <row r="721" spans="1:13" x14ac:dyDescent="0.35">
      <c r="E721" s="17"/>
      <c r="J721" t="s">
        <v>1171</v>
      </c>
    </row>
    <row r="722" spans="1:13" x14ac:dyDescent="0.35">
      <c r="J722" t="s">
        <v>1172</v>
      </c>
    </row>
    <row r="723" spans="1:13" x14ac:dyDescent="0.35">
      <c r="J723" t="s">
        <v>1173</v>
      </c>
    </row>
    <row r="724" spans="1:13" x14ac:dyDescent="0.35">
      <c r="J724" t="s">
        <v>1174</v>
      </c>
    </row>
    <row r="725" spans="1:13" x14ac:dyDescent="0.35">
      <c r="J725" t="s">
        <v>1175</v>
      </c>
    </row>
    <row r="726" spans="1:13" x14ac:dyDescent="0.35">
      <c r="I726" s="38" t="s">
        <v>18</v>
      </c>
      <c r="J726" t="s">
        <v>1176</v>
      </c>
    </row>
    <row r="727" spans="1:13" x14ac:dyDescent="0.35">
      <c r="J727" t="s">
        <v>1177</v>
      </c>
    </row>
    <row r="728" spans="1:13" x14ac:dyDescent="0.35">
      <c r="J728" s="36" t="s">
        <v>1169</v>
      </c>
    </row>
    <row r="729" spans="1:13" x14ac:dyDescent="0.35">
      <c r="A729" s="33" t="s">
        <v>4149</v>
      </c>
      <c r="B729" t="s">
        <v>3</v>
      </c>
      <c r="C729" t="s">
        <v>43</v>
      </c>
      <c r="D729" t="s">
        <v>1065</v>
      </c>
      <c r="E729" s="34" t="s">
        <v>44</v>
      </c>
      <c r="F729" t="s">
        <v>890</v>
      </c>
      <c r="G729" t="s">
        <v>891</v>
      </c>
      <c r="H729" t="s">
        <v>91</v>
      </c>
      <c r="I729" s="1" t="s">
        <v>902</v>
      </c>
      <c r="J729" s="3" t="s">
        <v>902</v>
      </c>
      <c r="K729" s="3" t="s">
        <v>902</v>
      </c>
      <c r="L729" s="3" t="s">
        <v>1092</v>
      </c>
      <c r="M729" s="3" t="s">
        <v>902</v>
      </c>
    </row>
    <row r="730" spans="1:13" x14ac:dyDescent="0.35">
      <c r="E730" s="17"/>
      <c r="I730" t="s">
        <v>841</v>
      </c>
      <c r="J730" t="s">
        <v>902</v>
      </c>
      <c r="K730" t="s">
        <v>902</v>
      </c>
      <c r="L730" t="s">
        <v>1092</v>
      </c>
      <c r="M730" t="s">
        <v>902</v>
      </c>
    </row>
    <row r="731" spans="1:13" x14ac:dyDescent="0.35">
      <c r="I731" t="s">
        <v>841</v>
      </c>
      <c r="J731" t="s">
        <v>959</v>
      </c>
      <c r="K731" t="s">
        <v>902</v>
      </c>
      <c r="L731" s="14" t="s">
        <v>1094</v>
      </c>
      <c r="M731" t="s">
        <v>1093</v>
      </c>
    </row>
    <row r="732" spans="1:13" x14ac:dyDescent="0.35">
      <c r="J732" t="s">
        <v>1050</v>
      </c>
      <c r="K732" t="s">
        <v>1088</v>
      </c>
      <c r="L732" t="s">
        <v>1090</v>
      </c>
      <c r="M732" s="14" t="s">
        <v>1094</v>
      </c>
    </row>
    <row r="733" spans="1:13" x14ac:dyDescent="0.35">
      <c r="J733" t="s">
        <v>905</v>
      </c>
      <c r="K733" t="s">
        <v>1089</v>
      </c>
      <c r="L733" s="13" t="s">
        <v>1090</v>
      </c>
    </row>
    <row r="734" spans="1:13" x14ac:dyDescent="0.35">
      <c r="J734" t="s">
        <v>1084</v>
      </c>
      <c r="K734" s="13" t="s">
        <v>1090</v>
      </c>
    </row>
    <row r="735" spans="1:13" x14ac:dyDescent="0.35">
      <c r="J735" s="12" t="s">
        <v>1085</v>
      </c>
      <c r="K735" t="s">
        <v>1091</v>
      </c>
    </row>
    <row r="736" spans="1:13" x14ac:dyDescent="0.35">
      <c r="J736" t="s">
        <v>1086</v>
      </c>
      <c r="K736" s="12" t="s">
        <v>1085</v>
      </c>
    </row>
    <row r="737" spans="1:10" x14ac:dyDescent="0.35">
      <c r="I737" s="38" t="s">
        <v>18</v>
      </c>
      <c r="J737" t="s">
        <v>1086</v>
      </c>
    </row>
    <row r="738" spans="1:10" x14ac:dyDescent="0.35">
      <c r="J738" t="s">
        <v>4150</v>
      </c>
    </row>
    <row r="739" spans="1:10" x14ac:dyDescent="0.35">
      <c r="J739" s="36" t="s">
        <v>4151</v>
      </c>
    </row>
    <row r="740" spans="1:10" x14ac:dyDescent="0.35">
      <c r="A740" s="33" t="s">
        <v>1179</v>
      </c>
      <c r="B740" t="s">
        <v>3</v>
      </c>
      <c r="C740" t="s">
        <v>43</v>
      </c>
      <c r="D740" t="s">
        <v>1186</v>
      </c>
      <c r="E740" s="34" t="s">
        <v>44</v>
      </c>
      <c r="F740" t="s">
        <v>902</v>
      </c>
      <c r="G740" t="s">
        <v>1152</v>
      </c>
      <c r="H740" t="s">
        <v>413</v>
      </c>
      <c r="I740" s="1" t="s">
        <v>841</v>
      </c>
      <c r="J740" s="3" t="s">
        <v>902</v>
      </c>
    </row>
    <row r="741" spans="1:10" x14ac:dyDescent="0.35">
      <c r="E741" s="17"/>
      <c r="I741" t="s">
        <v>841</v>
      </c>
      <c r="J741" t="s">
        <v>902</v>
      </c>
    </row>
    <row r="742" spans="1:10" x14ac:dyDescent="0.35">
      <c r="J742" t="s">
        <v>1088</v>
      </c>
    </row>
    <row r="743" spans="1:10" x14ac:dyDescent="0.35">
      <c r="J743" t="s">
        <v>1038</v>
      </c>
    </row>
    <row r="744" spans="1:10" x14ac:dyDescent="0.35">
      <c r="J744" t="s">
        <v>1180</v>
      </c>
    </row>
    <row r="745" spans="1:10" x14ac:dyDescent="0.35">
      <c r="J745" t="s">
        <v>1181</v>
      </c>
    </row>
    <row r="746" spans="1:10" x14ac:dyDescent="0.35">
      <c r="J746" t="s">
        <v>1182</v>
      </c>
    </row>
    <row r="747" spans="1:10" x14ac:dyDescent="0.35">
      <c r="J747" t="s">
        <v>1183</v>
      </c>
    </row>
    <row r="748" spans="1:10" x14ac:dyDescent="0.35">
      <c r="I748" s="38" t="s">
        <v>18</v>
      </c>
      <c r="J748" t="s">
        <v>1184</v>
      </c>
    </row>
    <row r="749" spans="1:10" x14ac:dyDescent="0.35">
      <c r="J749" t="s">
        <v>1185</v>
      </c>
    </row>
    <row r="750" spans="1:10" x14ac:dyDescent="0.35">
      <c r="J750" s="36" t="s">
        <v>1179</v>
      </c>
    </row>
    <row r="751" spans="1:10" x14ac:dyDescent="0.35">
      <c r="A751" s="33" t="s">
        <v>1187</v>
      </c>
      <c r="B751" t="s">
        <v>3</v>
      </c>
      <c r="C751" t="s">
        <v>43</v>
      </c>
      <c r="D751" t="s">
        <v>951</v>
      </c>
      <c r="E751" s="34" t="s">
        <v>44</v>
      </c>
      <c r="F751" t="s">
        <v>902</v>
      </c>
      <c r="G751" t="s">
        <v>1152</v>
      </c>
      <c r="H751" t="s">
        <v>413</v>
      </c>
      <c r="I751" s="1" t="s">
        <v>841</v>
      </c>
      <c r="J751" s="3" t="s">
        <v>1188</v>
      </c>
    </row>
    <row r="752" spans="1:10" x14ac:dyDescent="0.35">
      <c r="E752" s="17"/>
      <c r="I752" t="s">
        <v>841</v>
      </c>
      <c r="J752" t="s">
        <v>1189</v>
      </c>
    </row>
    <row r="753" spans="1:10" x14ac:dyDescent="0.35">
      <c r="J753" t="s">
        <v>1190</v>
      </c>
    </row>
    <row r="754" spans="1:10" x14ac:dyDescent="0.35">
      <c r="J754" t="s">
        <v>1191</v>
      </c>
    </row>
    <row r="755" spans="1:10" x14ac:dyDescent="0.35">
      <c r="J755" t="s">
        <v>1192</v>
      </c>
    </row>
    <row r="756" spans="1:10" x14ac:dyDescent="0.35">
      <c r="J756" t="s">
        <v>1193</v>
      </c>
    </row>
    <row r="757" spans="1:10" x14ac:dyDescent="0.35">
      <c r="J757" t="s">
        <v>1194</v>
      </c>
    </row>
    <row r="758" spans="1:10" x14ac:dyDescent="0.35">
      <c r="J758" t="s">
        <v>1195</v>
      </c>
    </row>
    <row r="759" spans="1:10" x14ac:dyDescent="0.35">
      <c r="I759" s="38" t="s">
        <v>18</v>
      </c>
      <c r="J759" t="s">
        <v>1196</v>
      </c>
    </row>
    <row r="760" spans="1:10" x14ac:dyDescent="0.35">
      <c r="J760" s="36" t="s">
        <v>1187</v>
      </c>
    </row>
    <row r="761" spans="1:10" x14ac:dyDescent="0.35">
      <c r="A761" s="33" t="s">
        <v>1197</v>
      </c>
      <c r="B761" t="s">
        <v>3</v>
      </c>
      <c r="C761" t="s">
        <v>43</v>
      </c>
      <c r="D761" t="s">
        <v>429</v>
      </c>
      <c r="E761" s="34" t="s">
        <v>44</v>
      </c>
      <c r="F761" t="s">
        <v>902</v>
      </c>
      <c r="G761" t="s">
        <v>1152</v>
      </c>
      <c r="H761" t="s">
        <v>413</v>
      </c>
      <c r="I761" s="1" t="s">
        <v>841</v>
      </c>
      <c r="J761" s="3" t="s">
        <v>1188</v>
      </c>
    </row>
    <row r="762" spans="1:10" x14ac:dyDescent="0.35">
      <c r="E762" s="17"/>
      <c r="I762" t="s">
        <v>841</v>
      </c>
      <c r="J762" t="s">
        <v>1198</v>
      </c>
    </row>
    <row r="763" spans="1:10" x14ac:dyDescent="0.35">
      <c r="J763" t="s">
        <v>1199</v>
      </c>
    </row>
    <row r="764" spans="1:10" x14ac:dyDescent="0.35">
      <c r="J764" t="s">
        <v>1200</v>
      </c>
    </row>
    <row r="765" spans="1:10" x14ac:dyDescent="0.35">
      <c r="J765" t="s">
        <v>1201</v>
      </c>
    </row>
    <row r="766" spans="1:10" x14ac:dyDescent="0.35">
      <c r="J766" t="s">
        <v>1202</v>
      </c>
    </row>
    <row r="767" spans="1:10" x14ac:dyDescent="0.35">
      <c r="J767" t="s">
        <v>1203</v>
      </c>
    </row>
    <row r="768" spans="1:10" x14ac:dyDescent="0.35">
      <c r="J768" s="36" t="s">
        <v>1204</v>
      </c>
    </row>
    <row r="769" spans="9:9" x14ac:dyDescent="0.35">
      <c r="I769" s="38" t="s">
        <v>18</v>
      </c>
    </row>
  </sheetData>
  <autoFilter ref="J1:J769" xr:uid="{00000000-0001-0000-0A00-000000000000}"/>
  <hyperlinks>
    <hyperlink ref="A1" location="Summary!B46" tooltip="Return to Totals" display="Back to Totals" xr:uid="{1FF33801-8D1C-4AAF-8E04-A9F325A3E045}"/>
    <hyperlink ref="I10" r:id="rId1" xr:uid="{951677DA-E472-44FF-8DB6-7719F28D0964}"/>
    <hyperlink ref="I23" r:id="rId2" xr:uid="{8B84D4EC-38BF-4470-AB57-26144C829617}"/>
    <hyperlink ref="I39" r:id="rId3" xr:uid="{E6053218-A9D5-4DA1-A62B-D4F3FA9F0842}"/>
    <hyperlink ref="I54" r:id="rId4" xr:uid="{42CBB3B9-C5B5-4D95-A8B1-E119547263B1}"/>
    <hyperlink ref="I62" r:id="rId5" xr:uid="{39E89021-A785-471E-A391-D98401610220}"/>
    <hyperlink ref="I70" r:id="rId6" xr:uid="{558CA71B-9597-4D32-A030-DF7D541A6434}"/>
    <hyperlink ref="I78" r:id="rId7" xr:uid="{7593E346-B506-42AC-8CC6-4A4FA67C5447}"/>
    <hyperlink ref="I85" r:id="rId8" xr:uid="{6A52C05E-2D6D-4DC5-A9F7-B38ECDA39A93}"/>
    <hyperlink ref="I92" r:id="rId9" xr:uid="{28E74A61-51E0-4B4C-A7CE-28F8A9B96772}"/>
    <hyperlink ref="I133" r:id="rId10" xr:uid="{8BB5EC98-BCB8-4688-8030-551E01DC10F5}"/>
    <hyperlink ref="I147" r:id="rId11" xr:uid="{AD073EEA-BF55-4F54-9A02-59FF7DD0E8A4}"/>
    <hyperlink ref="I154" r:id="rId12" xr:uid="{A4A0B63B-BDD0-411F-B0A9-A2DB86E28DBA}"/>
    <hyperlink ref="I165" r:id="rId13" xr:uid="{A4282E20-3DC5-4814-8464-3C6A08FA473E}"/>
    <hyperlink ref="I180" r:id="rId14" xr:uid="{7637FB01-768C-43E5-9DA3-028D524E2C14}"/>
    <hyperlink ref="I188" r:id="rId15" xr:uid="{D4BEC7C6-FDE4-4CE4-9CEB-79029332A149}"/>
    <hyperlink ref="I196" r:id="rId16" xr:uid="{06B211EE-5A6A-4618-8BCD-4DD30D0363B7}"/>
    <hyperlink ref="I236" r:id="rId17" xr:uid="{A0E7DD95-33E2-4A85-A543-F052B77B6D33}"/>
    <hyperlink ref="I244" r:id="rId18" xr:uid="{FDA341C8-54CD-408E-B604-5155BF9A5B48}"/>
    <hyperlink ref="I251" r:id="rId19" xr:uid="{6FA339CD-15A1-49DC-B252-86C1B89ADED1}"/>
    <hyperlink ref="I265" r:id="rId20" xr:uid="{FF8F9BF4-6070-431D-9FE7-D321D1A4FADE}"/>
    <hyperlink ref="I272" r:id="rId21" xr:uid="{FB63EC92-15A0-400B-8D52-CF6EB6CDF685}"/>
    <hyperlink ref="I280" r:id="rId22" xr:uid="{2E8571DE-502E-4EE3-8992-3F2721BEF9E1}"/>
    <hyperlink ref="I288" r:id="rId23" xr:uid="{20EC56EA-F46D-4FF6-B2C7-B7B44D5E7B2C}"/>
    <hyperlink ref="I304" r:id="rId24" xr:uid="{96DB478D-84D3-41BF-8732-113C53A9EC80}"/>
    <hyperlink ref="I330" r:id="rId25" xr:uid="{9482797A-E031-41FD-A6D4-226581B65FB5}"/>
    <hyperlink ref="I338" r:id="rId26" xr:uid="{32468EC9-05E8-41B5-A18A-19A1FE612764}"/>
    <hyperlink ref="I346" r:id="rId27" xr:uid="{288D818A-4D57-487B-9F3E-1B5E98370702}"/>
    <hyperlink ref="I356" r:id="rId28" xr:uid="{B1137F71-E813-4B82-A79D-128BBDCAC5CF}"/>
    <hyperlink ref="I372" r:id="rId29" xr:uid="{AA13DA58-ABA2-46FA-95FA-F7732AD2C72F}"/>
    <hyperlink ref="I399" r:id="rId30" xr:uid="{0F452A93-4ECD-4173-8FB4-1FFB107BF65C}"/>
    <hyperlink ref="I421" r:id="rId31" xr:uid="{226E0E3D-7139-47E8-91D3-DA5871637ADC}"/>
    <hyperlink ref="I429" r:id="rId32" xr:uid="{BE23A96B-E7C0-4B9E-827C-46C1C7EDCB6C}"/>
    <hyperlink ref="I447" r:id="rId33" xr:uid="{15C3364D-05E8-4731-B586-5072F2F4F0C7}"/>
    <hyperlink ref="I455" r:id="rId34" xr:uid="{43E80870-CF63-4D10-968A-C5DC8D974F76}"/>
    <hyperlink ref="I479" r:id="rId35" xr:uid="{79A02004-802B-4B79-ABC6-9DB142770408}"/>
    <hyperlink ref="I487" r:id="rId36" xr:uid="{9D0B385B-5DE8-4696-99AC-967E81169F7A}"/>
    <hyperlink ref="I495" r:id="rId37" xr:uid="{C577652D-21B3-461F-B489-F07F29819E18}"/>
    <hyperlink ref="I520" r:id="rId38" xr:uid="{9ED171E6-D6F8-46B9-9B68-E074F89B38F3}"/>
    <hyperlink ref="I529" r:id="rId39" xr:uid="{9584E718-30B8-416D-93C6-AF0D8A48EBDF}"/>
    <hyperlink ref="I537" r:id="rId40" xr:uid="{97113B07-E911-40C5-ADAF-33403608A011}"/>
    <hyperlink ref="I545" r:id="rId41" xr:uid="{A0C76807-425A-4EE7-9A9F-C12948F88843}"/>
    <hyperlink ref="I552" r:id="rId42" xr:uid="{B7DD8C3C-850B-4348-B176-5318F9C239C1}"/>
    <hyperlink ref="I562" r:id="rId43" xr:uid="{BBDD0153-4DF0-468E-A61F-49A17936C3F3}"/>
    <hyperlink ref="I580" r:id="rId44" xr:uid="{0E8CA3D6-687F-4CD5-8909-FA2337DFDA66}"/>
    <hyperlink ref="I587" r:id="rId45" xr:uid="{33ECF946-7C12-421E-897A-3FB5709F2FCE}"/>
    <hyperlink ref="I606" r:id="rId46" xr:uid="{4B1C924E-AE09-439E-9B7E-24F961A17293}"/>
    <hyperlink ref="I614" r:id="rId47" xr:uid="{0A730115-A7A9-49E8-B490-7145887F0743}"/>
    <hyperlink ref="I623" r:id="rId48" xr:uid="{315ADF9B-A784-438A-BBA4-F78830ED38EB}"/>
    <hyperlink ref="I630" r:id="rId49" xr:uid="{7EC17710-1370-4DB4-A1B7-510D98985A6E}"/>
    <hyperlink ref="I640" r:id="rId50" xr:uid="{6E745392-8878-4A09-ACDE-6159924253B7}"/>
    <hyperlink ref="I652" r:id="rId51" xr:uid="{DE218995-954A-4B5E-87C9-99D61B835747}"/>
    <hyperlink ref="I663" r:id="rId52" xr:uid="{3E882CA7-7689-4C8F-BE49-60D82E7FBCC7}"/>
    <hyperlink ref="I673" r:id="rId53" xr:uid="{60D53B61-2BE1-4A64-9DC6-1582896BE7BA}"/>
    <hyperlink ref="I683" r:id="rId54" xr:uid="{ED222D95-8004-43AA-8E40-643CF8B20084}"/>
    <hyperlink ref="I693" r:id="rId55" xr:uid="{4387DF5A-A2DF-437C-ADFE-3F4E1E03D852}"/>
    <hyperlink ref="I703" r:id="rId56" xr:uid="{E9243AF6-1848-4B79-BA0C-B0A289210A54}"/>
    <hyperlink ref="I711" r:id="rId57" xr:uid="{4B2A8700-BA70-4BA3-B357-9914CC5A167F}"/>
    <hyperlink ref="I718" r:id="rId58" xr:uid="{511A54E0-C3DF-408E-A27F-0E7786F8E7AB}"/>
    <hyperlink ref="I726" r:id="rId59" xr:uid="{490B400F-60E1-4E47-B328-9AC4F354335D}"/>
    <hyperlink ref="I748" r:id="rId60" xr:uid="{668F0B48-82BF-4E69-8F53-BB1B3A38D4B3}"/>
    <hyperlink ref="I759" r:id="rId61" xr:uid="{C90D1597-D054-448D-A266-6DFC0B18B859}"/>
    <hyperlink ref="I769" r:id="rId62" xr:uid="{4D6759C1-4119-4C5D-98BD-19BF1F6C97B9}"/>
    <hyperlink ref="I111" r:id="rId63" xr:uid="{74B4232C-49DB-4C60-853C-EA7EFD9D5DC7}"/>
    <hyperlink ref="I118" r:id="rId64" xr:uid="{EE8F89C7-4793-4BA9-AF20-7D864B41B019}"/>
    <hyperlink ref="I140" r:id="rId65" xr:uid="{A7FCE1CA-A4F9-47D1-BBAC-47C07CFA6E61}"/>
    <hyperlink ref="I295" r:id="rId66" xr:uid="{34BDDE8B-B78C-4DC0-9E2A-746BD37E0D7C}"/>
    <hyperlink ref="I313" r:id="rId67" xr:uid="{540ED76E-E0ED-41B9-86C1-521C878E4D3A}"/>
    <hyperlink ref="I365" r:id="rId68" xr:uid="{56696600-2EA4-4E9B-93C6-02A3BEF9F4CA}"/>
    <hyperlink ref="I439" r:id="rId69" xr:uid="{B00E2CE3-8BEB-4044-BD8A-4CFFCEAFC9F4}"/>
    <hyperlink ref="F3" r:id="rId70" xr:uid="{C902D944-19F8-48D4-9253-AD3D4CAA9AFE}"/>
    <hyperlink ref="F17" r:id="rId71" xr:uid="{6EAB70E9-226E-425A-B3E0-F5FE668DA71D}"/>
    <hyperlink ref="F33" r:id="rId72" xr:uid="{7F62743A-D05D-415B-B820-0F0FEFAC9AE7}"/>
    <hyperlink ref="F48" r:id="rId73" xr:uid="{73EB1BB4-6340-48E7-8846-05D4D2C894B0}"/>
    <hyperlink ref="F55" r:id="rId74" xr:uid="{1D50C643-F4F5-43F8-81E7-FF88B197E821}"/>
    <hyperlink ref="F63" r:id="rId75" xr:uid="{BE5A1F53-29DC-49A6-BC4D-46A001E9EBD0}"/>
    <hyperlink ref="F71" r:id="rId76" xr:uid="{222DBE45-BF5C-47A2-81F4-048A039FA5B7}"/>
    <hyperlink ref="F79" r:id="rId77" xr:uid="{76243961-4B1B-4189-84FC-009021A9CD17}"/>
    <hyperlink ref="F86" r:id="rId78" xr:uid="{0465326A-A736-441D-BAA3-2C771135378C}"/>
    <hyperlink ref="F112" r:id="rId79" xr:uid="{8407C5B3-C039-40A6-ACFB-4EA86F8AF7FE}"/>
    <hyperlink ref="F127" r:id="rId80" xr:uid="{F6D33471-69AC-476A-A657-E95B4F9E31F4}"/>
    <hyperlink ref="F148" r:id="rId81" xr:uid="{4445D9F4-1657-4110-AACB-BEB43C176969}"/>
    <hyperlink ref="F134" r:id="rId82" xr:uid="{BEF03E6D-E033-462B-9294-1E2E6F00037B}"/>
    <hyperlink ref="F141" r:id="rId83" xr:uid="{B7E2C782-397B-4887-B8D4-60892BC05407}"/>
    <hyperlink ref="F174" r:id="rId84" xr:uid="{DC54C5CF-3C82-4070-B0C1-5D86971495F2}"/>
    <hyperlink ref="F182" r:id="rId85" xr:uid="{C0E23A4A-827B-4FA7-B3DA-5EB911948947}"/>
    <hyperlink ref="F190" r:id="rId86" xr:uid="{53EB4C8F-4728-4A73-A663-92A88BF55DDF}"/>
    <hyperlink ref="F289" r:id="rId87" xr:uid="{9C255B87-C0E6-43B8-8770-4E4E05E21EE1}"/>
    <hyperlink ref="F306" r:id="rId88" xr:uid="{A3E5CB70-4F9B-45EF-9AC6-A90D26754B69}"/>
    <hyperlink ref="F230" r:id="rId89" xr:uid="{1DEE8525-9564-48BF-8147-4EE12A09AA35}"/>
    <hyperlink ref="F238" r:id="rId90" xr:uid="{6DF6CD58-8344-4BF7-9EC6-FAC5658C5D54}"/>
    <hyperlink ref="F245" r:id="rId91" xr:uid="{89B42460-93CC-4B7B-ADDA-0CD72307C4DC}"/>
    <hyperlink ref="F259" r:id="rId92" xr:uid="{EE541FF5-FB31-4F4A-9A7F-845CE68865DF}"/>
    <hyperlink ref="F266" r:id="rId93" xr:uid="{F4CF4C21-41C6-4B89-9AD2-96F26E5BC768}"/>
    <hyperlink ref="F274" r:id="rId94" xr:uid="{6EB3EF90-596C-41F4-BB66-D54EB80D1E03}"/>
    <hyperlink ref="F282" r:id="rId95" xr:uid="{3F02245B-AB2A-48B3-B1BA-64284F9C4FD0}"/>
    <hyperlink ref="F324" r:id="rId96" xr:uid="{4175F313-253C-4126-BD4D-66271E0FB34F}"/>
    <hyperlink ref="F340" r:id="rId97" xr:uid="{0BFD7BC0-4AA1-44C1-9B57-3BFAD3CE6F25}"/>
    <hyperlink ref="G340" r:id="rId98" xr:uid="{DE56CBDC-D15A-41FF-A8F4-7FE38DCF62B6}"/>
    <hyperlink ref="G324" r:id="rId99" xr:uid="{F4C449F8-B608-4CBD-A896-DD56561D67D8}"/>
    <hyperlink ref="G306" r:id="rId100" xr:uid="{ACBE1348-87C4-4BE3-A9BB-758970BC9A7E}"/>
    <hyperlink ref="G289" r:id="rId101" xr:uid="{69A0117E-7E12-4107-8794-7175844A48EA}"/>
    <hyperlink ref="G282" r:id="rId102" xr:uid="{2302209D-C5FB-4909-87BE-EA469E65C307}"/>
    <hyperlink ref="G274" r:id="rId103" xr:uid="{8D250DFE-936B-4E76-B7EE-619C78BB1EC6}"/>
    <hyperlink ref="G266" r:id="rId104" xr:uid="{A3027B4E-99C3-4399-98C3-62D6EC86D2A5}"/>
    <hyperlink ref="G259" r:id="rId105" xr:uid="{EA08B0E3-1C47-4010-BD21-02E8FFC1E9E3}"/>
    <hyperlink ref="G245" r:id="rId106" xr:uid="{BE55AA72-06A8-4EAF-A166-8382F11A3F1E}"/>
    <hyperlink ref="G238" r:id="rId107" xr:uid="{948F366E-36CF-4872-A36F-94358DB1805D}"/>
    <hyperlink ref="G230" r:id="rId108" xr:uid="{CD701C25-25F6-4283-90A8-3658C32AB853}"/>
    <hyperlink ref="G190" r:id="rId109" xr:uid="{FACD7538-D7C5-45F7-8BDD-CED916F74178}"/>
    <hyperlink ref="G182" r:id="rId110" xr:uid="{69360D9D-6758-492A-8DD9-F6291E5CE7C9}"/>
    <hyperlink ref="G174" r:id="rId111" xr:uid="{37AC1EFD-AC68-4BE0-8566-74EA16B9EE09}"/>
    <hyperlink ref="G148" r:id="rId112" xr:uid="{69E8DCED-1A75-4B0F-9A62-A0746EE69D9F}"/>
    <hyperlink ref="G141" r:id="rId113" xr:uid="{D9EEAF81-3C45-47FE-A3AB-5B14888F2A21}"/>
    <hyperlink ref="G134" r:id="rId114" xr:uid="{5C9DAA33-43FD-40B5-BEDB-6BCF02512302}"/>
    <hyperlink ref="G127" r:id="rId115" xr:uid="{3754E9B9-922E-47DD-A311-DAC2F2536ADC}"/>
    <hyperlink ref="G112" r:id="rId116" xr:uid="{0CDB2F85-B062-4684-B17E-03F26DB21A8C}"/>
    <hyperlink ref="G86" r:id="rId117" xr:uid="{07EA2AEF-A394-4619-9F7E-1419DB347595}"/>
    <hyperlink ref="G79" r:id="rId118" xr:uid="{0B992079-756B-4556-BE3D-58160C0B402C}"/>
    <hyperlink ref="G71" r:id="rId119" xr:uid="{B4ADB2BD-D942-4541-9FB6-197A1D40A780}"/>
    <hyperlink ref="G63" r:id="rId120" xr:uid="{008BA83A-D8A2-468C-92F8-D7D11F6792FE}"/>
    <hyperlink ref="G55" r:id="rId121" xr:uid="{B3A1EA3E-0DA2-4512-9181-2D66366DB03B}"/>
    <hyperlink ref="G48" r:id="rId122" xr:uid="{EBF87C9A-11BA-418C-ADB7-5445C2BF027E}"/>
    <hyperlink ref="G33" r:id="rId123" xr:uid="{AE49615E-E0F2-4E55-98EB-AFDD56E7D138}"/>
    <hyperlink ref="G17" r:id="rId124" xr:uid="{DBB61EF9-2167-4B86-92F9-B87186202060}"/>
    <hyperlink ref="G3" r:id="rId125" xr:uid="{A9A82BEC-9806-4174-B3C3-328AD0B3A41C}"/>
    <hyperlink ref="G102" r:id="rId126" xr:uid="{866656A0-3165-4521-AD76-2BB965F3199E}"/>
    <hyperlink ref="G156" r:id="rId127" xr:uid="{F39AD4CA-BA53-47F4-8549-716C53F598B1}"/>
    <hyperlink ref="G296" r:id="rId128" xr:uid="{D7ED1F33-7C1F-46AA-BE2E-27C77E9021FC}"/>
    <hyperlink ref="G331" r:id="rId129" xr:uid="{0BA1EDC6-B12E-40F0-BEF9-A2A8F15A5BA4}"/>
    <hyperlink ref="G348" r:id="rId130" xr:uid="{D394A17D-D192-475C-84F6-65E1E15138EE}"/>
    <hyperlink ref="F348" r:id="rId131" xr:uid="{D64BBE03-51C2-4B32-A252-F0EE02915662}"/>
    <hyperlink ref="F331" r:id="rId132" xr:uid="{27EA79E5-8D4E-4CDF-B10A-BAF92B6CD40A}"/>
    <hyperlink ref="F296" r:id="rId133" xr:uid="{57CDC947-016E-4C82-BA2A-8D1E8D96183C}"/>
    <hyperlink ref="F156" r:id="rId134" xr:uid="{714A1240-BA38-4694-BD6B-5CBCE9E8FDFE}"/>
    <hyperlink ref="A3" r:id="rId135" xr:uid="{15DD6CA3-BA20-40DA-942A-CC3E231441B1}"/>
    <hyperlink ref="J10" r:id="rId136" xr:uid="{87D48767-C218-416D-B105-F12368FB4C8B}"/>
    <hyperlink ref="A17" r:id="rId137" xr:uid="{676BAAE8-5F03-42CA-AD31-B129CDF2581A}"/>
    <hyperlink ref="A33" r:id="rId138" xr:uid="{563F4602-60E4-47FF-9BAE-91F95FB2B82A}"/>
    <hyperlink ref="A48" r:id="rId139" xr:uid="{3330C5C8-49F5-4B7A-B367-95C1D2DED3B4}"/>
    <hyperlink ref="A55" r:id="rId140" xr:uid="{578AFAEA-3C28-40E7-BABB-22FF61EB2197}"/>
    <hyperlink ref="A63" r:id="rId141" xr:uid="{B91CC085-743E-4ADB-A1C2-27D8ACD1936B}"/>
    <hyperlink ref="A86" r:id="rId142" xr:uid="{759B6EDA-3217-46B3-9880-D704868F07A0}"/>
    <hyperlink ref="A112" r:id="rId143" xr:uid="{5FBC1048-3D2E-4FA9-A6CD-42618FC2EE30}"/>
    <hyperlink ref="A127" r:id="rId144" xr:uid="{8F7D53AE-AD2D-43FD-B299-4CAFEB05E088}"/>
    <hyperlink ref="A141" r:id="rId145" xr:uid="{8F7D6268-1D30-4B45-8A31-6CC5E5E2191A}"/>
    <hyperlink ref="A148" r:id="rId146" xr:uid="{5A4F560D-B83B-4545-86B8-8AE22226547F}"/>
    <hyperlink ref="A156" r:id="rId147" xr:uid="{3C50DEE0-A328-4A7E-8E0C-B51BD0403B99}"/>
    <hyperlink ref="A174" r:id="rId148" xr:uid="{A11798D5-507D-4E5E-A828-C0B554D2CC85}"/>
    <hyperlink ref="A182" r:id="rId149" xr:uid="{BBC66ACF-1C4F-4E9A-A8C8-C3C3A1C39076}"/>
    <hyperlink ref="A230" r:id="rId150" xr:uid="{77A82B56-790E-4669-BD02-8891946AE933}"/>
    <hyperlink ref="A238" r:id="rId151" xr:uid="{DA680D3C-DC69-431B-B7D4-78C44021A5C0}"/>
    <hyperlink ref="A245" r:id="rId152" xr:uid="{DED79257-5347-4766-9D1C-8612A7D24F27}"/>
    <hyperlink ref="A259" r:id="rId153" xr:uid="{567E7A2A-F52C-48EF-BB04-3EFC7AD24149}"/>
    <hyperlink ref="A266" r:id="rId154" xr:uid="{72402286-FB7A-46A3-997E-30D48DDC7B5E}"/>
    <hyperlink ref="A331" r:id="rId155" xr:uid="{22675F84-3F03-4D01-A152-5496F4719F27}"/>
    <hyperlink ref="A340" r:id="rId156" xr:uid="{DC7F9762-8F8B-473C-9394-76DEBD27765D}"/>
    <hyperlink ref="A348" r:id="rId157" xr:uid="{CD6121C0-BFCB-4485-A123-3C292536440D}"/>
    <hyperlink ref="A366" r:id="rId158" xr:uid="{A28F95FE-8E4C-4B47-BB22-8E84932960F4}"/>
    <hyperlink ref="A393" r:id="rId159" xr:uid="{F4D83A56-8B39-4D61-8DBE-432FE3F7CB6F}"/>
    <hyperlink ref="A665" r:id="rId160" xr:uid="{451BE36B-15A1-4EEE-BB89-F69B457AA7F0}"/>
    <hyperlink ref="A761" r:id="rId161" xr:uid="{B3BCE04A-3188-43B8-B31E-8D372DAF198F}"/>
    <hyperlink ref="A751" r:id="rId162" xr:uid="{BA28F55A-49F0-40BC-99C6-D44A4E4DE17D}"/>
    <hyperlink ref="A740" r:id="rId163" xr:uid="{779C29C0-ED49-4EA4-A776-AF5FC6172F63}"/>
    <hyperlink ref="A720" r:id="rId164" xr:uid="{1358CCAC-5F00-4B40-B9C9-A5819EDE36F4}"/>
    <hyperlink ref="A712" r:id="rId165" xr:uid="{0D7A4C08-F6FC-410B-8A45-C13E64FB2994}"/>
    <hyperlink ref="A705" r:id="rId166" xr:uid="{76307624-22AF-4C4F-8DFC-1339D435B55C}"/>
    <hyperlink ref="A695" r:id="rId167" xr:uid="{E0EE00A4-0D08-4DC8-AD44-25D91E76D444}"/>
    <hyperlink ref="A685" r:id="rId168" xr:uid="{58B63F8F-9100-4CEC-8850-5187049A135D}"/>
    <hyperlink ref="A675" r:id="rId169" xr:uid="{E810585D-1E1C-4CD3-80B7-1FFB92DEA303}"/>
    <hyperlink ref="A655" r:id="rId170" xr:uid="{24040E7C-B720-465A-AE2A-2C360C043BB8}"/>
    <hyperlink ref="A644" r:id="rId171" xr:uid="{F604EAC9-C7C6-4820-BB81-EA5431423331}"/>
    <hyperlink ref="A632" r:id="rId172" xr:uid="{31A47A56-59A2-4040-94F8-225C64E44CCC}"/>
    <hyperlink ref="A624" r:id="rId173" xr:uid="{6FAF1DF4-073D-4D59-9822-2D8EBDDB7633}"/>
    <hyperlink ref="A615" r:id="rId174" xr:uid="{508C9D60-79F2-404D-B244-C7A94D4A0F4B}"/>
    <hyperlink ref="A598" r:id="rId175" xr:uid="{44C142C6-956D-43FF-B125-D1282BF072C7}"/>
    <hyperlink ref="A574" r:id="rId176" xr:uid="{252FF899-37C0-4744-B5F8-99BD33E313E0}"/>
    <hyperlink ref="A554" r:id="rId177" xr:uid="{E13D0CDF-93DB-4B94-9C15-4F6F1406AF52}"/>
    <hyperlink ref="A546" r:id="rId178" xr:uid="{6B52FCB5-9C80-45B0-81EE-13DA367D1185}"/>
    <hyperlink ref="A539" r:id="rId179" xr:uid="{7766545E-6099-4F16-B10C-C9269C736329}"/>
    <hyperlink ref="A531" r:id="rId180" xr:uid="{CC8F8406-2BF7-422D-A691-752C2C58DB7D}"/>
    <hyperlink ref="A481" r:id="rId181" xr:uid="{8DF80A07-B2DE-4408-BD2E-0761782ACDEF}"/>
    <hyperlink ref="A441" r:id="rId182" xr:uid="{9C0198B6-0D03-406C-8367-108AE81EA39B}"/>
    <hyperlink ref="A102" r:id="rId183" xr:uid="{D332A2EA-9397-4988-89D1-E5131AC5C4E9}"/>
    <hyperlink ref="A134" r:id="rId184" xr:uid="{3572BB4B-CE96-4112-9CC2-940413EE1547}"/>
    <hyperlink ref="A289" r:id="rId185" xr:uid="{718F5091-8348-4555-BF63-ADAE3B529BEF}"/>
    <hyperlink ref="A306" r:id="rId186" xr:uid="{BC8198B2-205C-4C49-9DD8-04AEF96C8430}"/>
    <hyperlink ref="A358" r:id="rId187" xr:uid="{568F3AEF-5653-4961-8344-92B240A8B7F6}"/>
    <hyperlink ref="A431" r:id="rId188" xr:uid="{7C9C6DB0-1C6B-4F59-9240-24C778D579B8}"/>
    <hyperlink ref="A190" r:id="rId189" xr:uid="{74374B98-7250-4ECF-912A-A908A7256790}"/>
    <hyperlink ref="A274" r:id="rId190" xr:uid="{B8EB5401-2C77-444B-BC14-DDD59A27A2D0}"/>
    <hyperlink ref="A282" r:id="rId191" xr:uid="{3200751E-8A9B-4E5B-B481-1F5ED59A5442}"/>
    <hyperlink ref="A324" r:id="rId192" xr:uid="{21FDF86E-71C5-442E-954C-635ABF96366A}"/>
    <hyperlink ref="A415" r:id="rId193" xr:uid="{2810933C-EF9B-4080-8CD4-535237A327B2}"/>
    <hyperlink ref="A423" r:id="rId194" xr:uid="{BC677D09-E491-4C80-BA77-8AEBFF3B273C}"/>
    <hyperlink ref="A449" r:id="rId195" xr:uid="{0C2DD90E-59D7-42D2-B8B8-70FF5BB767E6}"/>
    <hyperlink ref="A473" r:id="rId196" xr:uid="{7B40A8E3-8FE8-42A9-99E6-EEBAC9F8ECF4}"/>
    <hyperlink ref="A489" r:id="rId197" xr:uid="{D3AA57C4-834A-4074-9110-AA904A7D6E09}"/>
    <hyperlink ref="A581" r:id="rId198" xr:uid="{C017B06F-FA7F-42F3-B757-214B63DE2B83}"/>
    <hyperlink ref="A608" r:id="rId199" xr:uid="{549D3FA8-2652-4C56-B7B5-6324A3D6E39A}"/>
    <hyperlink ref="J25" r:id="rId200" xr:uid="{B43230C9-724F-4CFD-9CAE-918BC9DBB967}"/>
    <hyperlink ref="J54" r:id="rId201" xr:uid="{0826899A-BF88-4B50-B916-23A237A0CCE7}"/>
    <hyperlink ref="J62" r:id="rId202" xr:uid="{B14840D6-6505-4932-9230-1FB254CDF36F}"/>
    <hyperlink ref="J70" r:id="rId203" xr:uid="{52DCFC11-B3FB-4494-8B04-0F9EF59CF6A0}"/>
    <hyperlink ref="J78" r:id="rId204" xr:uid="{07FAA1FF-9242-4854-84A7-74C03E22090B}"/>
    <hyperlink ref="J85" r:id="rId205" xr:uid="{27BFEC82-A8D2-4D9C-AF04-F6318B9F3BE4}"/>
    <hyperlink ref="J92" r:id="rId206" xr:uid="{7E7CFF29-A51A-44D3-A0D3-5E19685BE7FB}"/>
    <hyperlink ref="J111" r:id="rId207" xr:uid="{CBAA6FA6-9E0B-49E1-B5E2-F01136F795E8}"/>
    <hyperlink ref="J118" r:id="rId208" xr:uid="{DF02978E-67C3-4396-8A21-94ACD31E9E7B}"/>
    <hyperlink ref="J132" r:id="rId209" xr:uid="{9780AAC1-0606-4224-A370-E2016CAD287E}"/>
    <hyperlink ref="J140" r:id="rId210" xr:uid="{666C22F1-A65E-41E4-AE89-34F5A9DA97AF}"/>
    <hyperlink ref="J146" r:id="rId211" xr:uid="{B89D632A-7427-470B-8F94-C55C9F382232}"/>
    <hyperlink ref="J155" r:id="rId212" xr:uid="{F5FA298A-A054-45C0-A336-B90006264826}"/>
    <hyperlink ref="J165" r:id="rId213" xr:uid="{FB7C978D-187A-499F-AB7B-A3AA4E59F012}"/>
    <hyperlink ref="J181" r:id="rId214" xr:uid="{8EB70BE8-01E2-4DE2-B339-57FB7EE76F5B}"/>
    <hyperlink ref="J189" r:id="rId215" xr:uid="{F193FE8B-8B4C-4237-A87C-D7409F8FF2D8}"/>
    <hyperlink ref="J196" r:id="rId216" xr:uid="{016F02AC-373D-44B6-AA45-FA4D5F4522A9}"/>
    <hyperlink ref="J237" r:id="rId217" xr:uid="{BA45B1E4-3491-4E0B-9C5E-D2DE107738DB}"/>
    <hyperlink ref="J243" r:id="rId218" xr:uid="{2894FAD7-06A9-4B1B-A2D1-C66FDC7F63C9}"/>
    <hyperlink ref="J251" r:id="rId219" xr:uid="{5C56CB65-FE9D-4989-B2FD-7934DF2DE6C7}"/>
    <hyperlink ref="J265" r:id="rId220" xr:uid="{1FA9C660-4357-4FA8-B97F-C35444767DE1}"/>
    <hyperlink ref="J273" r:id="rId221" xr:uid="{C84CD25A-AECC-459D-A144-27AE82F9ECC3}"/>
    <hyperlink ref="J281" r:id="rId222" xr:uid="{9F484DF8-EF2E-439D-9899-670176987A6A}"/>
    <hyperlink ref="J288" r:id="rId223" xr:uid="{5175455D-DED9-4FD4-A8E3-82B959BE3537}"/>
    <hyperlink ref="J294" r:id="rId224" xr:uid="{E6739B42-325C-4515-A8F0-DECD3C6562B4}"/>
    <hyperlink ref="J305" r:id="rId225" xr:uid="{3EBC5686-8F94-4CAA-AC04-B3A5ED39855F}"/>
    <hyperlink ref="J313" r:id="rId226" xr:uid="{BDF628FF-9EC2-4944-9BB0-9294D0356AA9}"/>
    <hyperlink ref="J330" r:id="rId227" xr:uid="{554922C6-47A6-4D23-8C05-B64B02B399C8}"/>
    <hyperlink ref="J339" r:id="rId228" xr:uid="{87BC6F29-4BC4-4225-9A17-DACF2D17EF3A}"/>
    <hyperlink ref="J346" r:id="rId229" xr:uid="{161FC88A-6441-465B-A195-1E92B8B83425}"/>
    <hyperlink ref="J357" r:id="rId230" xr:uid="{0C5E3448-B14F-469D-B58D-C6DC1075A80D}"/>
    <hyperlink ref="J365" r:id="rId231" xr:uid="{DE0B3B66-C053-4D66-AA18-DCA1028C40C0}"/>
    <hyperlink ref="J373" r:id="rId232" xr:uid="{B5C57B95-DEFB-4757-9AB7-DEA2CDE1F5AD}"/>
    <hyperlink ref="J398" r:id="rId233" xr:uid="{7F3C8BBC-0BE6-4A96-930C-D581C20F3508}"/>
    <hyperlink ref="J422" r:id="rId234" xr:uid="{9B5CC47F-2688-4190-8BBD-ECEF7BAB4FAD}"/>
    <hyperlink ref="J430" r:id="rId235" xr:uid="{FEC96F8B-3B95-4D5A-93D6-1D692ED98FAC}"/>
    <hyperlink ref="J440" r:id="rId236" xr:uid="{2ED4BB44-70B9-4B8D-B864-7DC27F6CEDC3}"/>
    <hyperlink ref="J448" r:id="rId237" xr:uid="{1EBB6F2F-0841-4BBA-BCA6-466B9E1B6C25}"/>
    <hyperlink ref="J456" r:id="rId238" xr:uid="{DF7EFF2D-91E4-42FE-813E-83DE2445F124}"/>
    <hyperlink ref="J480" r:id="rId239" xr:uid="{D0F8C1DC-6891-4003-94F2-E4A4CA0B0005}"/>
    <hyperlink ref="J488" r:id="rId240" xr:uid="{9A79A1FE-E9EC-4650-B5D3-B1F06679427B}"/>
    <hyperlink ref="J495" r:id="rId241" xr:uid="{B3F91044-E9D0-4899-9EEA-ADE32A2498F6}"/>
    <hyperlink ref="J520" r:id="rId242" xr:uid="{A2CEB4EB-B17A-45A4-ACAE-947C9352DA01}"/>
    <hyperlink ref="J530" r:id="rId243" xr:uid="{FF321F06-8716-4F75-8630-E1D17D5933F7}"/>
    <hyperlink ref="J538" r:id="rId244" xr:uid="{D30F9AFB-FFA5-4E73-B4B1-FC6343109EAB}"/>
    <hyperlink ref="J545" r:id="rId245" xr:uid="{93B966BE-B911-4F5B-BF5F-61A1FDD7FD0B}"/>
    <hyperlink ref="J553" r:id="rId246" xr:uid="{B859755C-60A1-4DC7-BC93-1BB2DBBAEFD9}"/>
    <hyperlink ref="J563" r:id="rId247" xr:uid="{3F2CBCA6-3536-410F-B069-A95B1048FC34}"/>
    <hyperlink ref="J580" r:id="rId248" xr:uid="{A6696656-8290-4E2C-B70A-E634662763CA}"/>
    <hyperlink ref="J588" r:id="rId249" xr:uid="{F7C8624A-FC16-4E07-A969-4A30AEA0D8E3}"/>
    <hyperlink ref="J607" r:id="rId250" xr:uid="{F4B1E3DB-AF5A-4C28-A10D-330D80EB217F}"/>
    <hyperlink ref="J613" r:id="rId251" xr:uid="{9B26F88D-B911-4E7D-A498-B67C1D76AE0C}"/>
    <hyperlink ref="J623" r:id="rId252" xr:uid="{AAA2FF4D-8FC5-474F-B202-7CFE2DA0C53B}"/>
    <hyperlink ref="J631" r:id="rId253" xr:uid="{97B840A6-2309-4F0E-96F2-07DA456A9E4A}"/>
    <hyperlink ref="J643" r:id="rId254" xr:uid="{0B8A6B13-78A9-4B37-BA07-5E73461F0EC6}"/>
    <hyperlink ref="J654" r:id="rId255" xr:uid="{0C808141-4281-4FB0-B07C-C3D6535F3E99}"/>
    <hyperlink ref="J664" r:id="rId256" xr:uid="{21104DAB-F260-47B0-A9A9-C1A5D8DCD565}"/>
    <hyperlink ref="J674" r:id="rId257" xr:uid="{399EED2D-3F2F-4EAA-8BBA-A3CF8386D91F}"/>
    <hyperlink ref="J684" r:id="rId258" xr:uid="{E8DD5CD5-34A4-4FF7-8ACB-9E5840B5AB1D}"/>
    <hyperlink ref="J694" r:id="rId259" xr:uid="{42B0E34A-F06E-42FC-BD34-8189FD3E68FD}"/>
    <hyperlink ref="J704" r:id="rId260" xr:uid="{EA60DAFF-2581-4C4E-B7D5-9396A1DD5D85}"/>
    <hyperlink ref="J711" r:id="rId261" xr:uid="{2BCE3AA3-498D-44A7-B556-F86C452C1383}"/>
    <hyperlink ref="J719" r:id="rId262" xr:uid="{BCB79094-1247-47BF-98DF-907357FA7C75}"/>
    <hyperlink ref="J728" r:id="rId263" xr:uid="{AD635A85-C91C-4BEC-B8CC-51B31FF1F803}"/>
    <hyperlink ref="J750" r:id="rId264" xr:uid="{FE7B2C01-7EEA-4AC9-BEF4-15E9F5263433}"/>
    <hyperlink ref="J760" r:id="rId265" xr:uid="{BF65803E-EA0A-44CA-A83E-E66C92F20FD6}"/>
    <hyperlink ref="J768" r:id="rId266" xr:uid="{CF58A128-2086-4C2E-AE45-825AFBA1420B}"/>
    <hyperlink ref="I414" r:id="rId267" xr:uid="{4166B764-90CA-4AE1-90A2-FBEAF8DD10B8}"/>
    <hyperlink ref="A408" r:id="rId268" xr:uid="{4982D4F5-8342-4104-B155-92147AA76E64}"/>
    <hyperlink ref="J414" r:id="rId269" xr:uid="{B8185B69-5930-4C63-BF42-8F23EE2817BA}"/>
    <hyperlink ref="I472" r:id="rId270" xr:uid="{DC41AFC7-A723-441D-9414-118FEB28B3E0}"/>
    <hyperlink ref="A466" r:id="rId271" display="D R" xr:uid="{26D5245B-C27A-443A-9165-5B0FF9803E62}"/>
    <hyperlink ref="J472" r:id="rId272" xr:uid="{20E28A13-034D-44B3-A3F1-0E9D8C09CD98}"/>
    <hyperlink ref="E761" r:id="rId273" xr:uid="{8068AC73-84C2-4A2A-B66B-EA846470F220}"/>
    <hyperlink ref="E751" r:id="rId274" xr:uid="{D8C826EA-FA02-4D15-B16B-8C5B2D8750A3}"/>
    <hyperlink ref="E740" r:id="rId275" xr:uid="{C31218B4-2CDA-4FCA-827A-C006C68572A4}"/>
    <hyperlink ref="E720" r:id="rId276" xr:uid="{AEA01745-6F86-4539-8240-9ECCBAB0467E}"/>
    <hyperlink ref="E712" r:id="rId277" xr:uid="{E013BCA3-B64F-438D-9F7B-F7CC1AB415A1}"/>
    <hyperlink ref="E705" r:id="rId278" xr:uid="{E9A6A87F-F1CE-4F2B-A8AA-D2587263F828}"/>
    <hyperlink ref="E695" r:id="rId279" xr:uid="{F8E5FC52-EC3E-4546-B052-020192988236}"/>
    <hyperlink ref="E685" r:id="rId280" xr:uid="{590BC4A1-1091-4458-89A8-DD71EE0F300A}"/>
    <hyperlink ref="E675" r:id="rId281" xr:uid="{6F2B60BA-EDF2-4911-91F2-44C2F166B236}"/>
    <hyperlink ref="E665" r:id="rId282" xr:uid="{E271658B-CDB6-4A32-AAD0-BA267252AAB1}"/>
    <hyperlink ref="E655" r:id="rId283" xr:uid="{67BB0EA9-B617-4AE3-970B-BD152A5DF894}"/>
    <hyperlink ref="E644" r:id="rId284" xr:uid="{96C34AA3-B4F1-477B-9F9B-214ABE2B6C9B}"/>
    <hyperlink ref="E632" r:id="rId285" xr:uid="{B550C2D3-6231-4B6C-AF4B-E2684C73A338}"/>
    <hyperlink ref="E624" r:id="rId286" xr:uid="{BC941A92-4CAC-4C37-9213-57EDC139E699}"/>
    <hyperlink ref="E615" r:id="rId287" xr:uid="{62318911-6EA6-4FEA-9B8B-7FE1452AF2F1}"/>
    <hyperlink ref="E608" r:id="rId288" xr:uid="{1A25516F-8002-403B-8E27-853873C24E69}"/>
    <hyperlink ref="E598" r:id="rId289" xr:uid="{03C30EDD-2E23-4C8E-B82D-3B1F3166754F}"/>
    <hyperlink ref="E581" r:id="rId290" xr:uid="{A83D19C4-0F26-467C-B651-82216F8A9A92}"/>
    <hyperlink ref="E574" r:id="rId291" xr:uid="{33B6B657-0DE6-4744-BB7C-5E5612640206}"/>
    <hyperlink ref="E555" r:id="rId292" xr:uid="{A5A5BDA9-D47D-47D9-B6AE-3A3F430B9DF9}"/>
    <hyperlink ref="E554" r:id="rId293" xr:uid="{1508D0DC-45C2-4B18-A3CF-B477A7E6DBE4}"/>
    <hyperlink ref="E547" r:id="rId294" xr:uid="{A3CA62EC-5658-452C-A259-037B1EDB0A59}"/>
    <hyperlink ref="E546" r:id="rId295" xr:uid="{C0D4CE8A-44F3-4509-9D06-8184B7A3547E}"/>
    <hyperlink ref="E540" r:id="rId296" xr:uid="{EB44A02F-2BAB-4589-9FA6-5B64E6BF958D}"/>
    <hyperlink ref="E539" r:id="rId297" xr:uid="{E43782EC-0E51-4F07-B6DB-DC11E27B3C85}"/>
    <hyperlink ref="E532" r:id="rId298" xr:uid="{F38142C8-B75C-497B-9535-404B0B13DF64}"/>
    <hyperlink ref="E531" r:id="rId299" xr:uid="{EEFD3F5E-1D4E-4568-9F64-4424949B41CC}"/>
    <hyperlink ref="E521" r:id="rId300" xr:uid="{DCC30BD4-0B7E-4926-8A78-4657BFECA360}"/>
    <hyperlink ref="E512" r:id="rId301" xr:uid="{A00475F0-79F3-4037-86E3-644406114207}"/>
    <hyperlink ref="E489" r:id="rId302" xr:uid="{A34FDDB1-CF98-4114-BD32-5B959028C4DF}"/>
    <hyperlink ref="E482" r:id="rId303" xr:uid="{F74DEE6D-ED36-4A3C-B78E-EBB8C2BA7DD5}"/>
    <hyperlink ref="E481" r:id="rId304" xr:uid="{93C1555D-FC94-479E-8C10-F8B0FBC17644}"/>
    <hyperlink ref="E474" r:id="rId305" xr:uid="{199C385A-CCA2-4B6B-8054-8603CE0869C5}"/>
    <hyperlink ref="E473" r:id="rId306" xr:uid="{D924BE4B-2FFF-458C-81EC-B005E7619952}"/>
    <hyperlink ref="E466" r:id="rId307" xr:uid="{D8EF2A54-6821-454C-9371-1BDADC968480}"/>
    <hyperlink ref="E449" r:id="rId308" xr:uid="{617B411F-1B46-4DC3-AC3B-1C2D8E9038B0}"/>
    <hyperlink ref="E442" r:id="rId309" xr:uid="{701BB232-354F-4EC1-BE4F-16805D334EB1}"/>
    <hyperlink ref="E441" r:id="rId310" xr:uid="{E6C8A3E1-2A74-4EFC-A199-E50EBBB331BA}"/>
    <hyperlink ref="E431" r:id="rId311" xr:uid="{16E11205-5C25-4C07-A23E-7B5EF480FB4B}"/>
    <hyperlink ref="E424" r:id="rId312" xr:uid="{E01A1EAA-995B-4221-B841-C0DD10EF1B1F}"/>
    <hyperlink ref="E423" r:id="rId313" xr:uid="{DA53F441-8C6B-4740-BA55-DD15923C9847}"/>
    <hyperlink ref="E416" r:id="rId314" xr:uid="{F9B7F489-3E40-43A9-B572-831E91F52C72}"/>
    <hyperlink ref="E415" r:id="rId315" xr:uid="{55DF3750-E710-4D01-912D-4E28CA34B0D8}"/>
    <hyperlink ref="E409" r:id="rId316" xr:uid="{4DE44979-E12A-44F1-A461-96EEA078133E}"/>
    <hyperlink ref="E408" r:id="rId317" xr:uid="{589C03B9-8EA0-4723-B8BC-FD8C31E0E915}"/>
    <hyperlink ref="E394" r:id="rId318" xr:uid="{AEDF1B88-DFE4-4C63-9FC5-0FAE660484EF}"/>
    <hyperlink ref="E393" r:id="rId319" xr:uid="{B7D12B9A-D969-4611-80D1-3FE7A5A73315}"/>
    <hyperlink ref="E367" r:id="rId320" xr:uid="{CCECF9FC-9ACE-4E47-8E68-8F9518C980E3}"/>
    <hyperlink ref="E366" r:id="rId321" xr:uid="{1E45BF5F-5182-4C7B-9E72-A4674E7488EA}"/>
    <hyperlink ref="E358" r:id="rId322" xr:uid="{5884EA4F-446B-41C9-BBDC-D8E6B2901FDC}"/>
    <hyperlink ref="E348" r:id="rId323" xr:uid="{1C2E5FF8-D0D6-4765-9D1C-04FF49F3E1E3}"/>
    <hyperlink ref="E341" r:id="rId324" xr:uid="{A26390A4-62C2-412F-ABB6-1B42BAC69C38}"/>
    <hyperlink ref="E340" r:id="rId325" xr:uid="{DAC8EB66-C54D-4AF3-900A-AE280F78ABF3}"/>
    <hyperlink ref="E331" r:id="rId326" xr:uid="{11024851-174B-41C9-89C9-EB5EFDF77F63}"/>
    <hyperlink ref="E325" r:id="rId327" xr:uid="{3966CB99-F6E5-4BBB-9F96-87C101475322}"/>
    <hyperlink ref="E324" r:id="rId328" xr:uid="{7F67527A-4B58-43C9-8977-CAAD5A529E10}"/>
    <hyperlink ref="E306" r:id="rId329" xr:uid="{569E772F-98C5-4CC6-B728-656A9A7695FB}"/>
    <hyperlink ref="E296" r:id="rId330" xr:uid="{272A1602-201A-4355-84E8-38F9EB87CF9A}"/>
    <hyperlink ref="E290" r:id="rId331" xr:uid="{235AA5D3-F479-438A-8DD9-7312B81D6D1B}"/>
    <hyperlink ref="E260" r:id="rId332" xr:uid="{B4B0D10E-E49B-4817-B34D-6AD09180ADF6}"/>
    <hyperlink ref="E289" r:id="rId333" xr:uid="{0E9AF611-CE9D-40DA-AF3D-BD2A7FB466B7}"/>
    <hyperlink ref="E282" r:id="rId334" xr:uid="{550D5322-3E86-4AB8-9A91-9594F5BB40B6}"/>
    <hyperlink ref="E274" r:id="rId335" xr:uid="{0CDD3342-5E0D-4486-A0C1-DF56BD6FBB66}"/>
    <hyperlink ref="E267" r:id="rId336" xr:uid="{E356F2AD-4FD9-415D-B639-E1C589293AE3}"/>
    <hyperlink ref="E266" r:id="rId337" xr:uid="{83CED815-E7FB-4A50-9E65-31C7CE597902}"/>
    <hyperlink ref="E246" r:id="rId338" xr:uid="{59DFE77E-9FE0-4BDA-9F25-BD8DB2F852B6}"/>
    <hyperlink ref="E183" r:id="rId339" xr:uid="{82585782-95B3-4458-B5A9-3CE53E14DFE7}"/>
    <hyperlink ref="E175" r:id="rId340" xr:uid="{030FE1CA-9EA7-4AE2-B083-DE8D85E235CE}"/>
    <hyperlink ref="E275" r:id="rId341" xr:uid="{DA45E668-51DE-400D-A473-852821A99900}"/>
    <hyperlink ref="E259" r:id="rId342" xr:uid="{5B950EB0-DBCE-4EA7-9D2C-33389E325FAC}"/>
    <hyperlink ref="E245" r:id="rId343" xr:uid="{BA3E5867-DD5B-41CA-A649-D6690B97EB31}"/>
    <hyperlink ref="E239" r:id="rId344" xr:uid="{94910DB9-4745-4F6C-8CE0-B9F87CCD3FF0}"/>
    <hyperlink ref="E238" r:id="rId345" xr:uid="{ED72D30F-59CA-4C87-92E0-1612439687C6}"/>
    <hyperlink ref="E231" r:id="rId346" xr:uid="{A53B9857-5FE2-49E8-9694-27EF6391BDD0}"/>
    <hyperlink ref="E230" r:id="rId347" xr:uid="{B2D5C786-65A6-45A1-A572-28C17AE5C3AF}"/>
    <hyperlink ref="E190" r:id="rId348" xr:uid="{83AFE6D4-DBF9-4692-A597-2BBF97D60F45}"/>
    <hyperlink ref="E182" r:id="rId349" xr:uid="{E8B5F630-5349-4B1C-948F-B878F4AEA385}"/>
    <hyperlink ref="E174" r:id="rId350" xr:uid="{B44D65BE-28DB-4CC1-9154-5D5D105115A8}"/>
    <hyperlink ref="E156" r:id="rId351" xr:uid="{8F4E6331-7B53-40F4-A175-7F7D61A9A768}"/>
    <hyperlink ref="E149" r:id="rId352" xr:uid="{7240FC8A-DCBE-4CF8-9C90-546B89668889}"/>
    <hyperlink ref="E148" r:id="rId353" xr:uid="{80BE626B-D887-4727-AD6D-47A8C0549A8C}"/>
    <hyperlink ref="E142" r:id="rId354" xr:uid="{2D93AFC6-41F4-4919-B43D-8A68B9425E3B}"/>
    <hyperlink ref="E141" r:id="rId355" xr:uid="{F4BE38BB-24BF-4879-844C-A7E00B79FCF9}"/>
    <hyperlink ref="E134" r:id="rId356" xr:uid="{07F35D0E-0129-421B-9B6E-5AE4703BAB08}"/>
    <hyperlink ref="E128" r:id="rId357" xr:uid="{A2FC1DFD-6957-4F57-B390-7485E6B2CF85}"/>
    <hyperlink ref="E127" r:id="rId358" xr:uid="{284DE512-4A5B-4D2F-89C0-FED79CB5A780}"/>
    <hyperlink ref="E113" r:id="rId359" xr:uid="{77A2D134-4B8E-49A9-8C83-9327CFD8D6AA}"/>
    <hyperlink ref="E112" r:id="rId360" xr:uid="{AFEC5134-5DC6-441C-98BA-3BF6563ECEF6}"/>
    <hyperlink ref="E102" r:id="rId361" xr:uid="{914E0DCA-6ECE-4A51-B09C-BC5B8A206233}"/>
    <hyperlink ref="E87" r:id="rId362" xr:uid="{E8A69096-11AC-4757-BA4F-CD01DBE6B4E4}"/>
    <hyperlink ref="E86" r:id="rId363" xr:uid="{3B8EB227-58FB-43F9-9B34-94F39317BD39}"/>
    <hyperlink ref="E80" r:id="rId364" xr:uid="{859F6037-27BD-4C5F-B90E-2A1F08D3063A}"/>
    <hyperlink ref="E79" r:id="rId365" xr:uid="{CCBD7F85-49F2-4AFE-9A15-D2A69ABA0986}"/>
    <hyperlink ref="E72" r:id="rId366" xr:uid="{12D489EE-7F58-4EA1-92F0-83D23714BFB8}"/>
    <hyperlink ref="E71" r:id="rId367" xr:uid="{DABB071D-2F7D-4AE0-811F-94F01B0EA41E}"/>
    <hyperlink ref="E64" r:id="rId368" xr:uid="{D58ADFAF-7C62-426D-8279-A7175BE0307B}"/>
    <hyperlink ref="E63" r:id="rId369" xr:uid="{6326BE60-D860-4BC9-B19A-FA646D17A227}"/>
    <hyperlink ref="E56" r:id="rId370" xr:uid="{F621394D-4EAC-4F7F-9AB5-A1989DC72423}"/>
    <hyperlink ref="E55" r:id="rId371" xr:uid="{E8779EF7-CAF4-4B5B-B9E6-6D730FBF6532}"/>
    <hyperlink ref="E49" r:id="rId372" xr:uid="{FBFBF784-5A7D-488F-AF83-7F96F6270833}"/>
    <hyperlink ref="E48" r:id="rId373" xr:uid="{CC220C20-D93D-4093-9396-782DC0E8A39C}"/>
    <hyperlink ref="E33" r:id="rId374" xr:uid="{9929C9D3-485D-4F50-80DF-357670FFBBC3}"/>
    <hyperlink ref="E18" r:id="rId375" xr:uid="{44CAE597-3930-4386-BB13-41736D5CF890}"/>
    <hyperlink ref="E17" r:id="rId376" xr:uid="{92D78CB4-FD6D-4FB9-B56A-FC61FC2B5D50}"/>
    <hyperlink ref="E4" r:id="rId377" xr:uid="{BC90EE21-D913-413C-AF86-C77ACE1DE88D}"/>
    <hyperlink ref="E3" r:id="rId378" xr:uid="{A287458B-EF50-44F9-BCFF-23243F12B82B}"/>
    <hyperlink ref="I204" r:id="rId379" xr:uid="{4B71F7FC-6727-4154-B6D1-755D2F25FAC5}"/>
    <hyperlink ref="F197" r:id="rId380" xr:uid="{164207D9-5973-4B62-A75D-834554255895}"/>
    <hyperlink ref="G197" r:id="rId381" xr:uid="{3FAD384F-6D6C-4231-910D-A7194AD0FE38}"/>
    <hyperlink ref="A197" r:id="rId382" display="Darlene Kilhorn" xr:uid="{EE66DC84-0BA1-4636-871E-5717E7055007}"/>
    <hyperlink ref="J204" r:id="rId383" xr:uid="{B275D827-2307-4180-A083-ED3115CCD51C}"/>
    <hyperlink ref="E197" r:id="rId384" xr:uid="{4B7A5098-15AA-48BC-8C0D-BDAF8DC18DA8}"/>
    <hyperlink ref="I406" r:id="rId385" xr:uid="{CC12D41D-2348-4438-A824-0AB706DD3693}"/>
    <hyperlink ref="A400" r:id="rId386" display="Jeanne Batha" xr:uid="{11A4A7BD-FA83-42E4-9A8B-3062F46CB457}"/>
    <hyperlink ref="E400" r:id="rId387" xr:uid="{5D990207-79B3-4307-9772-1D207FD42918}"/>
    <hyperlink ref="J407" r:id="rId388" xr:uid="{A551F67A-4E37-4EF6-8381-CCF6852CF947}"/>
    <hyperlink ref="I16" r:id="rId389" xr:uid="{8E95AA52-5B8F-4354-8BA1-224A482BE754}"/>
    <hyperlink ref="F11" r:id="rId390" xr:uid="{24B0BF3F-5D39-4008-8BC7-4890AD78F106}"/>
    <hyperlink ref="G11" r:id="rId391" xr:uid="{1D673B48-8EBE-44C3-88D0-E9FF6C48CB0E}"/>
    <hyperlink ref="A11" r:id="rId392" xr:uid="{6B04625C-7A32-4A6D-BD34-5560506B3342}"/>
    <hyperlink ref="E11" r:id="rId393" xr:uid="{1CDF2FCA-B9CC-42E3-B4ED-3AF619A1E03E}"/>
    <hyperlink ref="J16" r:id="rId394" xr:uid="{F608CB10-1B2B-4224-9523-0727E5261653}"/>
    <hyperlink ref="I32" r:id="rId395" xr:uid="{F3966B46-9334-40A5-800C-F65CD510A64E}"/>
    <hyperlink ref="F26" r:id="rId396" xr:uid="{880E1AF4-8E18-4E92-9F46-45DE7C42F849}"/>
    <hyperlink ref="G26" r:id="rId397" xr:uid="{E97F0F70-06C3-47B5-9B58-F2D9DA959601}"/>
    <hyperlink ref="A26" r:id="rId398" xr:uid="{83199B99-E5EA-48A7-815B-0C0C0B40A5A2}"/>
    <hyperlink ref="E26" r:id="rId399" xr:uid="{3E2E7462-DF36-458E-B479-E7DB60AD093B}"/>
    <hyperlink ref="J32" r:id="rId400" xr:uid="{10FB8FE2-D938-4047-9CD8-4DD08449F47B}"/>
    <hyperlink ref="I46" r:id="rId401" xr:uid="{D5C69770-B768-430A-84F8-B115914F97E6}"/>
    <hyperlink ref="F40" r:id="rId402" xr:uid="{F98BB22E-3CE5-4970-9FA2-83AC0AF8A491}"/>
    <hyperlink ref="G40" r:id="rId403" xr:uid="{87334623-EFB8-4F6B-88BA-374694E0D4E0}"/>
    <hyperlink ref="A40" r:id="rId404" xr:uid="{17AD6D8D-B597-486A-9B4E-9F287D8E2FEA}"/>
    <hyperlink ref="J47" r:id="rId405" xr:uid="{ED001C6C-991F-48AA-8C74-0C38050BC7EE}"/>
    <hyperlink ref="E40" r:id="rId406" xr:uid="{9D5B3B86-5EAB-4CD3-B347-6641D1E64387}"/>
    <hyperlink ref="J39" r:id="rId407" xr:uid="{7B0AE948-C646-45A7-A499-D1819CE5A458}"/>
    <hyperlink ref="E41" r:id="rId408" xr:uid="{1BA0855C-0BF3-42B6-92BD-EE83D49B90EE}"/>
    <hyperlink ref="I99" r:id="rId409" xr:uid="{D7868510-E71C-4995-83FD-449F42E30A70}"/>
    <hyperlink ref="F93" r:id="rId410" xr:uid="{21F1D95B-5600-4983-8DE7-D668257885B1}"/>
    <hyperlink ref="G93" r:id="rId411" xr:uid="{234039AD-6FC8-43D1-9DFC-685979309D7D}"/>
    <hyperlink ref="A93" r:id="rId412" display="Barbara Lee" xr:uid="{A1E77219-C811-4F61-8284-DD74BBB1D8B2}"/>
    <hyperlink ref="E93" r:id="rId413" xr:uid="{0184F7B1-D20D-4017-8440-96D127B09A07}"/>
    <hyperlink ref="J101" r:id="rId414" xr:uid="{E5C103D8-9BC5-4ED7-97E4-C6FBA9163F3D}"/>
    <hyperlink ref="I125" r:id="rId415" xr:uid="{2B2CCB9D-B744-4ED1-B030-9D598030EBBB}"/>
    <hyperlink ref="F119" r:id="rId416" xr:uid="{B5780D68-14B9-4285-95EB-8E9F67FAF84F}"/>
    <hyperlink ref="G119" r:id="rId417" xr:uid="{D46D104C-6008-4E22-8BD7-8C5DEEB90BD6}"/>
    <hyperlink ref="A119" r:id="rId418" xr:uid="{73F7A508-5715-44FC-8A4E-6E27507BC9BF}"/>
    <hyperlink ref="E119" r:id="rId419" xr:uid="{EB8A4179-D0D6-4CBA-B488-8FB91F2E1EBD}"/>
    <hyperlink ref="J126" r:id="rId420" xr:uid="{B0F393FD-6049-4367-9F00-C21EDE91EE78}"/>
    <hyperlink ref="I172" r:id="rId421" xr:uid="{D9A9EDE2-D167-4793-8806-4445DBC0C414}"/>
    <hyperlink ref="A166" r:id="rId422" xr:uid="{130FE18B-AA8D-4322-BE12-DC63C46FCD3A}"/>
    <hyperlink ref="E166" r:id="rId423" xr:uid="{DC3268BF-089B-4EE8-94CC-DD204D8F5328}"/>
    <hyperlink ref="F166" r:id="rId424" xr:uid="{6D622CBC-D994-4222-935D-6AB34D4A96B3}"/>
    <hyperlink ref="G166" r:id="rId425" xr:uid="{B0420BD1-86E1-4112-BDF3-EB5F4A576CE2}"/>
    <hyperlink ref="J173" r:id="rId426" xr:uid="{15ED5289-D7B8-4310-9EA7-548BD66AF704}"/>
    <hyperlink ref="I212" r:id="rId427" xr:uid="{D1D1E388-62F6-4508-9522-7191BCC57759}"/>
    <hyperlink ref="F205" r:id="rId428" xr:uid="{748ECAA3-F94B-4CB0-BF4C-3C1BC8CD36A0}"/>
    <hyperlink ref="G205" r:id="rId429" xr:uid="{8BCA3EF9-3100-425A-8BE2-B40D22BF8B5E}"/>
    <hyperlink ref="A205" r:id="rId430" xr:uid="{C21B4443-877C-49E4-8A62-A5D7D8287389}"/>
    <hyperlink ref="J212" r:id="rId431" xr:uid="{0452D1F0-0E16-4F37-A21E-B0FF09106C73}"/>
    <hyperlink ref="E205" r:id="rId432" xr:uid="{011A7B00-E550-4CB2-A6C9-35D659AB0B92}"/>
    <hyperlink ref="I220" r:id="rId433" xr:uid="{4A5B07DB-1F04-42C9-865D-CB422BB5B9F4}"/>
    <hyperlink ref="F213" r:id="rId434" xr:uid="{7BE80F40-4D64-4A01-A815-87B3286C336A}"/>
    <hyperlink ref="G213" r:id="rId435" xr:uid="{DAAD161A-ED59-42FD-8DF2-F1F152DFA717}"/>
    <hyperlink ref="A213" r:id="rId436" display="ibkatgirl" xr:uid="{B579BE4D-63F1-42F9-A972-52F62682B2F4}"/>
    <hyperlink ref="E213" r:id="rId437" xr:uid="{16B98F54-3CE6-4DC7-8622-62E3D0AD5C64}"/>
    <hyperlink ref="J221" r:id="rId438" xr:uid="{1D3F6D96-2929-4841-9DEA-0EB85D2BBD18}"/>
    <hyperlink ref="I229" r:id="rId439" xr:uid="{0BD7085D-820F-4C58-A5A1-BBACDB4FEEA9}"/>
    <hyperlink ref="F222" r:id="rId440" xr:uid="{AEB4BAC6-537E-455D-BD30-02F554913F4B}"/>
    <hyperlink ref="G222" r:id="rId441" xr:uid="{C4E0595B-1872-4297-A065-7D137144CF86}"/>
    <hyperlink ref="A222" r:id="rId442" xr:uid="{7A2F482E-A0D5-4EFB-B8A9-45DE9BFBB227}"/>
    <hyperlink ref="E222" r:id="rId443" xr:uid="{D06CF51E-BE16-4E61-B74A-4AF2E732C87B}"/>
    <hyperlink ref="J228" r:id="rId444" xr:uid="{66EA4AD9-08E9-40F9-9543-DD217C84E655}"/>
    <hyperlink ref="I258" r:id="rId445" xr:uid="{D6881E72-96DF-486B-B6E8-E04DA382227A}"/>
    <hyperlink ref="F252" r:id="rId446" xr:uid="{434E6D25-C282-425B-A85B-82A8DE4E5C2B}"/>
    <hyperlink ref="G252" r:id="rId447" xr:uid="{EE368962-9056-49C5-973D-730A69ADB0D1}"/>
    <hyperlink ref="A252" r:id="rId448" xr:uid="{A4D6CB1F-6C84-4CC9-91C2-9AF88DC83E18}"/>
    <hyperlink ref="J258" r:id="rId449" xr:uid="{80D2776A-E028-4328-AFB4-9F392C25DD43}"/>
    <hyperlink ref="E252" r:id="rId450" xr:uid="{CCE0AFFC-471C-43C9-8A65-EC95B7D4B5CB}"/>
    <hyperlink ref="I380" r:id="rId451" xr:uid="{4CE086AD-3114-4C4D-AB1C-363B329049F0}"/>
    <hyperlink ref="A374" r:id="rId452" xr:uid="{773925A0-2833-4334-98A7-42B60EEFD1B8}"/>
    <hyperlink ref="E374" r:id="rId453" xr:uid="{57077D77-E9D5-469E-A982-6B1AEB32038B}"/>
    <hyperlink ref="J382" r:id="rId454" xr:uid="{0DC5B2DE-BC25-433E-A83A-88494CD8E8D3}"/>
    <hyperlink ref="I389" r:id="rId455" xr:uid="{FB51DBF7-D34D-4A6D-B23B-CF7C410CCC6F}"/>
    <hyperlink ref="A383" r:id="rId456" xr:uid="{01D5468D-66F6-4C38-B218-B5ABE427ADFD}"/>
    <hyperlink ref="E383" r:id="rId457" xr:uid="{59E22D8B-BD99-4A90-99F9-BA2B3691D993}"/>
    <hyperlink ref="J392" r:id="rId458" xr:uid="{6F149877-BE03-427D-BE33-BDAF1C667DA1}"/>
    <hyperlink ref="I463" r:id="rId459" xr:uid="{C6C0C7C8-8402-4356-A216-6D89D3E36580}"/>
    <hyperlink ref="A457" r:id="rId460" xr:uid="{611764E5-4F7D-4E5D-B06B-4AF8D6E74165}"/>
    <hyperlink ref="E457" r:id="rId461" xr:uid="{F36DE41D-3F1A-4049-863A-1CF1A4C0BE02}"/>
    <hyperlink ref="J465" r:id="rId462" xr:uid="{7C958C74-724A-4A56-A8E3-4C5433399A28}"/>
    <hyperlink ref="I511" r:id="rId463" xr:uid="{716DB897-E8C1-455D-9753-3B7F7743D33C}"/>
    <hyperlink ref="A503" r:id="rId464" xr:uid="{82D01B0C-0583-414B-BD2A-73D644E593B0}"/>
    <hyperlink ref="J510" r:id="rId465" xr:uid="{0D2C3D59-97A9-47EC-B4BF-E7139E7EB796}"/>
    <hyperlink ref="E503" r:id="rId466" xr:uid="{ACAB67C7-EAEB-408E-B5ED-E3577F468FBE}"/>
    <hyperlink ref="I502" r:id="rId467" xr:uid="{9D56A296-C96C-4ABC-9D13-435098465117}"/>
    <hyperlink ref="A496" r:id="rId468" xr:uid="{C7B3DCA8-4F56-4C9C-91D3-4F74D13726F3}"/>
    <hyperlink ref="J502" r:id="rId469" xr:uid="{DB08DDFA-38A3-4805-8040-DA1E4C9E736F}"/>
    <hyperlink ref="E496" r:id="rId470" xr:uid="{65335F50-3C9E-4720-A129-9217755FB53D}"/>
    <hyperlink ref="I595" r:id="rId471" xr:uid="{C3474001-E51A-4243-8247-A89BA470B13D}"/>
    <hyperlink ref="A589" r:id="rId472" xr:uid="{BD676F65-197C-4124-8418-7C5AC6268541}"/>
    <hyperlink ref="E589" r:id="rId473" xr:uid="{5850ECB9-C66B-443B-9117-337728A8E237}"/>
    <hyperlink ref="J597" r:id="rId474" xr:uid="{77A1361C-8623-4D60-935A-E311C992B9E2}"/>
    <hyperlink ref="I737" r:id="rId475" xr:uid="{C3F5DC4B-0A6E-4C01-9497-2FB7B07ABDAF}"/>
    <hyperlink ref="A729" r:id="rId476" xr:uid="{9793C196-2D75-4AAB-9068-525B6F5CEB84}"/>
    <hyperlink ref="E729" r:id="rId477" xr:uid="{9E0392E9-B883-4F50-BF05-874139811845}"/>
    <hyperlink ref="J739" r:id="rId478" xr:uid="{0CFF0F6B-7DF3-49FF-8590-AD781231C4EE}"/>
    <hyperlink ref="I321" r:id="rId479" xr:uid="{F3829B65-CF00-4F4F-9040-849A6A947C52}"/>
    <hyperlink ref="A314" r:id="rId480" xr:uid="{D87A47A5-1FEC-4E9C-A146-491EF69C5DCF}"/>
    <hyperlink ref="E314" r:id="rId481" xr:uid="{F02A091C-33B1-4074-93B0-7CAA50667563}"/>
    <hyperlink ref="F314" r:id="rId482" xr:uid="{4A40AA7A-B238-48D1-AFC3-09760A06D433}"/>
    <hyperlink ref="G314" r:id="rId483" xr:uid="{9B9AA28F-D379-438B-A2BF-A9DA2EA0D813}"/>
    <hyperlink ref="J323" r:id="rId484" xr:uid="{273F6261-43F7-4845-875F-44C121F44A18}"/>
    <hyperlink ref="I572" r:id="rId485" xr:uid="{4AE43991-6891-4B12-A68E-41AA8828D232}"/>
    <hyperlink ref="A564" r:id="rId486" xr:uid="{72620F22-112C-436F-B44F-F58FEB28800A}"/>
    <hyperlink ref="J573" r:id="rId487" xr:uid="{D0C95F24-7EFA-4A66-9AFC-9E4B1F57351C}"/>
    <hyperlink ref="E564" r:id="rId488" xr:uid="{5CBC764A-A98B-4113-963E-B7767A9C7E01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86B7D-0FF6-4CED-9907-5D28D1842F5B}">
  <sheetPr codeName="Sheet47">
    <tabColor rgb="FF00B050"/>
  </sheetPr>
  <dimension ref="A1:K32"/>
  <sheetViews>
    <sheetView workbookViewId="0"/>
  </sheetViews>
  <sheetFormatPr defaultRowHeight="14.5" x14ac:dyDescent="0.35"/>
  <cols>
    <col min="1" max="1" width="21.81640625" customWidth="1"/>
    <col min="2" max="2" width="10.6328125" customWidth="1"/>
    <col min="3" max="3" width="24.1796875" customWidth="1"/>
    <col min="4" max="4" width="21.36328125" customWidth="1"/>
    <col min="5" max="5" width="12.26953125" customWidth="1"/>
    <col min="6" max="6" width="8.90625" customWidth="1"/>
    <col min="7" max="7" width="12.54296875" customWidth="1"/>
    <col min="8" max="8" width="23.54296875" customWidth="1"/>
    <col min="9" max="9" width="23.36328125" customWidth="1"/>
    <col min="10" max="10" width="22.90625" customWidth="1"/>
    <col min="11" max="11" width="23.26953125" customWidth="1"/>
  </cols>
  <sheetData>
    <row r="1" spans="1:11" x14ac:dyDescent="0.35">
      <c r="A1" s="34" t="s">
        <v>3196</v>
      </c>
      <c r="B1" s="16">
        <f>COUNTIF(I2:I1070,C1)+COUNTIF(I2:I1070,D1)</f>
        <v>5</v>
      </c>
      <c r="C1" s="9" t="s">
        <v>18</v>
      </c>
      <c r="D1" s="17" t="s">
        <v>1249</v>
      </c>
    </row>
    <row r="2" spans="1:11" s="29" customFormat="1" x14ac:dyDescent="0.35">
      <c r="A2" s="29" t="s">
        <v>0</v>
      </c>
      <c r="B2" s="29" t="s">
        <v>2</v>
      </c>
      <c r="C2" s="29" t="s">
        <v>4</v>
      </c>
      <c r="D2" s="29" t="s">
        <v>3219</v>
      </c>
      <c r="E2" s="29" t="s">
        <v>7</v>
      </c>
      <c r="F2" s="29" t="s">
        <v>10</v>
      </c>
      <c r="G2" s="29" t="s">
        <v>11</v>
      </c>
      <c r="H2" s="29" t="s">
        <v>23</v>
      </c>
      <c r="I2" s="29" t="s">
        <v>15</v>
      </c>
      <c r="J2" s="29" t="s">
        <v>2581</v>
      </c>
      <c r="K2" s="29" t="s">
        <v>2582</v>
      </c>
    </row>
    <row r="3" spans="1:11" x14ac:dyDescent="0.35">
      <c r="A3" s="33" t="s">
        <v>2986</v>
      </c>
      <c r="B3" t="s">
        <v>3</v>
      </c>
      <c r="C3" t="s">
        <v>25</v>
      </c>
      <c r="D3" t="s">
        <v>159</v>
      </c>
      <c r="E3" s="40" t="s">
        <v>1228</v>
      </c>
      <c r="H3" t="s">
        <v>130</v>
      </c>
      <c r="I3" s="1" t="s">
        <v>461</v>
      </c>
      <c r="J3" s="3" t="s">
        <v>2568</v>
      </c>
    </row>
    <row r="4" spans="1:11" x14ac:dyDescent="0.35">
      <c r="I4" t="s">
        <v>170</v>
      </c>
      <c r="J4" t="s">
        <v>2569</v>
      </c>
    </row>
    <row r="5" spans="1:11" x14ac:dyDescent="0.35">
      <c r="I5" t="s">
        <v>521</v>
      </c>
      <c r="J5" t="s">
        <v>2987</v>
      </c>
    </row>
    <row r="6" spans="1:11" x14ac:dyDescent="0.35">
      <c r="I6" t="s">
        <v>117</v>
      </c>
      <c r="J6" t="s">
        <v>2988</v>
      </c>
    </row>
    <row r="7" spans="1:11" x14ac:dyDescent="0.35">
      <c r="I7" t="s">
        <v>17</v>
      </c>
      <c r="J7" s="36" t="s">
        <v>2989</v>
      </c>
    </row>
    <row r="8" spans="1:11" x14ac:dyDescent="0.35">
      <c r="I8" s="2" t="s">
        <v>1249</v>
      </c>
      <c r="J8" s="37"/>
    </row>
    <row r="9" spans="1:11" x14ac:dyDescent="0.35">
      <c r="A9" s="33" t="s">
        <v>2990</v>
      </c>
      <c r="B9" t="s">
        <v>3</v>
      </c>
      <c r="C9" t="s">
        <v>25</v>
      </c>
      <c r="D9" t="s">
        <v>159</v>
      </c>
      <c r="E9" s="40" t="s">
        <v>666</v>
      </c>
      <c r="H9" t="s">
        <v>130</v>
      </c>
      <c r="I9" s="1" t="s">
        <v>461</v>
      </c>
      <c r="J9" s="3" t="s">
        <v>2568</v>
      </c>
      <c r="K9" s="1" t="s">
        <v>2580</v>
      </c>
    </row>
    <row r="10" spans="1:11" x14ac:dyDescent="0.35">
      <c r="I10" t="s">
        <v>170</v>
      </c>
      <c r="J10" t="s">
        <v>2569</v>
      </c>
    </row>
    <row r="11" spans="1:11" x14ac:dyDescent="0.35">
      <c r="I11" t="s">
        <v>521</v>
      </c>
      <c r="J11" t="s">
        <v>2569</v>
      </c>
    </row>
    <row r="12" spans="1:11" x14ac:dyDescent="0.35">
      <c r="I12" t="s">
        <v>117</v>
      </c>
      <c r="J12" t="s">
        <v>2570</v>
      </c>
    </row>
    <row r="13" spans="1:11" x14ac:dyDescent="0.35">
      <c r="I13" t="s">
        <v>17</v>
      </c>
      <c r="J13" s="36" t="s">
        <v>2571</v>
      </c>
    </row>
    <row r="14" spans="1:11" x14ac:dyDescent="0.35">
      <c r="I14" s="2" t="s">
        <v>1249</v>
      </c>
      <c r="J14" s="37"/>
    </row>
    <row r="15" spans="1:11" x14ac:dyDescent="0.35">
      <c r="A15" s="33" t="s">
        <v>2572</v>
      </c>
      <c r="B15" t="s">
        <v>3</v>
      </c>
      <c r="C15" t="s">
        <v>25</v>
      </c>
      <c r="D15" t="s">
        <v>159</v>
      </c>
      <c r="E15" s="40" t="s">
        <v>156</v>
      </c>
      <c r="H15" t="s">
        <v>130</v>
      </c>
      <c r="I15" s="1" t="s">
        <v>461</v>
      </c>
      <c r="J15" s="3" t="s">
        <v>2568</v>
      </c>
      <c r="K15" s="1" t="s">
        <v>2580</v>
      </c>
    </row>
    <row r="16" spans="1:11" x14ac:dyDescent="0.35">
      <c r="I16" t="s">
        <v>170</v>
      </c>
      <c r="J16" t="s">
        <v>2567</v>
      </c>
    </row>
    <row r="17" spans="1:11" x14ac:dyDescent="0.35">
      <c r="I17" t="s">
        <v>521</v>
      </c>
      <c r="J17" t="s">
        <v>2573</v>
      </c>
    </row>
    <row r="18" spans="1:11" x14ac:dyDescent="0.35">
      <c r="I18" t="s">
        <v>117</v>
      </c>
      <c r="J18" t="s">
        <v>2574</v>
      </c>
    </row>
    <row r="19" spans="1:11" x14ac:dyDescent="0.35">
      <c r="I19" t="s">
        <v>17</v>
      </c>
      <c r="J19" s="36" t="s">
        <v>2572</v>
      </c>
    </row>
    <row r="20" spans="1:11" x14ac:dyDescent="0.35">
      <c r="I20" s="2" t="s">
        <v>1249</v>
      </c>
      <c r="J20" s="37"/>
    </row>
    <row r="21" spans="1:11" x14ac:dyDescent="0.35">
      <c r="A21" s="33" t="s">
        <v>2577</v>
      </c>
      <c r="B21" s="1" t="s">
        <v>315</v>
      </c>
      <c r="C21" t="s">
        <v>3218</v>
      </c>
      <c r="D21" t="s">
        <v>184</v>
      </c>
      <c r="E21" s="40" t="s">
        <v>2578</v>
      </c>
      <c r="H21" t="s">
        <v>130</v>
      </c>
      <c r="I21" s="1" t="s">
        <v>461</v>
      </c>
      <c r="J21" s="3" t="s">
        <v>2568</v>
      </c>
      <c r="K21" s="1" t="s">
        <v>2580</v>
      </c>
    </row>
    <row r="22" spans="1:11" x14ac:dyDescent="0.35">
      <c r="I22" t="s">
        <v>170</v>
      </c>
      <c r="J22" t="s">
        <v>2567</v>
      </c>
    </row>
    <row r="23" spans="1:11" x14ac:dyDescent="0.35">
      <c r="I23" t="s">
        <v>521</v>
      </c>
      <c r="J23" t="s">
        <v>2579</v>
      </c>
    </row>
    <row r="24" spans="1:11" x14ac:dyDescent="0.35">
      <c r="I24" t="s">
        <v>117</v>
      </c>
      <c r="J24" t="s">
        <v>2575</v>
      </c>
    </row>
    <row r="25" spans="1:11" x14ac:dyDescent="0.35">
      <c r="I25" t="s">
        <v>17</v>
      </c>
      <c r="J25" t="s">
        <v>2576</v>
      </c>
    </row>
    <row r="26" spans="1:11" x14ac:dyDescent="0.35">
      <c r="I26" s="2" t="s">
        <v>1249</v>
      </c>
      <c r="J26" s="36" t="s">
        <v>2577</v>
      </c>
    </row>
    <row r="27" spans="1:11" x14ac:dyDescent="0.35">
      <c r="A27" s="33" t="s">
        <v>3674</v>
      </c>
      <c r="B27" t="s">
        <v>3</v>
      </c>
      <c r="C27" t="s">
        <v>25</v>
      </c>
      <c r="D27" t="s">
        <v>184</v>
      </c>
      <c r="E27" s="34" t="s">
        <v>169</v>
      </c>
      <c r="H27" t="s">
        <v>130</v>
      </c>
      <c r="I27" s="1" t="s">
        <v>461</v>
      </c>
      <c r="J27" s="3" t="s">
        <v>2568</v>
      </c>
      <c r="K27" s="1" t="s">
        <v>2580</v>
      </c>
    </row>
    <row r="28" spans="1:11" x14ac:dyDescent="0.35">
      <c r="I28" t="s">
        <v>170</v>
      </c>
      <c r="J28" t="s">
        <v>2567</v>
      </c>
    </row>
    <row r="29" spans="1:11" x14ac:dyDescent="0.35">
      <c r="I29" t="s">
        <v>521</v>
      </c>
      <c r="J29" t="s">
        <v>2568</v>
      </c>
    </row>
    <row r="30" spans="1:11" x14ac:dyDescent="0.35">
      <c r="I30" t="s">
        <v>117</v>
      </c>
      <c r="J30" t="s">
        <v>3673</v>
      </c>
    </row>
    <row r="31" spans="1:11" x14ac:dyDescent="0.35">
      <c r="I31" t="s">
        <v>17</v>
      </c>
      <c r="J31" s="36" t="s">
        <v>3675</v>
      </c>
    </row>
    <row r="32" spans="1:11" x14ac:dyDescent="0.35">
      <c r="I32" s="2" t="s">
        <v>18</v>
      </c>
    </row>
  </sheetData>
  <autoFilter ref="E1:E26" xr:uid="{ED786B7D-0FF6-4CED-9907-5D28D1842F5B}"/>
  <hyperlinks>
    <hyperlink ref="A1" location="Summary!B47" tooltip="Return to Totals" display="Back to Totals" xr:uid="{F6B2072F-2B1F-496B-A83A-9E129103891A}"/>
    <hyperlink ref="A9" r:id="rId1" display="C K Henderson" xr:uid="{461C6AC1-1BBE-4C6D-BD54-D5CB8B6465B4}"/>
    <hyperlink ref="A21" r:id="rId2" xr:uid="{2D4247F9-83E4-47EF-AE3E-FCF450027058}"/>
    <hyperlink ref="A15" r:id="rId3" xr:uid="{50EB8A94-7473-4E77-854E-8E002746E164}"/>
    <hyperlink ref="J26" r:id="rId4" xr:uid="{9353CE4C-5791-490A-AC3F-344610D21EB1}"/>
    <hyperlink ref="J19" r:id="rId5" xr:uid="{B1A0CA11-9897-4D5F-B1EA-6D1E38991749}"/>
    <hyperlink ref="J13" r:id="rId6" xr:uid="{C9032EB3-0229-4E3B-955C-497296B3B1B8}"/>
    <hyperlink ref="A3" r:id="rId7" xr:uid="{84C0B872-E175-468D-A089-19F47121CF73}"/>
    <hyperlink ref="J7" r:id="rId8" xr:uid="{FED1338C-AA72-4317-B937-4117CCB72397}"/>
    <hyperlink ref="E3" r:id="rId9" xr:uid="{E55118C3-2116-484E-A2F7-C73ED9B8882A}"/>
    <hyperlink ref="E21" r:id="rId10" xr:uid="{07F7BADE-9884-4ED0-99C8-0D1D36117903}"/>
    <hyperlink ref="E15" r:id="rId11" xr:uid="{E0C7DD6D-1490-4267-AE67-0F5AADAC1B91}"/>
    <hyperlink ref="E9" r:id="rId12" xr:uid="{F2020020-81A7-493D-B917-ABD55669D995}"/>
    <hyperlink ref="A27" r:id="rId13" xr:uid="{CA34AAB4-1BC5-4F9F-B471-E08178F3965B}"/>
    <hyperlink ref="E27" r:id="rId14" xr:uid="{5C6A4346-E55D-48E9-AEB4-A50488FACE47}"/>
    <hyperlink ref="J31" r:id="rId15" display="KNIGHTA50" xr:uid="{233059A3-6164-4FCF-AAAC-1102ED1AA251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BEAF5-E480-412A-B139-94E2DA90B510}">
  <sheetPr>
    <tabColor rgb="FF00B0F0"/>
  </sheetPr>
  <dimension ref="A1:K59"/>
  <sheetViews>
    <sheetView workbookViewId="0"/>
  </sheetViews>
  <sheetFormatPr defaultRowHeight="14.5" x14ac:dyDescent="0.35"/>
  <cols>
    <col min="1" max="1" width="16" customWidth="1"/>
    <col min="2" max="2" width="12.81640625" customWidth="1"/>
    <col min="3" max="3" width="21.81640625" customWidth="1"/>
    <col min="4" max="4" width="21.08984375" customWidth="1"/>
    <col min="5" max="5" width="11.81640625" customWidth="1"/>
    <col min="6" max="6" width="20.81640625" customWidth="1"/>
    <col min="7" max="7" width="22.90625" customWidth="1"/>
    <col min="8" max="8" width="16" customWidth="1"/>
    <col min="9" max="9" width="20.26953125" customWidth="1"/>
    <col min="10" max="10" width="25.7265625" customWidth="1"/>
    <col min="11" max="11" width="27.81640625" customWidth="1"/>
  </cols>
  <sheetData>
    <row r="1" spans="1:11" x14ac:dyDescent="0.35">
      <c r="A1" s="34" t="s">
        <v>3196</v>
      </c>
      <c r="B1" s="16">
        <f>COUNTIF(I2:I1085,C1)+COUNTIF(I2:I1085,D1)</f>
        <v>7</v>
      </c>
      <c r="C1" s="9" t="s">
        <v>18</v>
      </c>
      <c r="D1" s="17" t="s">
        <v>1249</v>
      </c>
    </row>
    <row r="2" spans="1:11" s="29" customFormat="1" x14ac:dyDescent="0.35">
      <c r="A2" s="29" t="s">
        <v>0</v>
      </c>
      <c r="B2" s="29" t="s">
        <v>2</v>
      </c>
      <c r="C2" s="29" t="s">
        <v>4</v>
      </c>
      <c r="D2" s="29" t="s">
        <v>3219</v>
      </c>
      <c r="E2" s="29" t="s">
        <v>7</v>
      </c>
      <c r="F2" s="29" t="s">
        <v>10</v>
      </c>
      <c r="G2" s="29" t="s">
        <v>11</v>
      </c>
      <c r="H2" s="29" t="s">
        <v>23</v>
      </c>
      <c r="I2" s="29" t="s">
        <v>15</v>
      </c>
      <c r="J2" s="29" t="s">
        <v>2581</v>
      </c>
      <c r="K2" s="29" t="s">
        <v>2582</v>
      </c>
    </row>
    <row r="3" spans="1:11" x14ac:dyDescent="0.35">
      <c r="A3" s="33" t="s">
        <v>3237</v>
      </c>
      <c r="B3" s="1" t="s">
        <v>315</v>
      </c>
      <c r="E3" s="28" t="s">
        <v>3233</v>
      </c>
      <c r="F3" t="s">
        <v>3220</v>
      </c>
      <c r="G3" t="s">
        <v>3221</v>
      </c>
      <c r="J3" s="3" t="s">
        <v>3222</v>
      </c>
    </row>
    <row r="4" spans="1:11" x14ac:dyDescent="0.35">
      <c r="J4" t="s">
        <v>3223</v>
      </c>
    </row>
    <row r="5" spans="1:11" x14ac:dyDescent="0.35">
      <c r="J5" t="s">
        <v>3224</v>
      </c>
    </row>
    <row r="6" spans="1:11" x14ac:dyDescent="0.35">
      <c r="J6" t="s">
        <v>3225</v>
      </c>
    </row>
    <row r="7" spans="1:11" x14ac:dyDescent="0.35">
      <c r="J7" t="s">
        <v>3226</v>
      </c>
    </row>
    <row r="8" spans="1:11" x14ac:dyDescent="0.35">
      <c r="J8" t="s">
        <v>3227</v>
      </c>
    </row>
    <row r="9" spans="1:11" x14ac:dyDescent="0.35">
      <c r="I9" s="38" t="s">
        <v>1249</v>
      </c>
      <c r="J9" s="36" t="s">
        <v>3228</v>
      </c>
    </row>
    <row r="10" spans="1:11" x14ac:dyDescent="0.35">
      <c r="A10" s="33" t="s">
        <v>3232</v>
      </c>
      <c r="B10" s="1" t="s">
        <v>315</v>
      </c>
      <c r="E10" s="28" t="s">
        <v>3233</v>
      </c>
      <c r="F10" t="s">
        <v>3220</v>
      </c>
      <c r="G10" t="s">
        <v>3221</v>
      </c>
      <c r="J10" s="3" t="s">
        <v>3222</v>
      </c>
    </row>
    <row r="11" spans="1:11" x14ac:dyDescent="0.35">
      <c r="J11" t="s">
        <v>3223</v>
      </c>
    </row>
    <row r="12" spans="1:11" x14ac:dyDescent="0.35">
      <c r="J12" t="s">
        <v>3224</v>
      </c>
    </row>
    <row r="13" spans="1:11" x14ac:dyDescent="0.35">
      <c r="J13" t="s">
        <v>3225</v>
      </c>
    </row>
    <row r="14" spans="1:11" x14ac:dyDescent="0.35">
      <c r="J14" t="s">
        <v>3226</v>
      </c>
    </row>
    <row r="15" spans="1:11" x14ac:dyDescent="0.35">
      <c r="J15" t="s">
        <v>3227</v>
      </c>
    </row>
    <row r="16" spans="1:11" x14ac:dyDescent="0.35">
      <c r="J16" t="s">
        <v>3228</v>
      </c>
    </row>
    <row r="17" spans="1:10" x14ac:dyDescent="0.35">
      <c r="I17" s="38" t="s">
        <v>1249</v>
      </c>
      <c r="J17" s="36" t="s">
        <v>3229</v>
      </c>
    </row>
    <row r="18" spans="1:10" x14ac:dyDescent="0.35">
      <c r="A18" s="33" t="s">
        <v>3230</v>
      </c>
      <c r="B18" s="1" t="s">
        <v>315</v>
      </c>
      <c r="E18" s="28" t="s">
        <v>3231</v>
      </c>
      <c r="F18" t="s">
        <v>3220</v>
      </c>
      <c r="G18" t="s">
        <v>3221</v>
      </c>
      <c r="J18" s="3" t="s">
        <v>3222</v>
      </c>
    </row>
    <row r="19" spans="1:10" x14ac:dyDescent="0.35">
      <c r="J19" t="s">
        <v>3223</v>
      </c>
    </row>
    <row r="20" spans="1:10" x14ac:dyDescent="0.35">
      <c r="J20" t="s">
        <v>3224</v>
      </c>
    </row>
    <row r="21" spans="1:10" x14ac:dyDescent="0.35">
      <c r="J21" t="s">
        <v>3225</v>
      </c>
    </row>
    <row r="22" spans="1:10" x14ac:dyDescent="0.35">
      <c r="J22" t="s">
        <v>3226</v>
      </c>
    </row>
    <row r="23" spans="1:10" x14ac:dyDescent="0.35">
      <c r="J23" t="s">
        <v>3227</v>
      </c>
    </row>
    <row r="24" spans="1:10" x14ac:dyDescent="0.35">
      <c r="J24" t="s">
        <v>3228</v>
      </c>
    </row>
    <row r="25" spans="1:10" x14ac:dyDescent="0.35">
      <c r="J25" t="s">
        <v>3229</v>
      </c>
    </row>
    <row r="26" spans="1:10" x14ac:dyDescent="0.35">
      <c r="I26" s="38" t="s">
        <v>1249</v>
      </c>
      <c r="J26" s="36" t="s">
        <v>3230</v>
      </c>
    </row>
    <row r="27" spans="1:10" x14ac:dyDescent="0.35">
      <c r="A27" s="33" t="s">
        <v>3234</v>
      </c>
      <c r="E27" s="28" t="s">
        <v>3236</v>
      </c>
      <c r="F27" t="s">
        <v>3220</v>
      </c>
      <c r="G27" t="s">
        <v>3221</v>
      </c>
      <c r="J27" s="3" t="s">
        <v>3222</v>
      </c>
    </row>
    <row r="28" spans="1:10" x14ac:dyDescent="0.35">
      <c r="J28" t="s">
        <v>3223</v>
      </c>
    </row>
    <row r="29" spans="1:10" x14ac:dyDescent="0.35">
      <c r="J29" t="s">
        <v>3224</v>
      </c>
    </row>
    <row r="30" spans="1:10" x14ac:dyDescent="0.35">
      <c r="J30" t="s">
        <v>3225</v>
      </c>
    </row>
    <row r="31" spans="1:10" x14ac:dyDescent="0.35">
      <c r="J31" t="s">
        <v>3226</v>
      </c>
    </row>
    <row r="32" spans="1:10" x14ac:dyDescent="0.35">
      <c r="J32" t="s">
        <v>3227</v>
      </c>
    </row>
    <row r="33" spans="1:10" x14ac:dyDescent="0.35">
      <c r="J33" t="s">
        <v>3228</v>
      </c>
    </row>
    <row r="34" spans="1:10" x14ac:dyDescent="0.35">
      <c r="J34" t="s">
        <v>3229</v>
      </c>
    </row>
    <row r="35" spans="1:10" x14ac:dyDescent="0.35">
      <c r="I35" s="38" t="s">
        <v>1249</v>
      </c>
      <c r="J35" s="36" t="s">
        <v>3234</v>
      </c>
    </row>
    <row r="36" spans="1:10" x14ac:dyDescent="0.35">
      <c r="A36" s="33" t="s">
        <v>3235</v>
      </c>
      <c r="E36" s="28" t="s">
        <v>3236</v>
      </c>
      <c r="F36" t="s">
        <v>3220</v>
      </c>
      <c r="G36" t="s">
        <v>3221</v>
      </c>
      <c r="J36" s="3" t="s">
        <v>3222</v>
      </c>
    </row>
    <row r="37" spans="1:10" x14ac:dyDescent="0.35">
      <c r="J37" t="s">
        <v>3223</v>
      </c>
    </row>
    <row r="38" spans="1:10" x14ac:dyDescent="0.35">
      <c r="J38" t="s">
        <v>3224</v>
      </c>
    </row>
    <row r="39" spans="1:10" x14ac:dyDescent="0.35">
      <c r="J39" t="s">
        <v>3225</v>
      </c>
    </row>
    <row r="40" spans="1:10" x14ac:dyDescent="0.35">
      <c r="J40" t="s">
        <v>3226</v>
      </c>
    </row>
    <row r="41" spans="1:10" x14ac:dyDescent="0.35">
      <c r="J41" t="s">
        <v>3227</v>
      </c>
    </row>
    <row r="42" spans="1:10" x14ac:dyDescent="0.35">
      <c r="J42" t="s">
        <v>3228</v>
      </c>
    </row>
    <row r="43" spans="1:10" x14ac:dyDescent="0.35">
      <c r="J43" t="s">
        <v>3229</v>
      </c>
    </row>
    <row r="44" spans="1:10" x14ac:dyDescent="0.35">
      <c r="I44" s="38" t="s">
        <v>1249</v>
      </c>
      <c r="J44" s="36" t="s">
        <v>3235</v>
      </c>
    </row>
    <row r="45" spans="1:10" x14ac:dyDescent="0.35">
      <c r="A45" s="33" t="s">
        <v>3238</v>
      </c>
      <c r="E45" s="28" t="s">
        <v>3239</v>
      </c>
      <c r="F45" t="s">
        <v>3220</v>
      </c>
      <c r="G45" t="s">
        <v>3221</v>
      </c>
      <c r="J45" s="3" t="s">
        <v>3222</v>
      </c>
    </row>
    <row r="46" spans="1:10" x14ac:dyDescent="0.35">
      <c r="J46" t="s">
        <v>3223</v>
      </c>
    </row>
    <row r="47" spans="1:10" x14ac:dyDescent="0.35">
      <c r="J47" t="s">
        <v>3224</v>
      </c>
    </row>
    <row r="48" spans="1:10" x14ac:dyDescent="0.35">
      <c r="J48" t="s">
        <v>3225</v>
      </c>
    </row>
    <row r="49" spans="1:10" x14ac:dyDescent="0.35">
      <c r="J49" t="s">
        <v>3240</v>
      </c>
    </row>
    <row r="50" spans="1:10" x14ac:dyDescent="0.35">
      <c r="J50" t="s">
        <v>3241</v>
      </c>
    </row>
    <row r="51" spans="1:10" x14ac:dyDescent="0.35">
      <c r="I51" s="38" t="s">
        <v>1249</v>
      </c>
      <c r="J51" s="36" t="s">
        <v>3242</v>
      </c>
    </row>
    <row r="52" spans="1:10" x14ac:dyDescent="0.35">
      <c r="A52" s="33" t="s">
        <v>3243</v>
      </c>
      <c r="E52" s="28" t="s">
        <v>614</v>
      </c>
      <c r="F52" t="s">
        <v>3220</v>
      </c>
      <c r="G52" t="s">
        <v>3221</v>
      </c>
      <c r="J52" s="3" t="s">
        <v>3222</v>
      </c>
    </row>
    <row r="53" spans="1:10" x14ac:dyDescent="0.35">
      <c r="J53" t="s">
        <v>3223</v>
      </c>
    </row>
    <row r="54" spans="1:10" x14ac:dyDescent="0.35">
      <c r="J54" t="s">
        <v>3224</v>
      </c>
    </row>
    <row r="55" spans="1:10" x14ac:dyDescent="0.35">
      <c r="J55" t="s">
        <v>3225</v>
      </c>
    </row>
    <row r="56" spans="1:10" x14ac:dyDescent="0.35">
      <c r="J56" t="s">
        <v>3240</v>
      </c>
    </row>
    <row r="57" spans="1:10" x14ac:dyDescent="0.35">
      <c r="J57" t="s">
        <v>3241</v>
      </c>
    </row>
    <row r="58" spans="1:10" x14ac:dyDescent="0.35">
      <c r="J58" t="s">
        <v>3242</v>
      </c>
    </row>
    <row r="59" spans="1:10" x14ac:dyDescent="0.35">
      <c r="I59" s="38" t="s">
        <v>1249</v>
      </c>
      <c r="J59" s="36" t="s">
        <v>3243</v>
      </c>
    </row>
  </sheetData>
  <hyperlinks>
    <hyperlink ref="A1" location="Summary!B47" tooltip="Return to Totals" display="Back to Totals" xr:uid="{09C25E3B-6895-4C48-9FBC-F6C69333FB80}"/>
    <hyperlink ref="J26" r:id="rId1" xr:uid="{B1F1BFDE-8173-4F47-931A-C2C05A891E46}"/>
    <hyperlink ref="A18" r:id="rId2" xr:uid="{F8B29673-7E83-4420-BE06-332212C14BC8}"/>
    <hyperlink ref="A10" r:id="rId3" xr:uid="{76DE6D20-C0AE-403F-9EAA-097889B0CB35}"/>
    <hyperlink ref="J17" r:id="rId4" xr:uid="{A1C65B6E-4698-4FD7-B874-87AD3BFA4D58}"/>
    <hyperlink ref="A27" r:id="rId5" xr:uid="{13248111-2C25-4203-89AE-FEEB7626BAB1}"/>
    <hyperlink ref="J35" r:id="rId6" xr:uid="{92DFB7BD-C673-4D6B-B25D-FD930D2830D7}"/>
    <hyperlink ref="A36" r:id="rId7" xr:uid="{6AFEA985-83CE-4115-A926-D43257C9478C}"/>
    <hyperlink ref="J44" r:id="rId8" xr:uid="{96A9D783-00A8-488B-BCBB-D93516A990E1}"/>
    <hyperlink ref="A3" r:id="rId9" display="Colleen O'Neill" xr:uid="{DA666A15-CEDC-49FC-A640-879767E2C213}"/>
    <hyperlink ref="J9" r:id="rId10" xr:uid="{1ADDF965-AD79-4996-B6F4-9290D6138DA3}"/>
    <hyperlink ref="A45" r:id="rId11" xr:uid="{AA1AF8CF-22E1-4242-A333-D485DC657493}"/>
    <hyperlink ref="J51" r:id="rId12" xr:uid="{3773E9AD-1F10-4DCA-8BCD-42E0CC1F2C8D}"/>
    <hyperlink ref="A52" r:id="rId13" display="Norma Woods" xr:uid="{7999463A-6DC4-4649-959A-0C87F07B3448}"/>
    <hyperlink ref="J59" r:id="rId14" xr:uid="{033DE5D0-C77F-4295-9395-397F7CBCD0E8}"/>
    <hyperlink ref="I9" r:id="rId15" xr:uid="{DE569F7A-A362-4154-B418-09A9F9DC17AC}"/>
    <hyperlink ref="I17" r:id="rId16" xr:uid="{929C2A9E-F781-48C1-B01F-32854325C3A6}"/>
    <hyperlink ref="I26" r:id="rId17" xr:uid="{F153E318-64D2-43D4-AB50-A9C8FE9DE4C4}"/>
    <hyperlink ref="I35" r:id="rId18" xr:uid="{4A84DC76-4E5C-462D-98BA-CB561AD8E5DF}"/>
    <hyperlink ref="I44" r:id="rId19" xr:uid="{FC5DE8B3-A8A3-4A86-A8D3-054E101C0D10}"/>
    <hyperlink ref="I51" r:id="rId20" xr:uid="{FE8958D9-5A42-4C72-8452-B7BA38958FF5}"/>
    <hyperlink ref="I59" r:id="rId21" xr:uid="{9C2FA51C-5663-40F1-9978-7340D49B1086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AABBA-A046-4F29-B82F-C7DBD7954BDA}">
  <sheetPr>
    <tabColor rgb="FFFFC000"/>
  </sheetPr>
  <dimension ref="A1:K27"/>
  <sheetViews>
    <sheetView workbookViewId="0">
      <selection sqref="A1:XFD2"/>
    </sheetView>
  </sheetViews>
  <sheetFormatPr defaultRowHeight="14.5" x14ac:dyDescent="0.35"/>
  <cols>
    <col min="1" max="1" width="13.1796875" customWidth="1"/>
    <col min="2" max="2" width="12.08984375" customWidth="1"/>
    <col min="3" max="3" width="19.81640625" customWidth="1"/>
    <col min="4" max="4" width="18.1796875" customWidth="1"/>
    <col min="5" max="5" width="11.36328125" customWidth="1"/>
    <col min="6" max="6" width="21.54296875" customWidth="1"/>
    <col min="7" max="7" width="24.1796875" customWidth="1"/>
    <col min="8" max="8" width="22.26953125" customWidth="1"/>
    <col min="9" max="9" width="20.90625" customWidth="1"/>
    <col min="10" max="11" width="22.81640625" customWidth="1"/>
  </cols>
  <sheetData>
    <row r="1" spans="1:11" x14ac:dyDescent="0.35">
      <c r="A1" s="34" t="s">
        <v>3196</v>
      </c>
      <c r="B1" s="16">
        <f>COUNTIF(I2:I1085,C1)+COUNTIF(I2:I1085,D1)</f>
        <v>0</v>
      </c>
      <c r="C1" s="9" t="s">
        <v>18</v>
      </c>
      <c r="D1" s="17" t="s">
        <v>1249</v>
      </c>
    </row>
    <row r="2" spans="1:11" s="29" customFormat="1" x14ac:dyDescent="0.35">
      <c r="A2" s="29" t="s">
        <v>0</v>
      </c>
      <c r="B2" s="29" t="s">
        <v>2</v>
      </c>
      <c r="C2" s="29" t="s">
        <v>4</v>
      </c>
      <c r="D2" s="29" t="s">
        <v>3219</v>
      </c>
      <c r="E2" s="29" t="s">
        <v>7</v>
      </c>
      <c r="F2" s="29" t="s">
        <v>10</v>
      </c>
      <c r="G2" s="29" t="s">
        <v>11</v>
      </c>
      <c r="H2" s="29" t="s">
        <v>23</v>
      </c>
      <c r="I2" s="29" t="s">
        <v>15</v>
      </c>
      <c r="J2" s="29" t="s">
        <v>2581</v>
      </c>
      <c r="K2" s="29" t="s">
        <v>2582</v>
      </c>
    </row>
    <row r="3" spans="1:11" x14ac:dyDescent="0.35">
      <c r="A3" s="33" t="s">
        <v>3355</v>
      </c>
      <c r="B3" t="s">
        <v>3</v>
      </c>
      <c r="C3" t="s">
        <v>25</v>
      </c>
      <c r="E3" s="15" t="s">
        <v>363</v>
      </c>
      <c r="F3" s="33" t="s">
        <v>3348</v>
      </c>
      <c r="G3" s="33" t="s">
        <v>3349</v>
      </c>
      <c r="J3" s="3" t="s">
        <v>3350</v>
      </c>
    </row>
    <row r="4" spans="1:11" x14ac:dyDescent="0.35">
      <c r="A4" s="33" t="s">
        <v>3355</v>
      </c>
      <c r="B4" s="2" t="s">
        <v>517</v>
      </c>
      <c r="E4" s="15" t="s">
        <v>560</v>
      </c>
      <c r="J4" t="s">
        <v>3351</v>
      </c>
    </row>
    <row r="5" spans="1:11" x14ac:dyDescent="0.35">
      <c r="A5" s="33" t="s">
        <v>3355</v>
      </c>
      <c r="B5" s="1" t="s">
        <v>315</v>
      </c>
      <c r="E5" s="15" t="s">
        <v>3360</v>
      </c>
      <c r="J5" t="s">
        <v>3352</v>
      </c>
    </row>
    <row r="6" spans="1:11" x14ac:dyDescent="0.35">
      <c r="J6" s="36" t="s">
        <v>3353</v>
      </c>
    </row>
    <row r="7" spans="1:11" x14ac:dyDescent="0.35">
      <c r="A7" s="33" t="s">
        <v>3354</v>
      </c>
      <c r="B7" s="1" t="s">
        <v>315</v>
      </c>
      <c r="E7" s="15" t="s">
        <v>1238</v>
      </c>
      <c r="F7" s="33" t="s">
        <v>3348</v>
      </c>
      <c r="G7" s="33" t="s">
        <v>3349</v>
      </c>
      <c r="J7" s="3" t="s">
        <v>3356</v>
      </c>
    </row>
    <row r="8" spans="1:11" x14ac:dyDescent="0.35">
      <c r="A8" s="33" t="s">
        <v>3367</v>
      </c>
      <c r="B8" s="2" t="s">
        <v>517</v>
      </c>
      <c r="E8" s="15" t="s">
        <v>1238</v>
      </c>
      <c r="J8" t="s">
        <v>3357</v>
      </c>
    </row>
    <row r="9" spans="1:11" x14ac:dyDescent="0.35">
      <c r="J9" t="s">
        <v>3358</v>
      </c>
    </row>
    <row r="10" spans="1:11" x14ac:dyDescent="0.35">
      <c r="J10" t="s">
        <v>3359</v>
      </c>
    </row>
    <row r="11" spans="1:11" x14ac:dyDescent="0.35">
      <c r="J11" s="36" t="s">
        <v>3354</v>
      </c>
    </row>
    <row r="12" spans="1:11" x14ac:dyDescent="0.35">
      <c r="A12" s="33" t="s">
        <v>3365</v>
      </c>
      <c r="B12" t="s">
        <v>3</v>
      </c>
      <c r="E12" s="15" t="s">
        <v>189</v>
      </c>
      <c r="F12" s="33" t="s">
        <v>3348</v>
      </c>
      <c r="G12" s="33" t="s">
        <v>3349</v>
      </c>
      <c r="J12" s="3" t="s">
        <v>3356</v>
      </c>
    </row>
    <row r="13" spans="1:11" x14ac:dyDescent="0.35">
      <c r="J13" t="s">
        <v>3357</v>
      </c>
    </row>
    <row r="14" spans="1:11" x14ac:dyDescent="0.35">
      <c r="J14" t="s">
        <v>3358</v>
      </c>
    </row>
    <row r="15" spans="1:11" x14ac:dyDescent="0.35">
      <c r="J15" t="s">
        <v>3359</v>
      </c>
    </row>
    <row r="16" spans="1:11" x14ac:dyDescent="0.35">
      <c r="J16" s="36" t="s">
        <v>3366</v>
      </c>
    </row>
    <row r="17" spans="1:10" x14ac:dyDescent="0.35">
      <c r="A17" s="33" t="s">
        <v>3361</v>
      </c>
      <c r="B17" s="1" t="s">
        <v>315</v>
      </c>
      <c r="E17" s="15" t="s">
        <v>3362</v>
      </c>
      <c r="F17" s="33" t="s">
        <v>3348</v>
      </c>
      <c r="G17" s="33" t="s">
        <v>3349</v>
      </c>
      <c r="J17" s="3" t="s">
        <v>3356</v>
      </c>
    </row>
    <row r="18" spans="1:10" x14ac:dyDescent="0.35">
      <c r="J18" t="s">
        <v>3357</v>
      </c>
    </row>
    <row r="19" spans="1:10" x14ac:dyDescent="0.35">
      <c r="J19" t="s">
        <v>3358</v>
      </c>
    </row>
    <row r="20" spans="1:10" x14ac:dyDescent="0.35">
      <c r="J20" t="s">
        <v>3363</v>
      </c>
    </row>
    <row r="21" spans="1:10" x14ac:dyDescent="0.35">
      <c r="J21" s="36" t="s">
        <v>3364</v>
      </c>
    </row>
    <row r="22" spans="1:10" x14ac:dyDescent="0.35">
      <c r="A22" s="33" t="s">
        <v>3368</v>
      </c>
      <c r="B22" t="s">
        <v>3</v>
      </c>
      <c r="E22" s="15" t="s">
        <v>189</v>
      </c>
      <c r="F22" s="33" t="s">
        <v>3348</v>
      </c>
      <c r="G22" s="33" t="s">
        <v>3349</v>
      </c>
      <c r="J22" s="3" t="s">
        <v>3356</v>
      </c>
    </row>
    <row r="23" spans="1:10" x14ac:dyDescent="0.35">
      <c r="E23" s="17" t="s">
        <v>145</v>
      </c>
      <c r="J23" t="s">
        <v>3357</v>
      </c>
    </row>
    <row r="24" spans="1:10" x14ac:dyDescent="0.35">
      <c r="J24" t="s">
        <v>3358</v>
      </c>
    </row>
    <row r="25" spans="1:10" x14ac:dyDescent="0.35">
      <c r="J25" t="s">
        <v>3369</v>
      </c>
    </row>
    <row r="26" spans="1:10" x14ac:dyDescent="0.35">
      <c r="J26" t="s">
        <v>3370</v>
      </c>
    </row>
    <row r="27" spans="1:10" x14ac:dyDescent="0.35">
      <c r="J27" s="36" t="s">
        <v>3368</v>
      </c>
    </row>
  </sheetData>
  <hyperlinks>
    <hyperlink ref="A1" location="Summary!B47" tooltip="Return to Totals" display="Back to Totals" xr:uid="{C34BA7E0-A78B-4805-9987-B0846F5C7F88}"/>
    <hyperlink ref="A3" r:id="rId1" display="Colleen O'Neill" xr:uid="{59DC16E4-A735-438F-8611-102F83B628A3}"/>
    <hyperlink ref="F3" r:id="rId2" xr:uid="{1B043D15-7259-4E21-BA34-342BB06CF158}"/>
    <hyperlink ref="F7" r:id="rId3" xr:uid="{80090B7F-98CD-4991-B7EA-C237B93CEC62}"/>
    <hyperlink ref="G3" r:id="rId4" xr:uid="{06F10233-2D62-4653-817C-11AB6A89BABA}"/>
    <hyperlink ref="G7" r:id="rId5" xr:uid="{303A569C-6FFB-4447-8B3C-997B282B5422}"/>
    <hyperlink ref="A7" r:id="rId6" xr:uid="{9AF5217D-1B0A-4A58-88A5-5F478E226224}"/>
    <hyperlink ref="J11" r:id="rId7" xr:uid="{93CF7534-F727-4882-8A0A-E53E92E9F867}"/>
    <hyperlink ref="J6" r:id="rId8" xr:uid="{6DD920BD-2DF0-4921-97FB-404726C9C989}"/>
    <hyperlink ref="F12" r:id="rId9" xr:uid="{3DE625D8-E9DB-4900-9042-82A1E2CA5609}"/>
    <hyperlink ref="G12" r:id="rId10" xr:uid="{C9BC97AA-8C3D-4306-9E37-9CF9208EA505}"/>
    <hyperlink ref="A12" r:id="rId11" xr:uid="{D12A917D-5169-40B3-9B99-A8F1F9953FAD}"/>
    <hyperlink ref="J16" r:id="rId12" display="Arthur White" xr:uid="{07C2DDD8-D33B-4532-A1EF-7ECA8BBDC484}"/>
    <hyperlink ref="A4" r:id="rId13" xr:uid="{42A9474F-6B84-454D-8B58-79F4F6F493A2}"/>
    <hyperlink ref="A5" r:id="rId14" xr:uid="{CDB052D9-9C0C-4F14-8332-5BF1FEFBDEB1}"/>
    <hyperlink ref="F17" r:id="rId15" xr:uid="{09051BCE-F3E0-4332-95C6-BBBC139FDCDF}"/>
    <hyperlink ref="J21" r:id="rId16" xr:uid="{64092FC0-F420-41E8-AC5A-C83BEED90387}"/>
    <hyperlink ref="A17" r:id="rId17" xr:uid="{E55CAF1D-88F9-4E5B-8F43-96B52233B5D7}"/>
    <hyperlink ref="A8" r:id="rId18" xr:uid="{FF95824B-43F4-45C7-A8C1-1A6F290AB74F}"/>
    <hyperlink ref="A22" r:id="rId19" xr:uid="{02FFD4FE-7894-424C-9019-DE7C56AD5B13}"/>
    <hyperlink ref="F22" r:id="rId20" xr:uid="{DF2D3435-41FD-4A94-BB34-036B50FF1E0E}"/>
    <hyperlink ref="G17" r:id="rId21" xr:uid="{2C99F459-3B0E-4DA3-8BAB-98B478DBDE2B}"/>
    <hyperlink ref="G22" r:id="rId22" xr:uid="{49465EE2-9B28-434C-86AD-E45B1D7024DA}"/>
    <hyperlink ref="J27" r:id="rId23" xr:uid="{39859C61-0F49-4B1C-9D5C-036BDD9D2BFF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C32B5-08F3-4AB8-80C0-6202498DF8D2}">
  <sheetPr>
    <tabColor rgb="FF7030A0"/>
  </sheetPr>
  <dimension ref="A1:K222"/>
  <sheetViews>
    <sheetView topLeftCell="A208" workbookViewId="0">
      <selection activeCell="D218" sqref="D218"/>
    </sheetView>
  </sheetViews>
  <sheetFormatPr defaultRowHeight="14.5" x14ac:dyDescent="0.35"/>
  <cols>
    <col min="1" max="1" width="24.81640625" customWidth="1"/>
    <col min="3" max="3" width="19.453125" customWidth="1"/>
    <col min="4" max="4" width="19.1796875" customWidth="1"/>
    <col min="5" max="5" width="10.36328125" customWidth="1"/>
    <col min="6" max="6" width="8.08984375" customWidth="1"/>
    <col min="7" max="7" width="5" customWidth="1"/>
    <col min="8" max="8" width="22.26953125" customWidth="1"/>
    <col min="9" max="9" width="22.1796875" customWidth="1"/>
    <col min="10" max="10" width="22" customWidth="1"/>
    <col min="11" max="11" width="23.08984375" customWidth="1"/>
  </cols>
  <sheetData>
    <row r="1" spans="1:11" x14ac:dyDescent="0.35">
      <c r="A1" s="34" t="s">
        <v>3196</v>
      </c>
      <c r="B1" s="16">
        <f>COUNTIF(I2:I1202,C1)+COUNTIF(I2:I1202,D1)</f>
        <v>34</v>
      </c>
      <c r="C1" s="9" t="s">
        <v>18</v>
      </c>
      <c r="D1" s="17" t="s">
        <v>1249</v>
      </c>
    </row>
    <row r="2" spans="1:11" s="29" customFormat="1" x14ac:dyDescent="0.35">
      <c r="A2" s="29" t="s">
        <v>0</v>
      </c>
      <c r="B2" s="29" t="s">
        <v>2</v>
      </c>
      <c r="C2" s="29" t="s">
        <v>4</v>
      </c>
      <c r="D2" s="29" t="s">
        <v>3219</v>
      </c>
      <c r="E2" s="29" t="s">
        <v>7</v>
      </c>
      <c r="F2" s="29" t="s">
        <v>10</v>
      </c>
      <c r="G2" s="29" t="s">
        <v>11</v>
      </c>
      <c r="H2" s="29" t="s">
        <v>23</v>
      </c>
      <c r="I2" s="29" t="s">
        <v>15</v>
      </c>
      <c r="J2" s="29" t="s">
        <v>2581</v>
      </c>
      <c r="K2" s="29" t="s">
        <v>2582</v>
      </c>
    </row>
    <row r="3" spans="1:11" x14ac:dyDescent="0.35">
      <c r="A3" s="33" t="s">
        <v>3981</v>
      </c>
      <c r="B3" t="s">
        <v>3</v>
      </c>
      <c r="C3" t="s">
        <v>43</v>
      </c>
      <c r="D3" t="s">
        <v>184</v>
      </c>
      <c r="E3" s="34" t="s">
        <v>363</v>
      </c>
      <c r="H3" t="s">
        <v>130</v>
      </c>
      <c r="J3" s="3" t="s">
        <v>3982</v>
      </c>
    </row>
    <row r="4" spans="1:11" x14ac:dyDescent="0.35">
      <c r="I4" t="s">
        <v>111</v>
      </c>
      <c r="J4" t="s">
        <v>3983</v>
      </c>
    </row>
    <row r="5" spans="1:11" x14ac:dyDescent="0.35">
      <c r="I5" t="s">
        <v>116</v>
      </c>
      <c r="J5" t="s">
        <v>3984</v>
      </c>
    </row>
    <row r="6" spans="1:11" x14ac:dyDescent="0.35">
      <c r="I6" t="s">
        <v>117</v>
      </c>
      <c r="J6" t="s">
        <v>3985</v>
      </c>
    </row>
    <row r="7" spans="1:11" x14ac:dyDescent="0.35">
      <c r="I7" t="s">
        <v>17</v>
      </c>
      <c r="J7" t="s">
        <v>3986</v>
      </c>
    </row>
    <row r="8" spans="1:11" x14ac:dyDescent="0.35">
      <c r="I8" s="38" t="s">
        <v>18</v>
      </c>
      <c r="J8" s="36" t="s">
        <v>3987</v>
      </c>
    </row>
    <row r="9" spans="1:11" x14ac:dyDescent="0.35">
      <c r="A9" s="33" t="s">
        <v>3988</v>
      </c>
      <c r="B9" t="s">
        <v>3</v>
      </c>
      <c r="C9" t="s">
        <v>43</v>
      </c>
      <c r="D9" t="s">
        <v>184</v>
      </c>
      <c r="E9" s="34" t="s">
        <v>363</v>
      </c>
      <c r="H9" t="s">
        <v>130</v>
      </c>
      <c r="J9" s="3" t="s">
        <v>3982</v>
      </c>
    </row>
    <row r="10" spans="1:11" x14ac:dyDescent="0.35">
      <c r="I10" t="s">
        <v>111</v>
      </c>
      <c r="J10" t="s">
        <v>3983</v>
      </c>
    </row>
    <row r="11" spans="1:11" x14ac:dyDescent="0.35">
      <c r="I11" t="s">
        <v>116</v>
      </c>
      <c r="J11" t="s">
        <v>3984</v>
      </c>
    </row>
    <row r="12" spans="1:11" x14ac:dyDescent="0.35">
      <c r="I12" t="s">
        <v>117</v>
      </c>
      <c r="J12" t="s">
        <v>3985</v>
      </c>
    </row>
    <row r="13" spans="1:11" x14ac:dyDescent="0.35">
      <c r="I13" t="s">
        <v>17</v>
      </c>
      <c r="J13" t="s">
        <v>3986</v>
      </c>
    </row>
    <row r="14" spans="1:11" x14ac:dyDescent="0.35">
      <c r="I14" s="38" t="s">
        <v>18</v>
      </c>
      <c r="J14" s="36" t="s">
        <v>3989</v>
      </c>
    </row>
    <row r="15" spans="1:11" x14ac:dyDescent="0.35">
      <c r="A15" s="33" t="s">
        <v>4055</v>
      </c>
      <c r="B15" t="s">
        <v>3</v>
      </c>
      <c r="C15" t="s">
        <v>43</v>
      </c>
      <c r="D15" t="s">
        <v>184</v>
      </c>
      <c r="E15" s="34" t="s">
        <v>327</v>
      </c>
      <c r="H15" t="s">
        <v>130</v>
      </c>
      <c r="J15" s="3" t="s">
        <v>3982</v>
      </c>
    </row>
    <row r="16" spans="1:11" x14ac:dyDescent="0.35">
      <c r="I16" t="s">
        <v>111</v>
      </c>
      <c r="J16" t="s">
        <v>3983</v>
      </c>
    </row>
    <row r="17" spans="1:10" x14ac:dyDescent="0.35">
      <c r="I17" t="s">
        <v>116</v>
      </c>
      <c r="J17" t="s">
        <v>4010</v>
      </c>
    </row>
    <row r="18" spans="1:10" x14ac:dyDescent="0.35">
      <c r="I18" t="s">
        <v>117</v>
      </c>
      <c r="J18" t="s">
        <v>4056</v>
      </c>
    </row>
    <row r="19" spans="1:10" x14ac:dyDescent="0.35">
      <c r="I19" t="s">
        <v>17</v>
      </c>
      <c r="J19" t="s">
        <v>4057</v>
      </c>
    </row>
    <row r="20" spans="1:10" x14ac:dyDescent="0.35">
      <c r="I20" s="38" t="s">
        <v>18</v>
      </c>
      <c r="J20" s="36" t="s">
        <v>4058</v>
      </c>
    </row>
    <row r="21" spans="1:10" x14ac:dyDescent="0.35">
      <c r="A21" s="33" t="s">
        <v>4066</v>
      </c>
      <c r="B21" t="s">
        <v>3</v>
      </c>
      <c r="C21" t="s">
        <v>43</v>
      </c>
      <c r="D21" t="s">
        <v>184</v>
      </c>
      <c r="E21" s="34" t="s">
        <v>327</v>
      </c>
      <c r="H21" t="s">
        <v>130</v>
      </c>
      <c r="J21" s="3" t="s">
        <v>3982</v>
      </c>
    </row>
    <row r="22" spans="1:10" x14ac:dyDescent="0.35">
      <c r="I22" t="s">
        <v>111</v>
      </c>
      <c r="J22" t="s">
        <v>3983</v>
      </c>
    </row>
    <row r="23" spans="1:10" x14ac:dyDescent="0.35">
      <c r="I23" t="s">
        <v>116</v>
      </c>
      <c r="J23" t="s">
        <v>4016</v>
      </c>
    </row>
    <row r="24" spans="1:10" x14ac:dyDescent="0.35">
      <c r="I24" t="s">
        <v>117</v>
      </c>
      <c r="J24" t="s">
        <v>4067</v>
      </c>
    </row>
    <row r="25" spans="1:10" x14ac:dyDescent="0.35">
      <c r="I25" t="s">
        <v>17</v>
      </c>
      <c r="J25" t="s">
        <v>4068</v>
      </c>
    </row>
    <row r="26" spans="1:10" x14ac:dyDescent="0.35">
      <c r="I26" s="38" t="s">
        <v>18</v>
      </c>
      <c r="J26" s="36" t="s">
        <v>4069</v>
      </c>
    </row>
    <row r="27" spans="1:10" x14ac:dyDescent="0.35">
      <c r="A27" s="33" t="s">
        <v>3990</v>
      </c>
      <c r="B27" t="s">
        <v>3</v>
      </c>
      <c r="C27" t="s">
        <v>43</v>
      </c>
      <c r="D27" t="s">
        <v>184</v>
      </c>
      <c r="E27" s="34" t="s">
        <v>161</v>
      </c>
      <c r="H27" t="s">
        <v>130</v>
      </c>
      <c r="J27" s="3" t="s">
        <v>3982</v>
      </c>
    </row>
    <row r="28" spans="1:10" x14ac:dyDescent="0.35">
      <c r="I28" t="s">
        <v>111</v>
      </c>
      <c r="J28" t="s">
        <v>3983</v>
      </c>
    </row>
    <row r="29" spans="1:10" x14ac:dyDescent="0.35">
      <c r="I29" t="s">
        <v>116</v>
      </c>
      <c r="J29" t="s">
        <v>3984</v>
      </c>
    </row>
    <row r="30" spans="1:10" x14ac:dyDescent="0.35">
      <c r="I30" t="s">
        <v>117</v>
      </c>
      <c r="J30" t="s">
        <v>3984</v>
      </c>
    </row>
    <row r="31" spans="1:10" x14ac:dyDescent="0.35">
      <c r="I31" t="s">
        <v>17</v>
      </c>
      <c r="J31" t="s">
        <v>3991</v>
      </c>
    </row>
    <row r="32" spans="1:10" x14ac:dyDescent="0.35">
      <c r="I32" s="38" t="s">
        <v>18</v>
      </c>
      <c r="J32" s="36" t="s">
        <v>3990</v>
      </c>
    </row>
    <row r="33" spans="1:10" x14ac:dyDescent="0.35">
      <c r="A33" s="33" t="s">
        <v>3992</v>
      </c>
      <c r="B33" t="s">
        <v>3</v>
      </c>
      <c r="C33" t="s">
        <v>43</v>
      </c>
      <c r="D33" t="s">
        <v>184</v>
      </c>
      <c r="E33" s="34" t="s">
        <v>161</v>
      </c>
      <c r="H33" t="s">
        <v>130</v>
      </c>
      <c r="J33" s="3" t="s">
        <v>3982</v>
      </c>
    </row>
    <row r="34" spans="1:10" x14ac:dyDescent="0.35">
      <c r="I34" t="s">
        <v>111</v>
      </c>
      <c r="J34" t="s">
        <v>3983</v>
      </c>
    </row>
    <row r="35" spans="1:10" x14ac:dyDescent="0.35">
      <c r="I35" t="s">
        <v>116</v>
      </c>
      <c r="J35" t="s">
        <v>3984</v>
      </c>
    </row>
    <row r="36" spans="1:10" x14ac:dyDescent="0.35">
      <c r="I36" t="s">
        <v>117</v>
      </c>
      <c r="J36" t="s">
        <v>3984</v>
      </c>
    </row>
    <row r="37" spans="1:10" x14ac:dyDescent="0.35">
      <c r="I37" t="s">
        <v>17</v>
      </c>
      <c r="J37" t="s">
        <v>3993</v>
      </c>
    </row>
    <row r="38" spans="1:10" x14ac:dyDescent="0.35">
      <c r="I38" s="38" t="s">
        <v>18</v>
      </c>
      <c r="J38" s="36" t="s">
        <v>3994</v>
      </c>
    </row>
    <row r="39" spans="1:10" x14ac:dyDescent="0.35">
      <c r="A39" s="33" t="s">
        <v>3995</v>
      </c>
      <c r="B39" t="s">
        <v>3</v>
      </c>
      <c r="C39" t="s">
        <v>43</v>
      </c>
      <c r="D39" t="s">
        <v>64</v>
      </c>
      <c r="E39" s="34" t="s">
        <v>161</v>
      </c>
      <c r="H39" t="s">
        <v>130</v>
      </c>
      <c r="J39" s="3" t="s">
        <v>3982</v>
      </c>
    </row>
    <row r="40" spans="1:10" x14ac:dyDescent="0.35">
      <c r="I40" t="s">
        <v>111</v>
      </c>
      <c r="J40" t="s">
        <v>3983</v>
      </c>
    </row>
    <row r="41" spans="1:10" x14ac:dyDescent="0.35">
      <c r="I41" t="s">
        <v>116</v>
      </c>
      <c r="J41" t="s">
        <v>3984</v>
      </c>
    </row>
    <row r="42" spans="1:10" x14ac:dyDescent="0.35">
      <c r="I42" t="s">
        <v>117</v>
      </c>
      <c r="J42" t="s">
        <v>3984</v>
      </c>
    </row>
    <row r="43" spans="1:10" x14ac:dyDescent="0.35">
      <c r="I43" t="s">
        <v>17</v>
      </c>
      <c r="J43" t="s">
        <v>3993</v>
      </c>
    </row>
    <row r="44" spans="1:10" x14ac:dyDescent="0.35">
      <c r="I44" s="38" t="s">
        <v>18</v>
      </c>
      <c r="J44" t="s">
        <v>3996</v>
      </c>
    </row>
    <row r="45" spans="1:10" x14ac:dyDescent="0.35">
      <c r="J45" s="36" t="s">
        <v>3995</v>
      </c>
    </row>
    <row r="46" spans="1:10" x14ac:dyDescent="0.35">
      <c r="A46" s="33" t="s">
        <v>3997</v>
      </c>
      <c r="B46" t="s">
        <v>3</v>
      </c>
      <c r="C46" t="s">
        <v>43</v>
      </c>
      <c r="D46" t="s">
        <v>64</v>
      </c>
      <c r="E46" s="34" t="s">
        <v>161</v>
      </c>
      <c r="H46" t="s">
        <v>130</v>
      </c>
      <c r="J46" s="3" t="s">
        <v>3982</v>
      </c>
    </row>
    <row r="47" spans="1:10" x14ac:dyDescent="0.35">
      <c r="I47" t="s">
        <v>111</v>
      </c>
      <c r="J47" t="s">
        <v>3983</v>
      </c>
    </row>
    <row r="48" spans="1:10" x14ac:dyDescent="0.35">
      <c r="I48" t="s">
        <v>116</v>
      </c>
      <c r="J48" t="s">
        <v>3984</v>
      </c>
    </row>
    <row r="49" spans="1:10" x14ac:dyDescent="0.35">
      <c r="I49" t="s">
        <v>117</v>
      </c>
      <c r="J49" t="s">
        <v>3985</v>
      </c>
    </row>
    <row r="50" spans="1:10" x14ac:dyDescent="0.35">
      <c r="I50" t="s">
        <v>17</v>
      </c>
      <c r="J50" t="s">
        <v>3998</v>
      </c>
    </row>
    <row r="51" spans="1:10" x14ac:dyDescent="0.35">
      <c r="I51" s="38" t="s">
        <v>18</v>
      </c>
      <c r="J51" t="s">
        <v>3999</v>
      </c>
    </row>
    <row r="52" spans="1:10" x14ac:dyDescent="0.35">
      <c r="J52" s="36" t="s">
        <v>4000</v>
      </c>
    </row>
    <row r="53" spans="1:10" x14ac:dyDescent="0.35">
      <c r="A53" s="33" t="s">
        <v>4070</v>
      </c>
      <c r="B53" t="s">
        <v>3</v>
      </c>
      <c r="C53" t="s">
        <v>43</v>
      </c>
      <c r="D53" t="s">
        <v>64</v>
      </c>
      <c r="E53" s="34" t="s">
        <v>161</v>
      </c>
      <c r="H53" t="s">
        <v>130</v>
      </c>
      <c r="J53" s="3" t="s">
        <v>3982</v>
      </c>
    </row>
    <row r="54" spans="1:10" x14ac:dyDescent="0.35">
      <c r="I54" t="s">
        <v>111</v>
      </c>
      <c r="J54" t="s">
        <v>3983</v>
      </c>
    </row>
    <row r="55" spans="1:10" x14ac:dyDescent="0.35">
      <c r="I55" t="s">
        <v>116</v>
      </c>
      <c r="J55" t="s">
        <v>4010</v>
      </c>
    </row>
    <row r="56" spans="1:10" x14ac:dyDescent="0.35">
      <c r="I56" t="s">
        <v>117</v>
      </c>
      <c r="J56" t="s">
        <v>4056</v>
      </c>
    </row>
    <row r="57" spans="1:10" x14ac:dyDescent="0.35">
      <c r="I57" t="s">
        <v>17</v>
      </c>
      <c r="J57" t="s">
        <v>4057</v>
      </c>
    </row>
    <row r="58" spans="1:10" x14ac:dyDescent="0.35">
      <c r="I58" s="38" t="s">
        <v>18</v>
      </c>
      <c r="J58" t="s">
        <v>4071</v>
      </c>
    </row>
    <row r="59" spans="1:10" x14ac:dyDescent="0.35">
      <c r="J59" s="36" t="s">
        <v>4072</v>
      </c>
    </row>
    <row r="60" spans="1:10" x14ac:dyDescent="0.35">
      <c r="A60" s="33" t="s">
        <v>4073</v>
      </c>
      <c r="B60" t="s">
        <v>3</v>
      </c>
      <c r="C60" t="s">
        <v>43</v>
      </c>
      <c r="D60" t="s">
        <v>143</v>
      </c>
      <c r="E60" s="34" t="s">
        <v>161</v>
      </c>
      <c r="H60" t="s">
        <v>130</v>
      </c>
      <c r="J60" s="3" t="s">
        <v>3982</v>
      </c>
    </row>
    <row r="61" spans="1:10" x14ac:dyDescent="0.35">
      <c r="I61" t="s">
        <v>111</v>
      </c>
      <c r="J61" t="s">
        <v>3983</v>
      </c>
    </row>
    <row r="62" spans="1:10" x14ac:dyDescent="0.35">
      <c r="I62" t="s">
        <v>116</v>
      </c>
      <c r="J62" t="s">
        <v>3984</v>
      </c>
    </row>
    <row r="63" spans="1:10" x14ac:dyDescent="0.35">
      <c r="I63" t="s">
        <v>117</v>
      </c>
      <c r="J63" t="s">
        <v>3984</v>
      </c>
    </row>
    <row r="64" spans="1:10" x14ac:dyDescent="0.35">
      <c r="I64" t="s">
        <v>17</v>
      </c>
      <c r="J64" t="s">
        <v>3993</v>
      </c>
    </row>
    <row r="65" spans="1:10" x14ac:dyDescent="0.35">
      <c r="I65" s="38" t="s">
        <v>18</v>
      </c>
      <c r="J65" s="36" t="s">
        <v>4074</v>
      </c>
    </row>
    <row r="66" spans="1:10" x14ac:dyDescent="0.35">
      <c r="A66" s="33" t="s">
        <v>4075</v>
      </c>
      <c r="B66" t="s">
        <v>3</v>
      </c>
      <c r="C66" t="s">
        <v>43</v>
      </c>
      <c r="D66" t="s">
        <v>64</v>
      </c>
      <c r="E66" s="34" t="s">
        <v>161</v>
      </c>
      <c r="H66" t="s">
        <v>130</v>
      </c>
      <c r="J66" s="3" t="s">
        <v>3982</v>
      </c>
    </row>
    <row r="67" spans="1:10" x14ac:dyDescent="0.35">
      <c r="I67" t="s">
        <v>111</v>
      </c>
      <c r="J67" t="s">
        <v>3983</v>
      </c>
    </row>
    <row r="68" spans="1:10" x14ac:dyDescent="0.35">
      <c r="I68" t="s">
        <v>116</v>
      </c>
      <c r="J68" t="s">
        <v>3984</v>
      </c>
    </row>
    <row r="69" spans="1:10" x14ac:dyDescent="0.35">
      <c r="I69" t="s">
        <v>117</v>
      </c>
      <c r="J69" t="s">
        <v>3984</v>
      </c>
    </row>
    <row r="70" spans="1:10" x14ac:dyDescent="0.35">
      <c r="I70" t="s">
        <v>17</v>
      </c>
      <c r="J70" t="s">
        <v>3993</v>
      </c>
    </row>
    <row r="71" spans="1:10" x14ac:dyDescent="0.35">
      <c r="I71" s="38" t="s">
        <v>18</v>
      </c>
      <c r="J71" t="s">
        <v>3996</v>
      </c>
    </row>
    <row r="72" spans="1:10" x14ac:dyDescent="0.35">
      <c r="I72" s="37"/>
      <c r="J72" s="36" t="s">
        <v>4075</v>
      </c>
    </row>
    <row r="73" spans="1:10" x14ac:dyDescent="0.35">
      <c r="A73" s="33" t="s">
        <v>4076</v>
      </c>
      <c r="B73" t="s">
        <v>3</v>
      </c>
      <c r="C73" t="s">
        <v>43</v>
      </c>
      <c r="D73" t="s">
        <v>159</v>
      </c>
      <c r="E73" s="34" t="s">
        <v>161</v>
      </c>
      <c r="H73" t="s">
        <v>130</v>
      </c>
      <c r="J73" s="3" t="s">
        <v>3982</v>
      </c>
    </row>
    <row r="74" spans="1:10" x14ac:dyDescent="0.35">
      <c r="I74" t="s">
        <v>111</v>
      </c>
      <c r="J74" t="s">
        <v>3983</v>
      </c>
    </row>
    <row r="75" spans="1:10" x14ac:dyDescent="0.35">
      <c r="I75" t="s">
        <v>116</v>
      </c>
      <c r="J75" t="s">
        <v>3984</v>
      </c>
    </row>
    <row r="76" spans="1:10" x14ac:dyDescent="0.35">
      <c r="I76" t="s">
        <v>117</v>
      </c>
      <c r="J76" t="s">
        <v>3984</v>
      </c>
    </row>
    <row r="77" spans="1:10" x14ac:dyDescent="0.35">
      <c r="I77" t="s">
        <v>17</v>
      </c>
      <c r="J77" s="36" t="s">
        <v>3991</v>
      </c>
    </row>
    <row r="78" spans="1:10" x14ac:dyDescent="0.35">
      <c r="I78" s="38" t="s">
        <v>18</v>
      </c>
    </row>
    <row r="79" spans="1:10" x14ac:dyDescent="0.35">
      <c r="A79" s="33" t="s">
        <v>4077</v>
      </c>
      <c r="B79" t="s">
        <v>3</v>
      </c>
      <c r="C79" t="s">
        <v>43</v>
      </c>
      <c r="D79" t="s">
        <v>159</v>
      </c>
      <c r="E79" s="34" t="s">
        <v>161</v>
      </c>
      <c r="H79" t="s">
        <v>130</v>
      </c>
      <c r="J79" s="3" t="s">
        <v>3982</v>
      </c>
    </row>
    <row r="80" spans="1:10" x14ac:dyDescent="0.35">
      <c r="I80" t="s">
        <v>111</v>
      </c>
      <c r="J80" t="s">
        <v>3983</v>
      </c>
    </row>
    <row r="81" spans="1:10" x14ac:dyDescent="0.35">
      <c r="I81" t="s">
        <v>116</v>
      </c>
      <c r="J81" t="s">
        <v>3984</v>
      </c>
    </row>
    <row r="82" spans="1:10" x14ac:dyDescent="0.35">
      <c r="I82" t="s">
        <v>117</v>
      </c>
      <c r="J82" t="s">
        <v>4078</v>
      </c>
    </row>
    <row r="83" spans="1:10" x14ac:dyDescent="0.35">
      <c r="I83" t="s">
        <v>17</v>
      </c>
      <c r="J83" t="s">
        <v>4079</v>
      </c>
    </row>
    <row r="84" spans="1:10" x14ac:dyDescent="0.35">
      <c r="I84" s="38" t="s">
        <v>18</v>
      </c>
      <c r="J84" s="36" t="s">
        <v>4080</v>
      </c>
    </row>
    <row r="85" spans="1:10" x14ac:dyDescent="0.35">
      <c r="A85" s="33" t="s">
        <v>4081</v>
      </c>
      <c r="B85" t="s">
        <v>3</v>
      </c>
      <c r="C85" t="s">
        <v>43</v>
      </c>
      <c r="D85" t="s">
        <v>4086</v>
      </c>
      <c r="E85" s="34" t="s">
        <v>161</v>
      </c>
      <c r="H85" t="s">
        <v>130</v>
      </c>
      <c r="J85" s="3" t="s">
        <v>3982</v>
      </c>
    </row>
    <row r="86" spans="1:10" x14ac:dyDescent="0.35">
      <c r="I86" t="s">
        <v>111</v>
      </c>
      <c r="J86" t="s">
        <v>3983</v>
      </c>
    </row>
    <row r="87" spans="1:10" x14ac:dyDescent="0.35">
      <c r="I87" t="s">
        <v>116</v>
      </c>
      <c r="J87" t="s">
        <v>4082</v>
      </c>
    </row>
    <row r="88" spans="1:10" x14ac:dyDescent="0.35">
      <c r="I88" t="s">
        <v>117</v>
      </c>
      <c r="J88" t="s">
        <v>4083</v>
      </c>
    </row>
    <row r="89" spans="1:10" x14ac:dyDescent="0.35">
      <c r="I89" t="s">
        <v>17</v>
      </c>
      <c r="J89" t="s">
        <v>4084</v>
      </c>
    </row>
    <row r="90" spans="1:10" x14ac:dyDescent="0.35">
      <c r="I90" s="38" t="s">
        <v>18</v>
      </c>
      <c r="J90" s="36" t="s">
        <v>4085</v>
      </c>
    </row>
    <row r="91" spans="1:10" x14ac:dyDescent="0.35">
      <c r="A91" s="33" t="s">
        <v>4087</v>
      </c>
      <c r="B91" t="s">
        <v>3</v>
      </c>
      <c r="C91" t="s">
        <v>43</v>
      </c>
      <c r="D91" t="s">
        <v>159</v>
      </c>
      <c r="E91" s="34" t="s">
        <v>161</v>
      </c>
      <c r="H91" t="s">
        <v>130</v>
      </c>
      <c r="J91" s="3" t="s">
        <v>3982</v>
      </c>
    </row>
    <row r="92" spans="1:10" x14ac:dyDescent="0.35">
      <c r="I92" t="s">
        <v>111</v>
      </c>
      <c r="J92" t="s">
        <v>3983</v>
      </c>
    </row>
    <row r="93" spans="1:10" x14ac:dyDescent="0.35">
      <c r="I93" t="s">
        <v>116</v>
      </c>
      <c r="J93" t="s">
        <v>3984</v>
      </c>
    </row>
    <row r="94" spans="1:10" x14ac:dyDescent="0.35">
      <c r="I94" t="s">
        <v>117</v>
      </c>
      <c r="J94" t="s">
        <v>3984</v>
      </c>
    </row>
    <row r="95" spans="1:10" x14ac:dyDescent="0.35">
      <c r="I95" t="s">
        <v>17</v>
      </c>
      <c r="J95" t="s">
        <v>3993</v>
      </c>
    </row>
    <row r="96" spans="1:10" x14ac:dyDescent="0.35">
      <c r="I96" s="38" t="s">
        <v>18</v>
      </c>
      <c r="J96" s="36" t="s">
        <v>4088</v>
      </c>
    </row>
    <row r="97" spans="1:10" x14ac:dyDescent="0.35">
      <c r="A97" s="33" t="s">
        <v>4089</v>
      </c>
      <c r="B97" t="s">
        <v>3</v>
      </c>
      <c r="C97" t="s">
        <v>43</v>
      </c>
      <c r="D97" t="s">
        <v>159</v>
      </c>
      <c r="E97" s="34" t="s">
        <v>161</v>
      </c>
      <c r="H97" t="s">
        <v>130</v>
      </c>
      <c r="J97" s="3" t="s">
        <v>3982</v>
      </c>
    </row>
    <row r="98" spans="1:10" x14ac:dyDescent="0.35">
      <c r="I98" t="s">
        <v>111</v>
      </c>
      <c r="J98" t="s">
        <v>3983</v>
      </c>
    </row>
    <row r="99" spans="1:10" x14ac:dyDescent="0.35">
      <c r="I99" t="s">
        <v>116</v>
      </c>
      <c r="J99" t="s">
        <v>3984</v>
      </c>
    </row>
    <row r="100" spans="1:10" x14ac:dyDescent="0.35">
      <c r="I100" t="s">
        <v>117</v>
      </c>
      <c r="J100" t="s">
        <v>3984</v>
      </c>
    </row>
    <row r="101" spans="1:10" x14ac:dyDescent="0.35">
      <c r="I101" t="s">
        <v>17</v>
      </c>
      <c r="J101" t="s">
        <v>3993</v>
      </c>
    </row>
    <row r="102" spans="1:10" x14ac:dyDescent="0.35">
      <c r="I102" s="38" t="s">
        <v>18</v>
      </c>
      <c r="J102" t="s">
        <v>3996</v>
      </c>
    </row>
    <row r="103" spans="1:10" x14ac:dyDescent="0.35">
      <c r="I103" s="37"/>
      <c r="J103" s="36" t="s">
        <v>4090</v>
      </c>
    </row>
    <row r="104" spans="1:10" x14ac:dyDescent="0.35">
      <c r="A104" s="33" t="s">
        <v>4091</v>
      </c>
      <c r="B104" t="s">
        <v>3</v>
      </c>
      <c r="C104" t="s">
        <v>43</v>
      </c>
      <c r="D104" t="s">
        <v>64</v>
      </c>
      <c r="E104" s="34" t="s">
        <v>169</v>
      </c>
      <c r="H104" t="s">
        <v>130</v>
      </c>
      <c r="J104" s="3" t="s">
        <v>3982</v>
      </c>
    </row>
    <row r="105" spans="1:10" x14ac:dyDescent="0.35">
      <c r="I105" t="s">
        <v>111</v>
      </c>
      <c r="J105" t="s">
        <v>3983</v>
      </c>
    </row>
    <row r="106" spans="1:10" x14ac:dyDescent="0.35">
      <c r="I106" t="s">
        <v>116</v>
      </c>
      <c r="J106" t="s">
        <v>3984</v>
      </c>
    </row>
    <row r="107" spans="1:10" x14ac:dyDescent="0.35">
      <c r="I107" t="s">
        <v>117</v>
      </c>
      <c r="J107" t="s">
        <v>3984</v>
      </c>
    </row>
    <row r="108" spans="1:10" x14ac:dyDescent="0.35">
      <c r="I108" t="s">
        <v>17</v>
      </c>
      <c r="J108" t="s">
        <v>3993</v>
      </c>
    </row>
    <row r="109" spans="1:10" x14ac:dyDescent="0.35">
      <c r="I109" s="38" t="s">
        <v>18</v>
      </c>
      <c r="J109" t="s">
        <v>4002</v>
      </c>
    </row>
    <row r="110" spans="1:10" x14ac:dyDescent="0.35">
      <c r="I110" s="37"/>
      <c r="J110" s="36" t="s">
        <v>4092</v>
      </c>
    </row>
    <row r="111" spans="1:10" x14ac:dyDescent="0.35">
      <c r="A111" s="33" t="s">
        <v>4096</v>
      </c>
      <c r="B111" t="s">
        <v>3</v>
      </c>
      <c r="C111" t="s">
        <v>43</v>
      </c>
      <c r="D111" t="s">
        <v>414</v>
      </c>
      <c r="E111" s="34" t="s">
        <v>169</v>
      </c>
      <c r="H111" t="s">
        <v>130</v>
      </c>
      <c r="J111" s="3" t="s">
        <v>3982</v>
      </c>
    </row>
    <row r="112" spans="1:10" x14ac:dyDescent="0.35">
      <c r="I112" t="s">
        <v>111</v>
      </c>
      <c r="J112" t="s">
        <v>3983</v>
      </c>
    </row>
    <row r="113" spans="1:10" x14ac:dyDescent="0.35">
      <c r="I113" t="s">
        <v>116</v>
      </c>
      <c r="J113" t="s">
        <v>3984</v>
      </c>
    </row>
    <row r="114" spans="1:10" x14ac:dyDescent="0.35">
      <c r="I114" t="s">
        <v>117</v>
      </c>
      <c r="J114" t="s">
        <v>3984</v>
      </c>
    </row>
    <row r="115" spans="1:10" x14ac:dyDescent="0.35">
      <c r="I115" t="s">
        <v>17</v>
      </c>
      <c r="J115" t="s">
        <v>4093</v>
      </c>
    </row>
    <row r="116" spans="1:10" x14ac:dyDescent="0.35">
      <c r="I116" s="38" t="s">
        <v>18</v>
      </c>
      <c r="J116" t="s">
        <v>4094</v>
      </c>
    </row>
    <row r="117" spans="1:10" x14ac:dyDescent="0.35">
      <c r="I117" s="37"/>
      <c r="J117" t="s">
        <v>4095</v>
      </c>
    </row>
    <row r="118" spans="1:10" x14ac:dyDescent="0.35">
      <c r="I118" s="37"/>
      <c r="J118" s="36" t="s">
        <v>4096</v>
      </c>
    </row>
    <row r="119" spans="1:10" x14ac:dyDescent="0.35">
      <c r="A119" s="33" t="s">
        <v>4097</v>
      </c>
      <c r="B119" t="s">
        <v>3</v>
      </c>
      <c r="C119" t="s">
        <v>43</v>
      </c>
      <c r="D119" t="s">
        <v>184</v>
      </c>
      <c r="E119" s="34" t="s">
        <v>169</v>
      </c>
      <c r="H119" t="s">
        <v>130</v>
      </c>
      <c r="J119" s="3" t="s">
        <v>3982</v>
      </c>
    </row>
    <row r="120" spans="1:10" x14ac:dyDescent="0.35">
      <c r="I120" t="s">
        <v>111</v>
      </c>
      <c r="J120" t="s">
        <v>3983</v>
      </c>
    </row>
    <row r="121" spans="1:10" x14ac:dyDescent="0.35">
      <c r="I121" t="s">
        <v>116</v>
      </c>
      <c r="J121" t="s">
        <v>3984</v>
      </c>
    </row>
    <row r="122" spans="1:10" x14ac:dyDescent="0.35">
      <c r="I122" t="s">
        <v>117</v>
      </c>
      <c r="J122" t="s">
        <v>3984</v>
      </c>
    </row>
    <row r="123" spans="1:10" x14ac:dyDescent="0.35">
      <c r="I123" t="s">
        <v>17</v>
      </c>
      <c r="J123" t="s">
        <v>3991</v>
      </c>
    </row>
    <row r="124" spans="1:10" x14ac:dyDescent="0.35">
      <c r="I124" s="38" t="s">
        <v>18</v>
      </c>
      <c r="J124" s="36" t="s">
        <v>4098</v>
      </c>
    </row>
    <row r="125" spans="1:10" x14ac:dyDescent="0.35">
      <c r="A125" s="33" t="s">
        <v>3999</v>
      </c>
      <c r="B125" t="s">
        <v>3</v>
      </c>
      <c r="C125" t="s">
        <v>43</v>
      </c>
      <c r="D125" t="s">
        <v>143</v>
      </c>
      <c r="E125" s="34" t="s">
        <v>340</v>
      </c>
      <c r="H125" t="s">
        <v>130</v>
      </c>
      <c r="J125" s="3" t="s">
        <v>3982</v>
      </c>
    </row>
    <row r="126" spans="1:10" x14ac:dyDescent="0.35">
      <c r="I126" t="s">
        <v>111</v>
      </c>
      <c r="J126" t="s">
        <v>3983</v>
      </c>
    </row>
    <row r="127" spans="1:10" x14ac:dyDescent="0.35">
      <c r="I127" t="s">
        <v>116</v>
      </c>
      <c r="J127" t="s">
        <v>3984</v>
      </c>
    </row>
    <row r="128" spans="1:10" x14ac:dyDescent="0.35">
      <c r="I128" t="s">
        <v>117</v>
      </c>
      <c r="J128" t="s">
        <v>3985</v>
      </c>
    </row>
    <row r="129" spans="1:10" x14ac:dyDescent="0.35">
      <c r="I129" t="s">
        <v>17</v>
      </c>
      <c r="J129" t="s">
        <v>3998</v>
      </c>
    </row>
    <row r="130" spans="1:10" x14ac:dyDescent="0.35">
      <c r="I130" s="38" t="s">
        <v>18</v>
      </c>
      <c r="J130" s="36" t="s">
        <v>3999</v>
      </c>
    </row>
    <row r="131" spans="1:10" x14ac:dyDescent="0.35">
      <c r="A131" s="33" t="s">
        <v>4001</v>
      </c>
      <c r="B131" t="s">
        <v>3</v>
      </c>
      <c r="C131" t="s">
        <v>43</v>
      </c>
      <c r="D131" t="s">
        <v>64</v>
      </c>
      <c r="E131" s="34" t="s">
        <v>340</v>
      </c>
      <c r="H131" t="s">
        <v>130</v>
      </c>
      <c r="J131" s="3" t="s">
        <v>3982</v>
      </c>
    </row>
    <row r="132" spans="1:10" x14ac:dyDescent="0.35">
      <c r="I132" t="s">
        <v>111</v>
      </c>
      <c r="J132" t="s">
        <v>3983</v>
      </c>
    </row>
    <row r="133" spans="1:10" x14ac:dyDescent="0.35">
      <c r="I133" t="s">
        <v>116</v>
      </c>
      <c r="J133" t="s">
        <v>3984</v>
      </c>
    </row>
    <row r="134" spans="1:10" x14ac:dyDescent="0.35">
      <c r="I134" t="s">
        <v>117</v>
      </c>
      <c r="J134" t="s">
        <v>3984</v>
      </c>
    </row>
    <row r="135" spans="1:10" x14ac:dyDescent="0.35">
      <c r="I135" t="s">
        <v>17</v>
      </c>
      <c r="J135" t="s">
        <v>3993</v>
      </c>
    </row>
    <row r="136" spans="1:10" x14ac:dyDescent="0.35">
      <c r="I136" s="38" t="s">
        <v>18</v>
      </c>
      <c r="J136" t="s">
        <v>4002</v>
      </c>
    </row>
    <row r="137" spans="1:10" x14ac:dyDescent="0.35">
      <c r="J137" s="36" t="s">
        <v>4001</v>
      </c>
    </row>
    <row r="138" spans="1:10" x14ac:dyDescent="0.35">
      <c r="A138" s="33" t="s">
        <v>4004</v>
      </c>
      <c r="B138" t="s">
        <v>3</v>
      </c>
      <c r="C138" t="s">
        <v>43</v>
      </c>
      <c r="D138" t="s">
        <v>143</v>
      </c>
      <c r="E138" s="34" t="s">
        <v>340</v>
      </c>
      <c r="H138" t="s">
        <v>130</v>
      </c>
      <c r="J138" s="3" t="s">
        <v>3982</v>
      </c>
    </row>
    <row r="139" spans="1:10" x14ac:dyDescent="0.35">
      <c r="I139" t="s">
        <v>111</v>
      </c>
      <c r="J139" t="s">
        <v>3983</v>
      </c>
    </row>
    <row r="140" spans="1:10" x14ac:dyDescent="0.35">
      <c r="I140" t="s">
        <v>116</v>
      </c>
      <c r="J140" t="s">
        <v>3984</v>
      </c>
    </row>
    <row r="141" spans="1:10" x14ac:dyDescent="0.35">
      <c r="I141" t="s">
        <v>117</v>
      </c>
      <c r="J141" t="s">
        <v>3984</v>
      </c>
    </row>
    <row r="142" spans="1:10" x14ac:dyDescent="0.35">
      <c r="I142" t="s">
        <v>17</v>
      </c>
      <c r="J142" t="s">
        <v>3991</v>
      </c>
    </row>
    <row r="143" spans="1:10" x14ac:dyDescent="0.35">
      <c r="I143" s="38" t="s">
        <v>18</v>
      </c>
      <c r="J143" s="36" t="s">
        <v>4003</v>
      </c>
    </row>
    <row r="144" spans="1:10" x14ac:dyDescent="0.35">
      <c r="A144" s="33" t="s">
        <v>4047</v>
      </c>
      <c r="B144" t="s">
        <v>3</v>
      </c>
      <c r="C144" t="s">
        <v>43</v>
      </c>
      <c r="D144" t="s">
        <v>143</v>
      </c>
      <c r="E144" s="34" t="s">
        <v>909</v>
      </c>
      <c r="H144" t="s">
        <v>130</v>
      </c>
      <c r="J144" s="3" t="s">
        <v>3982</v>
      </c>
    </row>
    <row r="145" spans="1:10" x14ac:dyDescent="0.35">
      <c r="I145" t="s">
        <v>111</v>
      </c>
      <c r="J145" t="s">
        <v>3983</v>
      </c>
    </row>
    <row r="146" spans="1:10" x14ac:dyDescent="0.35">
      <c r="I146" t="s">
        <v>116</v>
      </c>
      <c r="J146" t="s">
        <v>4016</v>
      </c>
    </row>
    <row r="147" spans="1:10" x14ac:dyDescent="0.35">
      <c r="I147" t="s">
        <v>117</v>
      </c>
      <c r="J147" t="s">
        <v>4048</v>
      </c>
    </row>
    <row r="148" spans="1:10" x14ac:dyDescent="0.35">
      <c r="I148" t="s">
        <v>17</v>
      </c>
      <c r="J148" t="s">
        <v>4049</v>
      </c>
    </row>
    <row r="149" spans="1:10" x14ac:dyDescent="0.35">
      <c r="I149" s="38" t="s">
        <v>18</v>
      </c>
      <c r="J149" s="36" t="s">
        <v>4047</v>
      </c>
    </row>
    <row r="150" spans="1:10" x14ac:dyDescent="0.35">
      <c r="A150" s="33" t="s">
        <v>4110</v>
      </c>
      <c r="B150" t="s">
        <v>3</v>
      </c>
      <c r="C150" t="s">
        <v>43</v>
      </c>
      <c r="D150" t="s">
        <v>143</v>
      </c>
      <c r="E150" s="34" t="s">
        <v>909</v>
      </c>
      <c r="H150" t="s">
        <v>130</v>
      </c>
      <c r="J150" s="3" t="s">
        <v>3982</v>
      </c>
    </row>
    <row r="151" spans="1:10" x14ac:dyDescent="0.35">
      <c r="I151" t="s">
        <v>111</v>
      </c>
      <c r="J151" t="s">
        <v>3983</v>
      </c>
    </row>
    <row r="152" spans="1:10" x14ac:dyDescent="0.35">
      <c r="I152" t="s">
        <v>116</v>
      </c>
      <c r="J152" t="s">
        <v>4016</v>
      </c>
    </row>
    <row r="153" spans="1:10" x14ac:dyDescent="0.35">
      <c r="I153" t="s">
        <v>117</v>
      </c>
      <c r="J153" t="s">
        <v>4048</v>
      </c>
    </row>
    <row r="154" spans="1:10" x14ac:dyDescent="0.35">
      <c r="I154" t="s">
        <v>17</v>
      </c>
      <c r="J154" t="s">
        <v>4049</v>
      </c>
    </row>
    <row r="155" spans="1:10" x14ac:dyDescent="0.35">
      <c r="I155" s="38" t="s">
        <v>18</v>
      </c>
      <c r="J155" t="s">
        <v>4047</v>
      </c>
    </row>
    <row r="156" spans="1:10" x14ac:dyDescent="0.35">
      <c r="I156" s="37"/>
      <c r="J156" s="36" t="s">
        <v>4110</v>
      </c>
    </row>
    <row r="157" spans="1:10" x14ac:dyDescent="0.35">
      <c r="A157" s="33" t="s">
        <v>4005</v>
      </c>
      <c r="B157" t="s">
        <v>3</v>
      </c>
      <c r="C157" t="s">
        <v>43</v>
      </c>
      <c r="D157" t="s">
        <v>64</v>
      </c>
      <c r="E157" s="34" t="s">
        <v>608</v>
      </c>
      <c r="H157" t="s">
        <v>130</v>
      </c>
      <c r="J157" s="3" t="s">
        <v>3982</v>
      </c>
    </row>
    <row r="158" spans="1:10" x14ac:dyDescent="0.35">
      <c r="I158" t="s">
        <v>111</v>
      </c>
      <c r="J158" t="s">
        <v>3983</v>
      </c>
    </row>
    <row r="159" spans="1:10" x14ac:dyDescent="0.35">
      <c r="I159" t="s">
        <v>116</v>
      </c>
      <c r="J159" t="s">
        <v>3984</v>
      </c>
    </row>
    <row r="160" spans="1:10" x14ac:dyDescent="0.35">
      <c r="I160" t="s">
        <v>117</v>
      </c>
      <c r="J160" t="s">
        <v>3984</v>
      </c>
    </row>
    <row r="161" spans="1:10" x14ac:dyDescent="0.35">
      <c r="I161" t="s">
        <v>17</v>
      </c>
      <c r="J161" t="s">
        <v>3993</v>
      </c>
    </row>
    <row r="162" spans="1:10" x14ac:dyDescent="0.35">
      <c r="I162" s="38" t="s">
        <v>18</v>
      </c>
      <c r="J162" t="s">
        <v>4002</v>
      </c>
    </row>
    <row r="163" spans="1:10" x14ac:dyDescent="0.35">
      <c r="J163" s="36" t="s">
        <v>4006</v>
      </c>
    </row>
    <row r="164" spans="1:10" x14ac:dyDescent="0.35">
      <c r="A164" s="33" t="s">
        <v>4007</v>
      </c>
      <c r="B164" t="s">
        <v>3</v>
      </c>
      <c r="C164" t="s">
        <v>43</v>
      </c>
      <c r="D164" t="s">
        <v>64</v>
      </c>
      <c r="E164" s="34" t="s">
        <v>608</v>
      </c>
      <c r="H164" t="s">
        <v>130</v>
      </c>
      <c r="J164" s="3" t="s">
        <v>3982</v>
      </c>
    </row>
    <row r="165" spans="1:10" x14ac:dyDescent="0.35">
      <c r="I165" t="s">
        <v>111</v>
      </c>
      <c r="J165" t="s">
        <v>3983</v>
      </c>
    </row>
    <row r="166" spans="1:10" x14ac:dyDescent="0.35">
      <c r="I166" t="s">
        <v>116</v>
      </c>
      <c r="J166" t="s">
        <v>3984</v>
      </c>
    </row>
    <row r="167" spans="1:10" x14ac:dyDescent="0.35">
      <c r="I167" t="s">
        <v>117</v>
      </c>
      <c r="J167" t="s">
        <v>3984</v>
      </c>
    </row>
    <row r="168" spans="1:10" x14ac:dyDescent="0.35">
      <c r="I168" t="s">
        <v>17</v>
      </c>
      <c r="J168" t="s">
        <v>3993</v>
      </c>
    </row>
    <row r="169" spans="1:10" x14ac:dyDescent="0.35">
      <c r="I169" s="38" t="s">
        <v>18</v>
      </c>
      <c r="J169" t="s">
        <v>4002</v>
      </c>
    </row>
    <row r="170" spans="1:10" x14ac:dyDescent="0.35">
      <c r="J170" s="36" t="s">
        <v>4008</v>
      </c>
    </row>
    <row r="171" spans="1:10" x14ac:dyDescent="0.35">
      <c r="A171" s="33" t="s">
        <v>4009</v>
      </c>
      <c r="B171" t="s">
        <v>3</v>
      </c>
      <c r="C171" t="s">
        <v>43</v>
      </c>
      <c r="D171" t="s">
        <v>159</v>
      </c>
      <c r="E171" s="34" t="s">
        <v>608</v>
      </c>
      <c r="H171" t="s">
        <v>130</v>
      </c>
      <c r="J171" s="3" t="s">
        <v>3982</v>
      </c>
    </row>
    <row r="172" spans="1:10" x14ac:dyDescent="0.35">
      <c r="I172" t="s">
        <v>111</v>
      </c>
      <c r="J172" t="s">
        <v>3983</v>
      </c>
    </row>
    <row r="173" spans="1:10" x14ac:dyDescent="0.35">
      <c r="I173" t="s">
        <v>116</v>
      </c>
      <c r="J173" t="s">
        <v>4010</v>
      </c>
    </row>
    <row r="174" spans="1:10" x14ac:dyDescent="0.35">
      <c r="I174" t="s">
        <v>117</v>
      </c>
      <c r="J174" t="s">
        <v>4011</v>
      </c>
    </row>
    <row r="175" spans="1:10" x14ac:dyDescent="0.35">
      <c r="I175" t="s">
        <v>17</v>
      </c>
      <c r="J175" s="36" t="s">
        <v>4012</v>
      </c>
    </row>
    <row r="176" spans="1:10" x14ac:dyDescent="0.35">
      <c r="I176" s="38" t="s">
        <v>18</v>
      </c>
    </row>
    <row r="177" spans="1:10" x14ac:dyDescent="0.35">
      <c r="A177" s="33" t="s">
        <v>4013</v>
      </c>
      <c r="B177" t="s">
        <v>3</v>
      </c>
      <c r="C177" t="s">
        <v>43</v>
      </c>
      <c r="D177" t="s">
        <v>143</v>
      </c>
      <c r="E177" s="34" t="s">
        <v>201</v>
      </c>
      <c r="H177" t="s">
        <v>130</v>
      </c>
      <c r="J177" s="3" t="s">
        <v>3982</v>
      </c>
    </row>
    <row r="178" spans="1:10" x14ac:dyDescent="0.35">
      <c r="I178" t="s">
        <v>111</v>
      </c>
      <c r="J178" t="s">
        <v>3983</v>
      </c>
    </row>
    <row r="179" spans="1:10" x14ac:dyDescent="0.35">
      <c r="I179" t="s">
        <v>116</v>
      </c>
      <c r="J179" t="s">
        <v>3984</v>
      </c>
    </row>
    <row r="180" spans="1:10" x14ac:dyDescent="0.35">
      <c r="I180" t="s">
        <v>117</v>
      </c>
      <c r="J180" t="s">
        <v>3984</v>
      </c>
    </row>
    <row r="181" spans="1:10" x14ac:dyDescent="0.35">
      <c r="I181" t="s">
        <v>17</v>
      </c>
      <c r="J181" t="s">
        <v>3991</v>
      </c>
    </row>
    <row r="182" spans="1:10" x14ac:dyDescent="0.35">
      <c r="I182" s="38" t="s">
        <v>18</v>
      </c>
      <c r="J182" s="36" t="s">
        <v>4014</v>
      </c>
    </row>
    <row r="183" spans="1:10" x14ac:dyDescent="0.35">
      <c r="A183" s="33" t="s">
        <v>4117</v>
      </c>
      <c r="B183" t="s">
        <v>3</v>
      </c>
      <c r="C183" t="s">
        <v>43</v>
      </c>
      <c r="D183" t="s">
        <v>143</v>
      </c>
      <c r="E183" s="34" t="s">
        <v>201</v>
      </c>
      <c r="H183" t="s">
        <v>130</v>
      </c>
      <c r="J183" s="3" t="s">
        <v>3982</v>
      </c>
    </row>
    <row r="184" spans="1:10" x14ac:dyDescent="0.35">
      <c r="I184" t="s">
        <v>111</v>
      </c>
      <c r="J184" t="s">
        <v>3983</v>
      </c>
    </row>
    <row r="185" spans="1:10" x14ac:dyDescent="0.35">
      <c r="I185" t="s">
        <v>116</v>
      </c>
      <c r="J185" t="s">
        <v>3984</v>
      </c>
    </row>
    <row r="186" spans="1:10" x14ac:dyDescent="0.35">
      <c r="I186" t="s">
        <v>117</v>
      </c>
      <c r="J186" t="s">
        <v>3984</v>
      </c>
    </row>
    <row r="187" spans="1:10" x14ac:dyDescent="0.35">
      <c r="I187" t="s">
        <v>17</v>
      </c>
      <c r="J187" t="s">
        <v>4118</v>
      </c>
    </row>
    <row r="188" spans="1:10" x14ac:dyDescent="0.35">
      <c r="I188" s="38" t="s">
        <v>18</v>
      </c>
      <c r="J188" t="s">
        <v>4002</v>
      </c>
    </row>
    <row r="189" spans="1:10" x14ac:dyDescent="0.35">
      <c r="I189" s="37"/>
      <c r="J189" s="36" t="s">
        <v>4119</v>
      </c>
    </row>
    <row r="190" spans="1:10" x14ac:dyDescent="0.35">
      <c r="A190" s="33" t="s">
        <v>4134</v>
      </c>
      <c r="B190" t="s">
        <v>3</v>
      </c>
      <c r="C190" t="s">
        <v>43</v>
      </c>
      <c r="D190" t="s">
        <v>64</v>
      </c>
      <c r="E190" s="34" t="s">
        <v>72</v>
      </c>
      <c r="H190" t="s">
        <v>130</v>
      </c>
      <c r="J190" s="3" t="s">
        <v>3982</v>
      </c>
    </row>
    <row r="191" spans="1:10" x14ac:dyDescent="0.35">
      <c r="I191" t="s">
        <v>111</v>
      </c>
      <c r="J191" t="s">
        <v>3983</v>
      </c>
    </row>
    <row r="192" spans="1:10" x14ac:dyDescent="0.35">
      <c r="I192" t="s">
        <v>116</v>
      </c>
      <c r="J192" t="s">
        <v>4016</v>
      </c>
    </row>
    <row r="193" spans="1:10" x14ac:dyDescent="0.35">
      <c r="I193" t="s">
        <v>117</v>
      </c>
      <c r="J193" t="s">
        <v>4017</v>
      </c>
    </row>
    <row r="194" spans="1:10" x14ac:dyDescent="0.35">
      <c r="I194" t="s">
        <v>17</v>
      </c>
      <c r="J194" t="s">
        <v>4018</v>
      </c>
    </row>
    <row r="195" spans="1:10" x14ac:dyDescent="0.35">
      <c r="I195" s="38" t="s">
        <v>18</v>
      </c>
      <c r="J195" s="36" t="s">
        <v>4135</v>
      </c>
    </row>
    <row r="196" spans="1:10" x14ac:dyDescent="0.35">
      <c r="A196" s="33" t="s">
        <v>4015</v>
      </c>
      <c r="B196" t="s">
        <v>3</v>
      </c>
      <c r="C196" t="s">
        <v>43</v>
      </c>
      <c r="D196" t="s">
        <v>64</v>
      </c>
      <c r="E196" s="34" t="s">
        <v>65</v>
      </c>
      <c r="H196" t="s">
        <v>130</v>
      </c>
      <c r="J196" s="3" t="s">
        <v>3982</v>
      </c>
    </row>
    <row r="197" spans="1:10" x14ac:dyDescent="0.35">
      <c r="I197" t="s">
        <v>111</v>
      </c>
      <c r="J197" t="s">
        <v>3983</v>
      </c>
    </row>
    <row r="198" spans="1:10" x14ac:dyDescent="0.35">
      <c r="I198" t="s">
        <v>116</v>
      </c>
      <c r="J198" t="s">
        <v>3984</v>
      </c>
    </row>
    <row r="199" spans="1:10" x14ac:dyDescent="0.35">
      <c r="I199" t="s">
        <v>117</v>
      </c>
      <c r="J199" t="s">
        <v>3984</v>
      </c>
    </row>
    <row r="200" spans="1:10" x14ac:dyDescent="0.35">
      <c r="I200" t="s">
        <v>17</v>
      </c>
      <c r="J200" t="s">
        <v>3991</v>
      </c>
    </row>
    <row r="201" spans="1:10" x14ac:dyDescent="0.35">
      <c r="I201" s="38" t="s">
        <v>18</v>
      </c>
      <c r="J201" t="s">
        <v>4003</v>
      </c>
    </row>
    <row r="202" spans="1:10" x14ac:dyDescent="0.35">
      <c r="J202" s="36" t="s">
        <v>4015</v>
      </c>
    </row>
    <row r="203" spans="1:10" x14ac:dyDescent="0.35">
      <c r="A203" s="33" t="s">
        <v>4136</v>
      </c>
      <c r="B203" t="s">
        <v>3</v>
      </c>
      <c r="C203" t="s">
        <v>43</v>
      </c>
      <c r="D203" t="s">
        <v>64</v>
      </c>
      <c r="E203" s="34" t="s">
        <v>65</v>
      </c>
      <c r="H203" t="s">
        <v>130</v>
      </c>
      <c r="J203" s="3" t="s">
        <v>3982</v>
      </c>
    </row>
    <row r="204" spans="1:10" x14ac:dyDescent="0.35">
      <c r="I204" t="s">
        <v>111</v>
      </c>
      <c r="J204" t="s">
        <v>3983</v>
      </c>
    </row>
    <row r="205" spans="1:10" x14ac:dyDescent="0.35">
      <c r="I205" t="s">
        <v>116</v>
      </c>
      <c r="J205" t="s">
        <v>3984</v>
      </c>
    </row>
    <row r="206" spans="1:10" x14ac:dyDescent="0.35">
      <c r="I206" t="s">
        <v>117</v>
      </c>
      <c r="J206" t="s">
        <v>4137</v>
      </c>
    </row>
    <row r="207" spans="1:10" x14ac:dyDescent="0.35">
      <c r="I207" t="s">
        <v>17</v>
      </c>
      <c r="J207" t="s">
        <v>4138</v>
      </c>
    </row>
    <row r="208" spans="1:10" x14ac:dyDescent="0.35">
      <c r="I208" s="38" t="s">
        <v>18</v>
      </c>
      <c r="J208" t="s">
        <v>4139</v>
      </c>
    </row>
    <row r="209" spans="1:10" x14ac:dyDescent="0.35">
      <c r="J209" s="36" t="s">
        <v>4140</v>
      </c>
    </row>
    <row r="210" spans="1:10" x14ac:dyDescent="0.35">
      <c r="A210" s="33" t="s">
        <v>4020</v>
      </c>
      <c r="B210" t="s">
        <v>3</v>
      </c>
      <c r="C210" t="s">
        <v>43</v>
      </c>
      <c r="D210" t="s">
        <v>64</v>
      </c>
      <c r="E210" s="34" t="s">
        <v>65</v>
      </c>
      <c r="H210" t="s">
        <v>130</v>
      </c>
      <c r="J210" s="3" t="s">
        <v>3982</v>
      </c>
    </row>
    <row r="211" spans="1:10" x14ac:dyDescent="0.35">
      <c r="I211" t="s">
        <v>111</v>
      </c>
      <c r="J211" t="s">
        <v>3983</v>
      </c>
    </row>
    <row r="212" spans="1:10" x14ac:dyDescent="0.35">
      <c r="I212" t="s">
        <v>116</v>
      </c>
      <c r="J212" t="s">
        <v>4016</v>
      </c>
    </row>
    <row r="213" spans="1:10" x14ac:dyDescent="0.35">
      <c r="I213" t="s">
        <v>117</v>
      </c>
      <c r="J213" t="s">
        <v>4017</v>
      </c>
    </row>
    <row r="214" spans="1:10" x14ac:dyDescent="0.35">
      <c r="I214" t="s">
        <v>17</v>
      </c>
      <c r="J214" t="s">
        <v>4018</v>
      </c>
    </row>
    <row r="215" spans="1:10" x14ac:dyDescent="0.35">
      <c r="I215" s="38" t="s">
        <v>18</v>
      </c>
      <c r="J215" t="s">
        <v>4019</v>
      </c>
    </row>
    <row r="216" spans="1:10" x14ac:dyDescent="0.35">
      <c r="J216" s="36" t="s">
        <v>4020</v>
      </c>
    </row>
    <row r="217" spans="1:10" x14ac:dyDescent="0.35">
      <c r="A217" s="33" t="s">
        <v>4146</v>
      </c>
      <c r="B217" t="s">
        <v>3</v>
      </c>
      <c r="C217" t="s">
        <v>43</v>
      </c>
      <c r="D217" t="s">
        <v>143</v>
      </c>
      <c r="E217" s="34" t="s">
        <v>89</v>
      </c>
      <c r="H217" t="s">
        <v>130</v>
      </c>
      <c r="J217" s="3" t="s">
        <v>3982</v>
      </c>
    </row>
    <row r="218" spans="1:10" x14ac:dyDescent="0.35">
      <c r="I218" t="s">
        <v>111</v>
      </c>
      <c r="J218" t="s">
        <v>3983</v>
      </c>
    </row>
    <row r="219" spans="1:10" x14ac:dyDescent="0.35">
      <c r="I219" t="s">
        <v>116</v>
      </c>
      <c r="J219" t="s">
        <v>3984</v>
      </c>
    </row>
    <row r="220" spans="1:10" x14ac:dyDescent="0.35">
      <c r="I220" t="s">
        <v>117</v>
      </c>
      <c r="J220" t="s">
        <v>4137</v>
      </c>
    </row>
    <row r="221" spans="1:10" x14ac:dyDescent="0.35">
      <c r="I221" t="s">
        <v>17</v>
      </c>
      <c r="J221" t="s">
        <v>4147</v>
      </c>
    </row>
    <row r="222" spans="1:10" x14ac:dyDescent="0.35">
      <c r="I222" s="38" t="s">
        <v>18</v>
      </c>
      <c r="J222" s="36" t="s">
        <v>4148</v>
      </c>
    </row>
  </sheetData>
  <hyperlinks>
    <hyperlink ref="A1" location="Summary!B47" tooltip="Return to Totals" display="Back to Totals" xr:uid="{BF51357B-6193-4EA6-A73B-31FE275360FA}"/>
    <hyperlink ref="J8" r:id="rId1" xr:uid="{CC203090-F570-457B-B4B5-954A7F24F659}"/>
    <hyperlink ref="A3" r:id="rId2" xr:uid="{1A84E0A9-E4BA-40F4-9CAB-053E71FB07A9}"/>
    <hyperlink ref="E3" r:id="rId3" xr:uid="{4777A271-6305-4880-8BBC-B23C17E9F012}"/>
    <hyperlink ref="J14" r:id="rId4" xr:uid="{FCAB6163-055F-4F1F-95C6-9B5827808B22}"/>
    <hyperlink ref="A9" r:id="rId5" xr:uid="{1FD23991-A9AB-4BF0-BBFA-DB7EC109F1CC}"/>
    <hyperlink ref="E9" r:id="rId6" xr:uid="{9624E5CA-D2C4-4191-95CE-3E1E89ECCB68}"/>
    <hyperlink ref="J32" r:id="rId7" xr:uid="{9DC03FF8-2C91-4AB8-B71D-3071CB596C24}"/>
    <hyperlink ref="A27" r:id="rId8" xr:uid="{8321729B-684E-4C57-8CBC-A0ED5802FA4A}"/>
    <hyperlink ref="E27" r:id="rId9" xr:uid="{911B3DD6-84DB-4824-80CE-1ABF6A246889}"/>
    <hyperlink ref="J38" r:id="rId10" xr:uid="{C0FD27FA-EC1F-4915-B8CA-FEB539E770E8}"/>
    <hyperlink ref="A33" r:id="rId11" xr:uid="{A1119F09-95CC-47C3-8B25-2772CE58E365}"/>
    <hyperlink ref="E33" r:id="rId12" xr:uid="{07C88136-60E2-4AE7-A9E2-EE655D7074FD}"/>
    <hyperlink ref="I38" r:id="rId13" xr:uid="{622E7A9F-06C5-47CE-AA07-DADEC08BADD6}"/>
    <hyperlink ref="I32" r:id="rId14" xr:uid="{5E61F1AC-A2CB-4881-AE49-542CBC8B53F3}"/>
    <hyperlink ref="I14" r:id="rId15" xr:uid="{8F420631-9132-49BE-A370-E5BE84A553BF}"/>
    <hyperlink ref="I8" r:id="rId16" xr:uid="{8AA9DFE2-CC02-4018-8AAE-CCC3D9B3ACD5}"/>
    <hyperlink ref="A39" r:id="rId17" xr:uid="{6BA004C8-4D24-431C-A21E-DA704E7BA41E}"/>
    <hyperlink ref="E39" r:id="rId18" xr:uid="{F3E4EDDD-A99B-495C-9D36-E70A7851FED4}"/>
    <hyperlink ref="I44" r:id="rId19" xr:uid="{B9BCB0FC-C072-42F6-92C3-1C3DA1031BB4}"/>
    <hyperlink ref="J45" r:id="rId20" xr:uid="{2DC6D109-55B7-47C9-A533-3CA7CAA943E1}"/>
    <hyperlink ref="A46" r:id="rId21" xr:uid="{24E0A03D-BF4C-45A2-8777-FFD8A651E920}"/>
    <hyperlink ref="E46" r:id="rId22" xr:uid="{9BD5113C-777B-4ADD-984E-1AD29F0D88ED}"/>
    <hyperlink ref="I51" r:id="rId23" xr:uid="{BDB2CCBA-35D1-4F4D-8882-6838E0D11433}"/>
    <hyperlink ref="J52" r:id="rId24" xr:uid="{964EEC6E-8490-41D1-831B-270B8B4F33CD}"/>
    <hyperlink ref="A125" r:id="rId25" xr:uid="{924617EF-8470-4DF6-B44E-AAF846EF726F}"/>
    <hyperlink ref="E125" r:id="rId26" xr:uid="{C5253F5E-A0D8-4C06-BC8F-D697CF6CCF07}"/>
    <hyperlink ref="I130" r:id="rId27" xr:uid="{0BC4E765-9A6A-41D6-844D-25957FA119DC}"/>
    <hyperlink ref="J84" r:id="rId28" xr:uid="{092903A4-E35E-4A8A-8007-763540B37227}"/>
    <hyperlink ref="A131" r:id="rId29" display="Ronald Garner" xr:uid="{6614CF83-341A-4647-997E-695B51231D42}"/>
    <hyperlink ref="E131" r:id="rId30" xr:uid="{A6E79459-367C-4FA9-B6EE-A0BC4D8C2933}"/>
    <hyperlink ref="I136" r:id="rId31" xr:uid="{1181EC42-0154-4938-AE25-A135DD828E85}"/>
    <hyperlink ref="J137" r:id="rId32" xr:uid="{DDA957A8-C55F-4F75-A560-C046A064A34C}"/>
    <hyperlink ref="A138" r:id="rId33" xr:uid="{2FBBE93C-8D15-4337-8A43-43AA15AA4C68}"/>
    <hyperlink ref="E138" r:id="rId34" xr:uid="{390A0315-DC9F-4E0C-B9D3-7A260049C2E5}"/>
    <hyperlink ref="I143" r:id="rId35" xr:uid="{F93E3072-DB66-4B50-88FA-DB4DDF520EEF}"/>
    <hyperlink ref="J143" r:id="rId36" xr:uid="{C8C9D685-DD0D-40D8-A68D-3B50AA8613BB}"/>
    <hyperlink ref="A157" r:id="rId37" xr:uid="{46D198CC-902B-4F98-B48A-9A5F158F878E}"/>
    <hyperlink ref="E157" r:id="rId38" xr:uid="{1D13ACC4-EA09-490A-ABE3-93251C06293C}"/>
    <hyperlink ref="I162" r:id="rId39" xr:uid="{979DF621-53EE-4650-84FA-693313F3D3FF}"/>
    <hyperlink ref="J163" r:id="rId40" xr:uid="{68878292-4A4B-456D-9C40-370916718223}"/>
    <hyperlink ref="A164" r:id="rId41" xr:uid="{1B5D14C1-621C-4BD4-8405-37FF6E0455E4}"/>
    <hyperlink ref="E164" r:id="rId42" xr:uid="{22BA24A8-9A8C-406A-A7E7-D68DC201C645}"/>
    <hyperlink ref="I169" r:id="rId43" xr:uid="{F33C68D0-7275-4CB7-9DFC-D3F108F43E38}"/>
    <hyperlink ref="J170" r:id="rId44" xr:uid="{321DE819-D5D1-4C91-B999-2DB5C44F6699}"/>
    <hyperlink ref="A171" r:id="rId45" xr:uid="{4BB61EAD-BB05-4864-86E8-7B732BB0F902}"/>
    <hyperlink ref="I176" r:id="rId46" xr:uid="{B0B6704E-1C08-4BD6-9890-DDDBBEDF7484}"/>
    <hyperlink ref="J175" r:id="rId47" xr:uid="{8CE32A99-C598-46F9-A4FD-D7939359BBB7}"/>
    <hyperlink ref="A177" r:id="rId48" xr:uid="{66E10C20-6826-45B6-9A1C-78C4176C09DA}"/>
    <hyperlink ref="E177" r:id="rId49" xr:uid="{454A9081-26B8-45CD-BCE7-0F66215AD7FA}"/>
    <hyperlink ref="I182" r:id="rId50" xr:uid="{35FBEDA8-7EB2-4EE4-9FFE-5CCE15CA2CE8}"/>
    <hyperlink ref="J182" r:id="rId51" xr:uid="{AA70F2A1-037E-498B-A857-39D516BF2111}"/>
    <hyperlink ref="E171" r:id="rId52" xr:uid="{791E3983-88E8-4B6B-A1BA-2E39D9C872A8}"/>
    <hyperlink ref="A196" r:id="rId53" display="Kim Childs" xr:uid="{AF25C648-D560-47CD-AF3D-D013E024A2C5}"/>
    <hyperlink ref="E196" r:id="rId54" xr:uid="{FAB86A52-9290-40FA-971F-56566D455F91}"/>
    <hyperlink ref="I201" r:id="rId55" xr:uid="{C3525F82-D160-49C6-AD73-B442D2D59448}"/>
    <hyperlink ref="J202" r:id="rId56" xr:uid="{32ED8D7D-DB9F-403B-BE3C-D472A895647E}"/>
    <hyperlink ref="A210" r:id="rId57" display="Macor Childs" xr:uid="{02EC7B67-FB95-44EB-8490-04AACC1DB88A}"/>
    <hyperlink ref="E210" r:id="rId58" xr:uid="{EB8C83D8-1F5D-4837-8463-3A86C68E23A3}"/>
    <hyperlink ref="I215" r:id="rId59" xr:uid="{EC6D31DF-0DCF-4BFF-9854-559BBD512A23}"/>
    <hyperlink ref="J216" r:id="rId60" xr:uid="{45587C8C-D964-41FD-90F9-568FF35195E9}"/>
    <hyperlink ref="A144" r:id="rId61" xr:uid="{3AB146D3-CAA7-404B-838B-7E93D58D6B7D}"/>
    <hyperlink ref="E144" r:id="rId62" xr:uid="{04EA327D-DE3E-4C41-9209-6EA76470CBB3}"/>
    <hyperlink ref="I149" r:id="rId63" xr:uid="{516C7D7B-D2BC-46F8-B767-101D81545F21}"/>
    <hyperlink ref="J149" r:id="rId64" xr:uid="{43500884-91AC-4C8A-982D-B4D75FE5A6E9}"/>
    <hyperlink ref="J20" r:id="rId65" xr:uid="{52A7931A-7C4F-4237-B2FF-C66E0193E11A}"/>
    <hyperlink ref="A15" r:id="rId66" xr:uid="{21C5999C-CBB8-49C1-A336-73725D1B9761}"/>
    <hyperlink ref="E15" r:id="rId67" xr:uid="{3B40C46D-2B0C-4C99-A2AC-B59E3743538D}"/>
    <hyperlink ref="I20" r:id="rId68" xr:uid="{F6656F6A-2348-41A7-8495-34581611A338}"/>
    <hyperlink ref="J26" r:id="rId69" xr:uid="{FFEBE1A2-F5EB-4F46-889D-0FCA14DF8AD9}"/>
    <hyperlink ref="A21" r:id="rId70" xr:uid="{5823F8A5-F7B7-4E6B-92FF-F90D8E9BC951}"/>
    <hyperlink ref="E21" r:id="rId71" xr:uid="{027B1757-7CCA-4586-B8CA-16EB6D79FF24}"/>
    <hyperlink ref="I26" r:id="rId72" xr:uid="{9FED365F-1845-4CA3-9D37-ADAE250F4C60}"/>
    <hyperlink ref="A53" r:id="rId73" xr:uid="{2BB1E1FC-1D2F-49D3-AEA6-1A8DEAF08FEF}"/>
    <hyperlink ref="E53" r:id="rId74" xr:uid="{BA8EF930-D0FF-4CB0-8698-E99150E2997C}"/>
    <hyperlink ref="I58" r:id="rId75" xr:uid="{4DB41248-429A-4EFF-B25F-43BE52E3C446}"/>
    <hyperlink ref="J59" r:id="rId76" xr:uid="{2F813A71-CC3A-4041-B463-C51A7E3BE904}"/>
    <hyperlink ref="A60" r:id="rId77" xr:uid="{3F66D441-0B86-46F3-A01A-B79242D794D0}"/>
    <hyperlink ref="E60" r:id="rId78" xr:uid="{28C1C96A-3233-434F-8656-958482200FA0}"/>
    <hyperlink ref="I65" r:id="rId79" xr:uid="{03F08989-75FE-4006-9429-A657CF1C1235}"/>
    <hyperlink ref="J65" r:id="rId80" xr:uid="{405C8AFD-85AA-4D0A-8EB1-CE1086AFDD81}"/>
    <hyperlink ref="A66" r:id="rId81" xr:uid="{A406457F-9FC4-4522-BBEF-2155B14475ED}"/>
    <hyperlink ref="E66" r:id="rId82" xr:uid="{C966541A-842E-4B74-9A41-2AD9EDB26517}"/>
    <hyperlink ref="I71" r:id="rId83" xr:uid="{91E755B7-FD61-4429-B2B6-13DFFBFB0953}"/>
    <hyperlink ref="J72" r:id="rId84" xr:uid="{A4A2EADA-DA1C-4D99-8AE3-D0F3F3E5F978}"/>
    <hyperlink ref="A73" r:id="rId85" xr:uid="{0A94E6DB-8BB6-4500-A202-A83746C6E6C4}"/>
    <hyperlink ref="E73" r:id="rId86" xr:uid="{D75B0E16-DCCB-43D3-B63D-9E04FFD3D442}"/>
    <hyperlink ref="I78" r:id="rId87" xr:uid="{3D21133B-CCA3-472A-8AA9-E01083929843}"/>
    <hyperlink ref="J77" r:id="rId88" xr:uid="{B2C9AA3C-B4C1-44F8-AF0A-FC57A712D698}"/>
    <hyperlink ref="A79" r:id="rId89" display="fredkinston81" xr:uid="{F71C96CE-D616-4B0C-B8C0-51097BE62219}"/>
    <hyperlink ref="E79" r:id="rId90" xr:uid="{1E7103BF-1735-4038-A076-481F3F4267F5}"/>
    <hyperlink ref="I84" r:id="rId91" xr:uid="{048C9B67-8D46-43B9-82FD-CA8FD281DAC8}"/>
    <hyperlink ref="J130" r:id="rId92" xr:uid="{41982C69-ABDA-4439-8692-4B93E6F3119C}"/>
    <hyperlink ref="J90" r:id="rId93" xr:uid="{C6589DD6-2B7D-4ECE-A257-F19A999B9FD5}"/>
    <hyperlink ref="A85" r:id="rId94" xr:uid="{7672C043-47E7-4997-A243-3255FCA69C24}"/>
    <hyperlink ref="E85" r:id="rId95" xr:uid="{7333A51D-EC75-40EF-B876-67A3CB4F16F1}"/>
    <hyperlink ref="I90" r:id="rId96" xr:uid="{A87EF7A2-7DB6-49F5-997C-668DF463AF90}"/>
    <hyperlink ref="J96" r:id="rId97" xr:uid="{32287B2F-057B-4754-A062-4EE1A7AA7079}"/>
    <hyperlink ref="A91" r:id="rId98" xr:uid="{CD320D23-5636-4B55-8C32-8B8A81BE8377}"/>
    <hyperlink ref="E91" r:id="rId99" xr:uid="{6BEF69FC-AA4C-4666-9A73-6CD58143D82D}"/>
    <hyperlink ref="I96" r:id="rId100" xr:uid="{E032A1FD-119C-41BC-BA45-3B56E805237E}"/>
    <hyperlink ref="A97" r:id="rId101" xr:uid="{B71478B7-4201-4D23-87E1-6FD25C6BC34B}"/>
    <hyperlink ref="E97" r:id="rId102" xr:uid="{8B842339-FC25-495D-A150-7C4CA17A1157}"/>
    <hyperlink ref="I102" r:id="rId103" xr:uid="{2DC9B7F7-D610-4F66-B9A7-178EA950DEBD}"/>
    <hyperlink ref="J103" r:id="rId104" xr:uid="{95D5C7CA-0269-4113-A817-38AC40B0096A}"/>
    <hyperlink ref="A104" r:id="rId105" xr:uid="{39E69AC1-190D-4562-9CE7-F42E9DA52F72}"/>
    <hyperlink ref="E104" r:id="rId106" xr:uid="{1A1CFE1B-9910-4BA3-BC0A-B5E9F5EEC441}"/>
    <hyperlink ref="I109" r:id="rId107" xr:uid="{6C665777-BEDF-4171-BEFB-C985F3AA9E39}"/>
    <hyperlink ref="J110" r:id="rId108" xr:uid="{2B01D5BC-8FD7-45AF-83EE-70016BD52DCF}"/>
    <hyperlink ref="A111" r:id="rId109" xr:uid="{11EA7078-9C4D-48FA-A83F-1D84E0F21D4A}"/>
    <hyperlink ref="E111" r:id="rId110" xr:uid="{6E11CFAC-8207-4928-BC25-4CD830FEB3FB}"/>
    <hyperlink ref="I116" r:id="rId111" xr:uid="{5982E6E2-D1D0-404F-9451-51C51727A288}"/>
    <hyperlink ref="J118" r:id="rId112" xr:uid="{339AD1B7-A964-4C28-8FCF-E7EC1E1E98F2}"/>
    <hyperlink ref="E119" r:id="rId113" xr:uid="{A315366E-397A-4A66-B339-0993EC2F06EA}"/>
    <hyperlink ref="I124" r:id="rId114" xr:uid="{75910AD6-900B-4FCA-87F5-D6B51D026311}"/>
    <hyperlink ref="J124" r:id="rId115" xr:uid="{03AC3C62-EF8F-42A4-9E1C-5D874CABFD2F}"/>
    <hyperlink ref="A119" r:id="rId116" xr:uid="{5BE1C0BC-1AB4-40CD-BDBF-ACC70745B390}"/>
    <hyperlink ref="A150" r:id="rId117" xr:uid="{C1E68EE5-201F-4184-A757-F3FCA52EF2CF}"/>
    <hyperlink ref="E150" r:id="rId118" xr:uid="{55531C5B-3727-4471-8A6A-1E01D77386AF}"/>
    <hyperlink ref="I155" r:id="rId119" xr:uid="{5FC566A9-57BC-4EDF-A9F8-B7CF980C1D62}"/>
    <hyperlink ref="J156" r:id="rId120" xr:uid="{35FBA9AE-B0EC-4D02-ADF7-3BE101B27597}"/>
    <hyperlink ref="A183" r:id="rId121" xr:uid="{E9B6152C-16DB-4FA2-8B72-F9C77304F72D}"/>
    <hyperlink ref="E183" r:id="rId122" xr:uid="{E246EAD7-4C1B-4048-B6E3-4259B6EC87A6}"/>
    <hyperlink ref="I188" r:id="rId123" xr:uid="{BAFB979F-18A6-4A7F-A565-03444F4D29A2}"/>
    <hyperlink ref="J189" r:id="rId124" xr:uid="{7E5189CC-561E-40F7-AEAE-E0AF0ED81B87}"/>
    <hyperlink ref="A190" r:id="rId125" xr:uid="{FBB6F70D-A317-40E5-B749-E4952995DFBD}"/>
    <hyperlink ref="E190" r:id="rId126" xr:uid="{04BA11E9-5152-41C8-9FD9-E8EB2F184948}"/>
    <hyperlink ref="I195" r:id="rId127" xr:uid="{FE9890D9-666F-40B9-BDD7-FACA6E6A784D}"/>
    <hyperlink ref="J195" r:id="rId128" xr:uid="{97A64C02-35BE-498A-BE23-0B9F0A176B92}"/>
    <hyperlink ref="A203" r:id="rId129" xr:uid="{80A4F42F-C7D6-4767-8DBC-D7C51F720ED2}"/>
    <hyperlink ref="E203" r:id="rId130" xr:uid="{77369CBB-0697-4D4A-8E2B-1C7242B520A1}"/>
    <hyperlink ref="I208" r:id="rId131" xr:uid="{4BA876F7-4F6B-45DC-8EE0-DF344041B518}"/>
    <hyperlink ref="J209" r:id="rId132" xr:uid="{D9615F4E-C98F-4B58-85DC-A6E55487BE8A}"/>
    <hyperlink ref="A217" r:id="rId133" xr:uid="{CA0DCF69-F46B-4986-ACA2-30432A74AC38}"/>
    <hyperlink ref="E217" r:id="rId134" xr:uid="{AD057548-4043-4B60-87DB-B4612C1E9455}"/>
    <hyperlink ref="I222" r:id="rId135" xr:uid="{D5DA14C8-53FA-4F96-9394-7DE5611D8D2D}"/>
    <hyperlink ref="J222" r:id="rId136" xr:uid="{23AAB70B-C147-4FD4-9B8E-D63834A9161F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A6192-5F2E-44CD-A54E-0277886FC779}">
  <sheetPr>
    <tabColor rgb="FFC00000"/>
  </sheetPr>
  <dimension ref="A1:L31"/>
  <sheetViews>
    <sheetView workbookViewId="0"/>
  </sheetViews>
  <sheetFormatPr defaultRowHeight="14.5" x14ac:dyDescent="0.35"/>
  <cols>
    <col min="1" max="1" width="20.26953125" customWidth="1"/>
    <col min="2" max="2" width="20.54296875" customWidth="1"/>
    <col min="3" max="3" width="13" customWidth="1"/>
    <col min="4" max="4" width="20" customWidth="1"/>
    <col min="5" max="5" width="21.54296875" customWidth="1"/>
    <col min="6" max="6" width="12.08984375" customWidth="1"/>
    <col min="7" max="7" width="22.7265625" customWidth="1"/>
    <col min="8" max="8" width="24.7265625" customWidth="1"/>
    <col min="9" max="9" width="24.1796875" customWidth="1"/>
    <col min="10" max="10" width="26.7265625" customWidth="1"/>
    <col min="11" max="11" width="26.453125" customWidth="1"/>
    <col min="12" max="12" width="22.08984375" customWidth="1"/>
  </cols>
  <sheetData>
    <row r="1" spans="1:12" x14ac:dyDescent="0.35">
      <c r="A1" s="34" t="s">
        <v>3196</v>
      </c>
      <c r="B1" s="102"/>
      <c r="C1" s="16">
        <f>COUNTIF(J2:J1089,D1)+COUNTIF(J2:J1089,E1)</f>
        <v>6</v>
      </c>
      <c r="D1" s="9" t="s">
        <v>18</v>
      </c>
      <c r="E1" s="17" t="s">
        <v>1249</v>
      </c>
      <c r="F1" s="103" t="s">
        <v>3283</v>
      </c>
    </row>
    <row r="2" spans="1:12" s="29" customFormat="1" x14ac:dyDescent="0.35">
      <c r="A2" s="29" t="s">
        <v>0</v>
      </c>
      <c r="B2" s="29" t="s">
        <v>3276</v>
      </c>
      <c r="C2" s="29" t="s">
        <v>2</v>
      </c>
      <c r="D2" s="29" t="s">
        <v>4</v>
      </c>
      <c r="E2" s="29" t="s">
        <v>3219</v>
      </c>
      <c r="F2" s="29" t="s">
        <v>7</v>
      </c>
      <c r="G2" s="29" t="s">
        <v>10</v>
      </c>
      <c r="H2" s="29" t="s">
        <v>11</v>
      </c>
      <c r="I2" s="29" t="s">
        <v>23</v>
      </c>
      <c r="J2" s="29" t="s">
        <v>15</v>
      </c>
      <c r="K2" s="29" t="s">
        <v>2581</v>
      </c>
      <c r="L2" s="29" t="s">
        <v>2582</v>
      </c>
    </row>
    <row r="3" spans="1:12" x14ac:dyDescent="0.35">
      <c r="A3" s="33" t="s">
        <v>3260</v>
      </c>
      <c r="B3" t="s">
        <v>3277</v>
      </c>
      <c r="C3" s="33" t="s">
        <v>3263</v>
      </c>
      <c r="D3" t="s">
        <v>105</v>
      </c>
      <c r="E3" t="s">
        <v>105</v>
      </c>
      <c r="F3" s="33" t="s">
        <v>3282</v>
      </c>
      <c r="G3" s="33" t="s">
        <v>172</v>
      </c>
      <c r="H3" s="33" t="s">
        <v>116</v>
      </c>
      <c r="I3" t="s">
        <v>99</v>
      </c>
      <c r="J3" s="1" t="s">
        <v>117</v>
      </c>
      <c r="K3" s="3" t="s">
        <v>521</v>
      </c>
    </row>
    <row r="4" spans="1:12" x14ac:dyDescent="0.35">
      <c r="J4" t="s">
        <v>17</v>
      </c>
      <c r="K4" t="s">
        <v>3261</v>
      </c>
    </row>
    <row r="5" spans="1:12" x14ac:dyDescent="0.35">
      <c r="J5" s="38" t="s">
        <v>18</v>
      </c>
      <c r="K5" s="36" t="s">
        <v>3262</v>
      </c>
    </row>
    <row r="6" spans="1:12" x14ac:dyDescent="0.35">
      <c r="A6" s="33" t="s">
        <v>3269</v>
      </c>
      <c r="B6" t="s">
        <v>3281</v>
      </c>
      <c r="C6" s="33" t="s">
        <v>3263</v>
      </c>
      <c r="D6" t="s">
        <v>1209</v>
      </c>
      <c r="E6" t="s">
        <v>1209</v>
      </c>
      <c r="F6" s="33" t="s">
        <v>3284</v>
      </c>
      <c r="G6" s="33" t="s">
        <v>344</v>
      </c>
      <c r="H6" s="33" t="s">
        <v>345</v>
      </c>
      <c r="I6" t="s">
        <v>74</v>
      </c>
      <c r="J6" s="1" t="s">
        <v>346</v>
      </c>
      <c r="K6" s="3" t="s">
        <v>1569</v>
      </c>
    </row>
    <row r="7" spans="1:12" x14ac:dyDescent="0.35">
      <c r="J7" t="s">
        <v>2125</v>
      </c>
      <c r="K7" t="s">
        <v>1569</v>
      </c>
    </row>
    <row r="8" spans="1:12" x14ac:dyDescent="0.35">
      <c r="J8" t="s">
        <v>104</v>
      </c>
      <c r="K8" s="36" t="s">
        <v>3270</v>
      </c>
    </row>
    <row r="9" spans="1:12" x14ac:dyDescent="0.35">
      <c r="J9" s="38" t="s">
        <v>18</v>
      </c>
    </row>
    <row r="10" spans="1:12" x14ac:dyDescent="0.35">
      <c r="A10" s="33" t="s">
        <v>3264</v>
      </c>
      <c r="B10" t="s">
        <v>3277</v>
      </c>
      <c r="C10" s="33" t="s">
        <v>3263</v>
      </c>
      <c r="D10" t="s">
        <v>22</v>
      </c>
      <c r="E10" t="s">
        <v>22</v>
      </c>
      <c r="F10" s="33" t="s">
        <v>3285</v>
      </c>
      <c r="G10" s="33" t="s">
        <v>344</v>
      </c>
      <c r="H10" s="33" t="s">
        <v>345</v>
      </c>
      <c r="I10" t="s">
        <v>74</v>
      </c>
      <c r="J10" s="1" t="s">
        <v>346</v>
      </c>
      <c r="K10" s="3" t="s">
        <v>3266</v>
      </c>
    </row>
    <row r="11" spans="1:12" x14ac:dyDescent="0.35">
      <c r="J11" t="s">
        <v>2125</v>
      </c>
      <c r="K11" t="s">
        <v>3267</v>
      </c>
    </row>
    <row r="12" spans="1:12" x14ac:dyDescent="0.35">
      <c r="J12" t="s">
        <v>104</v>
      </c>
      <c r="K12" t="s">
        <v>3268</v>
      </c>
    </row>
    <row r="13" spans="1:12" x14ac:dyDescent="0.35">
      <c r="J13" s="38" t="s">
        <v>18</v>
      </c>
      <c r="K13" s="36" t="s">
        <v>3265</v>
      </c>
    </row>
    <row r="14" spans="1:12" x14ac:dyDescent="0.35">
      <c r="A14" s="33" t="s">
        <v>3275</v>
      </c>
      <c r="B14" t="s">
        <v>3279</v>
      </c>
      <c r="C14" s="33" t="s">
        <v>3263</v>
      </c>
      <c r="D14" t="s">
        <v>22</v>
      </c>
      <c r="E14" t="s">
        <v>22</v>
      </c>
      <c r="F14" s="33" t="s">
        <v>3285</v>
      </c>
      <c r="G14" s="33" t="s">
        <v>344</v>
      </c>
      <c r="H14" s="33" t="s">
        <v>345</v>
      </c>
      <c r="I14" t="s">
        <v>74</v>
      </c>
      <c r="J14" s="1" t="s">
        <v>346</v>
      </c>
      <c r="K14" s="3" t="s">
        <v>3266</v>
      </c>
    </row>
    <row r="15" spans="1:12" x14ac:dyDescent="0.35">
      <c r="J15" t="s">
        <v>2125</v>
      </c>
      <c r="K15" t="s">
        <v>3267</v>
      </c>
    </row>
    <row r="16" spans="1:12" x14ac:dyDescent="0.35">
      <c r="J16" t="s">
        <v>104</v>
      </c>
      <c r="K16" t="s">
        <v>3268</v>
      </c>
    </row>
    <row r="17" spans="1:11" x14ac:dyDescent="0.35">
      <c r="J17" s="38" t="s">
        <v>18</v>
      </c>
      <c r="K17" s="36" t="s">
        <v>3280</v>
      </c>
    </row>
    <row r="18" spans="1:11" x14ac:dyDescent="0.35">
      <c r="A18" s="33" t="s">
        <v>3271</v>
      </c>
      <c r="B18" t="s">
        <v>3278</v>
      </c>
      <c r="C18" s="33" t="s">
        <v>3263</v>
      </c>
      <c r="D18" t="s">
        <v>3272</v>
      </c>
      <c r="E18" t="s">
        <v>3272</v>
      </c>
      <c r="F18" s="33" t="s">
        <v>1373</v>
      </c>
      <c r="G18" s="33" t="s">
        <v>162</v>
      </c>
      <c r="H18" s="33" t="s">
        <v>163</v>
      </c>
      <c r="I18" t="s">
        <v>73</v>
      </c>
      <c r="J18" s="1" t="s">
        <v>167</v>
      </c>
      <c r="K18" s="3" t="s">
        <v>164</v>
      </c>
    </row>
    <row r="19" spans="1:11" x14ac:dyDescent="0.35">
      <c r="J19" t="s">
        <v>97</v>
      </c>
      <c r="K19" t="s">
        <v>164</v>
      </c>
    </row>
    <row r="20" spans="1:11" x14ac:dyDescent="0.35">
      <c r="J20" t="s">
        <v>3274</v>
      </c>
      <c r="K20" t="s">
        <v>3273</v>
      </c>
    </row>
    <row r="21" spans="1:11" x14ac:dyDescent="0.35">
      <c r="J21" t="s">
        <v>104</v>
      </c>
      <c r="K21" s="36" t="s">
        <v>3271</v>
      </c>
    </row>
    <row r="22" spans="1:11" x14ac:dyDescent="0.35">
      <c r="J22" s="38" t="s">
        <v>18</v>
      </c>
    </row>
    <row r="23" spans="1:11" x14ac:dyDescent="0.35">
      <c r="A23" s="33" t="s">
        <v>3286</v>
      </c>
      <c r="B23" t="s">
        <v>3277</v>
      </c>
      <c r="C23" s="33" t="s">
        <v>3263</v>
      </c>
      <c r="D23" t="s">
        <v>797</v>
      </c>
      <c r="E23" t="s">
        <v>797</v>
      </c>
      <c r="F23" s="33" t="s">
        <v>189</v>
      </c>
      <c r="G23" s="33" t="s">
        <v>3287</v>
      </c>
      <c r="H23" s="33" t="s">
        <v>3288</v>
      </c>
      <c r="I23" t="s">
        <v>413</v>
      </c>
      <c r="J23" s="1" t="s">
        <v>3297</v>
      </c>
      <c r="K23" s="3" t="s">
        <v>3289</v>
      </c>
    </row>
    <row r="24" spans="1:11" x14ac:dyDescent="0.35">
      <c r="J24" t="s">
        <v>3298</v>
      </c>
      <c r="K24" t="s">
        <v>3290</v>
      </c>
    </row>
    <row r="25" spans="1:11" x14ac:dyDescent="0.35">
      <c r="J25" t="s">
        <v>2762</v>
      </c>
      <c r="K25" t="s">
        <v>3291</v>
      </c>
    </row>
    <row r="26" spans="1:11" x14ac:dyDescent="0.35">
      <c r="J26" t="s">
        <v>170</v>
      </c>
      <c r="K26" t="s">
        <v>3292</v>
      </c>
    </row>
    <row r="27" spans="1:11" x14ac:dyDescent="0.35">
      <c r="J27" t="s">
        <v>172</v>
      </c>
      <c r="K27" t="s">
        <v>3293</v>
      </c>
    </row>
    <row r="28" spans="1:11" x14ac:dyDescent="0.35">
      <c r="J28" t="s">
        <v>117</v>
      </c>
      <c r="K28" t="s">
        <v>3294</v>
      </c>
    </row>
    <row r="29" spans="1:11" x14ac:dyDescent="0.35">
      <c r="J29" t="s">
        <v>17</v>
      </c>
      <c r="K29" t="s">
        <v>3295</v>
      </c>
    </row>
    <row r="30" spans="1:11" x14ac:dyDescent="0.35">
      <c r="J30" s="38" t="s">
        <v>18</v>
      </c>
      <c r="K30" t="s">
        <v>3296</v>
      </c>
    </row>
    <row r="31" spans="1:11" x14ac:dyDescent="0.35">
      <c r="K31" s="36" t="s">
        <v>3286</v>
      </c>
    </row>
  </sheetData>
  <hyperlinks>
    <hyperlink ref="A1" location="Summary!B47" tooltip="Return to Totals" display="Back to Totals" xr:uid="{0140547E-89F7-412D-B6F2-4A0CDDD6B5FD}"/>
    <hyperlink ref="H3" r:id="rId1" xr:uid="{0BB77252-1571-4291-95A2-DDCF34FEFB26}"/>
    <hyperlink ref="K5" r:id="rId2" xr:uid="{36D9DD8C-D953-48CB-9ACE-414EDF8E5A03}"/>
    <hyperlink ref="A3" r:id="rId3" xr:uid="{A8BE4C35-84D0-4A37-A8E0-45363B1DB390}"/>
    <hyperlink ref="J5" r:id="rId4" xr:uid="{F63A155E-ECBF-40E6-B1D6-D8D4D48D192B}"/>
    <hyperlink ref="G3" r:id="rId5" xr:uid="{89F4CD67-52A8-4B35-96F8-D8D49780AF30}"/>
    <hyperlink ref="C10" r:id="rId6" display="https://en.wikipedia.org/wiki/David_Suchet" xr:uid="{4048E402-7FB6-4D36-AEAC-56095FFB8605}"/>
    <hyperlink ref="C3" r:id="rId7" xr:uid="{84EB224A-60A6-4B25-952E-9F064046F64C}"/>
    <hyperlink ref="G10" r:id="rId8" xr:uid="{5930B9A2-AF91-419C-B655-78EA4007440B}"/>
    <hyperlink ref="H10" r:id="rId9" xr:uid="{89311A5C-495D-46EC-9223-707C069F3CA4}"/>
    <hyperlink ref="A10" r:id="rId10" xr:uid="{7BA50CFF-B216-4739-8673-ECA467A71BB4}"/>
    <hyperlink ref="K13" r:id="rId11" xr:uid="{08BC6B60-F6E9-4A98-A4C4-B894203F2D75}"/>
    <hyperlink ref="J13" r:id="rId12" xr:uid="{9A88DBC4-68EF-4A10-9BA8-0B9E9EE88725}"/>
    <hyperlink ref="A6" r:id="rId13" xr:uid="{3B3D8EFC-FCB2-4030-BE1D-DBB5258DB292}"/>
    <hyperlink ref="C6" r:id="rId14" xr:uid="{2C368BF5-45C7-4E40-BF1E-3418085AD4EF}"/>
    <hyperlink ref="G6" r:id="rId15" xr:uid="{1D2CC038-E084-4CD5-BAE1-C7110588424E}"/>
    <hyperlink ref="H6" r:id="rId16" xr:uid="{B5FD5D49-EB80-420B-A9C9-E2A6838E3663}"/>
    <hyperlink ref="J9" r:id="rId17" xr:uid="{16AF77B9-9658-4069-A90B-48BF12998720}"/>
    <hyperlink ref="K8" r:id="rId18" xr:uid="{4ADAB783-4BC6-4508-AE55-3E960A64D972}"/>
    <hyperlink ref="A18" r:id="rId19" xr:uid="{785E196D-B0CA-478B-9972-8FD300D48E0B}"/>
    <hyperlink ref="C18" r:id="rId20" xr:uid="{ADCD3EEC-8445-4786-993A-02F7157C5544}"/>
    <hyperlink ref="K21" r:id="rId21" xr:uid="{BEF94D59-B026-498F-9F10-94676699DC69}"/>
    <hyperlink ref="J22" r:id="rId22" xr:uid="{820EAB4D-C2D0-4175-853F-1A959456E69A}"/>
    <hyperlink ref="G18" r:id="rId23" xr:uid="{E225E079-249E-45C2-9A56-967CA7D91690}"/>
    <hyperlink ref="H18" r:id="rId24" xr:uid="{7E0D70C1-739C-41F2-826C-CEF1EF84070E}"/>
    <hyperlink ref="C14" r:id="rId25" xr:uid="{7B589965-C463-430F-9F3A-AC9512E8CFA3}"/>
    <hyperlink ref="G14" r:id="rId26" xr:uid="{CCE1BC82-8C31-4193-A5CA-0DDD8CA588A7}"/>
    <hyperlink ref="H14" r:id="rId27" xr:uid="{E738D01F-1059-448F-ACDF-82004D445694}"/>
    <hyperlink ref="A14" r:id="rId28" xr:uid="{ADC5E2DF-C876-4856-9E32-BD4BB88C4458}"/>
    <hyperlink ref="K17" r:id="rId29" display="David Courtney Suchet" xr:uid="{C03F04B9-C0C4-4FC3-A322-BB0D8643F455}"/>
    <hyperlink ref="J17" r:id="rId30" xr:uid="{24E3CF7B-A408-4350-ACD5-BBA02FC3E563}"/>
    <hyperlink ref="F3" r:id="rId31" xr:uid="{3737B26E-23B7-4190-BE30-ACDC1235C1DB}"/>
    <hyperlink ref="F6" r:id="rId32" xr:uid="{96B4B13C-DEC1-4467-BCE6-B4D8AEDFA085}"/>
    <hyperlink ref="F10" r:id="rId33" xr:uid="{B8CF4422-0ABE-4887-A162-9A9E8A3DC328}"/>
    <hyperlink ref="F14" r:id="rId34" xr:uid="{9862F3FA-2BB9-494C-B35D-3C13A30BA818}"/>
    <hyperlink ref="F18" r:id="rId35" xr:uid="{1E089CCB-2ADA-4492-8088-5048E08272E5}"/>
    <hyperlink ref="C23" r:id="rId36" xr:uid="{21EB53F3-86BA-4720-BC6B-C93480C804F7}"/>
    <hyperlink ref="J30" r:id="rId37" xr:uid="{1D42A7E6-E6EA-4287-931B-F15691432F4F}"/>
    <hyperlink ref="G23" r:id="rId38" xr:uid="{43720E09-B673-49BF-8992-08FCC9331AD5}"/>
    <hyperlink ref="H23" r:id="rId39" xr:uid="{FCF1C8CB-8D4B-44A8-AF32-B70268879A54}"/>
    <hyperlink ref="K31" r:id="rId40" xr:uid="{938D770E-5680-4F04-AC5D-8F0DDE58B0C2}"/>
    <hyperlink ref="A23" r:id="rId41" xr:uid="{DDCFB3FE-0DDD-45B6-937D-6F0643D1630C}"/>
    <hyperlink ref="F23" r:id="rId42" xr:uid="{2FD7B1F8-E0ED-46BC-B590-1DA1C9CEC146}"/>
  </hyperlinks>
  <pageMargins left="0.7" right="0.7" top="0.75" bottom="0.75" header="0.3" footer="0.3"/>
  <pageSetup paperSize="9" orientation="portrait" horizontalDpi="0" verticalDpi="0" r:id="rId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Summary</vt:lpstr>
      <vt:lpstr>Alderman</vt:lpstr>
      <vt:lpstr>Angier</vt:lpstr>
      <vt:lpstr>Argent</vt:lpstr>
      <vt:lpstr>Beavis</vt:lpstr>
      <vt:lpstr>Biddle</vt:lpstr>
      <vt:lpstr>Bing</vt:lpstr>
      <vt:lpstr>Bloomfield</vt:lpstr>
      <vt:lpstr>Boreham</vt:lpstr>
      <vt:lpstr>Brinkley</vt:lpstr>
      <vt:lpstr>Bushell</vt:lpstr>
      <vt:lpstr>Camp</vt:lpstr>
      <vt:lpstr>Collins</vt:lpstr>
      <vt:lpstr>Dadley</vt:lpstr>
      <vt:lpstr>Davis</vt:lpstr>
      <vt:lpstr>Dibel</vt:lpstr>
      <vt:lpstr>Disdale</vt:lpstr>
      <vt:lpstr>Douglas</vt:lpstr>
      <vt:lpstr>Dyason</vt:lpstr>
      <vt:lpstr>Felton</vt:lpstr>
      <vt:lpstr>Field</vt:lpstr>
      <vt:lpstr>Fooks</vt:lpstr>
      <vt:lpstr>Ford</vt:lpstr>
      <vt:lpstr>Freemantle</vt:lpstr>
      <vt:lpstr>Gates</vt:lpstr>
      <vt:lpstr>Hall</vt:lpstr>
      <vt:lpstr>Hook</vt:lpstr>
      <vt:lpstr>Hogben</vt:lpstr>
      <vt:lpstr>Hughes</vt:lpstr>
      <vt:lpstr>Humphrey</vt:lpstr>
      <vt:lpstr>Jezzard</vt:lpstr>
      <vt:lpstr>Jordan</vt:lpstr>
      <vt:lpstr>Lippincott</vt:lpstr>
      <vt:lpstr>Mayes</vt:lpstr>
      <vt:lpstr>Mercer</vt:lpstr>
      <vt:lpstr>Minter</vt:lpstr>
      <vt:lpstr>Nankivell</vt:lpstr>
      <vt:lpstr>Noble</vt:lpstr>
      <vt:lpstr>Otley</vt:lpstr>
      <vt:lpstr>Palmer</vt:lpstr>
      <vt:lpstr>Patrick</vt:lpstr>
      <vt:lpstr>Penny</vt:lpstr>
      <vt:lpstr>Pittock</vt:lpstr>
      <vt:lpstr>Rayner</vt:lpstr>
      <vt:lpstr>Reeve</vt:lpstr>
      <vt:lpstr>Robertson</vt:lpstr>
      <vt:lpstr>Ruddock</vt:lpstr>
      <vt:lpstr>Sams</vt:lpstr>
      <vt:lpstr>Shickle</vt:lpstr>
      <vt:lpstr>Shinn</vt:lpstr>
      <vt:lpstr>Singleton</vt:lpstr>
      <vt:lpstr>Shrewsbury</vt:lpstr>
      <vt:lpstr>Tucker</vt:lpstr>
      <vt:lpstr>Vandepeer</vt:lpstr>
      <vt:lpstr>Wilson</vt:lpstr>
      <vt:lpstr>UnmatchedFreer</vt:lpstr>
      <vt:lpstr>UnmatchedMcCracken</vt:lpstr>
      <vt:lpstr>Unmatched Misc (Robertson)</vt:lpstr>
      <vt:lpstr>Unmatched -</vt:lpstr>
      <vt:lpstr>UnmatchedKingston</vt:lpstr>
      <vt:lpstr>Famous Relatives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Robertson</dc:creator>
  <cp:lastModifiedBy>Simon Robertson</cp:lastModifiedBy>
  <dcterms:created xsi:type="dcterms:W3CDTF">2020-01-10T09:54:01Z</dcterms:created>
  <dcterms:modified xsi:type="dcterms:W3CDTF">2025-01-23T11:07:44Z</dcterms:modified>
</cp:coreProperties>
</file>